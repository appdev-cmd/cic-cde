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I:\Shared drives\25144-NOTM_LIDECO_INT\10_INFORMATION REQUIREMENTS\1020_BIM Requirements\102020_BEP\"/>
    </mc:Choice>
  </mc:AlternateContent>
  <xr:revisionPtr revIDLastSave="0" documentId="13_ncr:1_{6EB205A2-2353-4286-B7CF-D660DBE35EA6}" xr6:coauthVersionLast="47" xr6:coauthVersionMax="47" xr10:uidLastSave="{00000000-0000-0000-0000-000000000000}"/>
  <bookViews>
    <workbookView xWindow="38280" yWindow="-225" windowWidth="38640" windowHeight="21120" activeTab="2" xr2:uid="{00000000-000D-0000-FFFF-FFFF00000000}"/>
  </bookViews>
  <sheets>
    <sheet name="Cover" sheetId="1" r:id="rId1"/>
    <sheet name="Naming" sheetId="2" r:id="rId2"/>
    <sheet name="MIDP" sheetId="3" r:id="rId3"/>
    <sheet name="LIST_TT" sheetId="11" r:id="rId4"/>
    <sheet name="LIST_BAS" sheetId="12" r:id="rId5"/>
    <sheet name="LIST_TA" sheetId="13" r:id="rId6"/>
    <sheet name="LIST_TB1" sheetId="16" r:id="rId7"/>
    <sheet name="LIST_TB2" sheetId="17" r:id="rId8"/>
    <sheet name="Sheet3" sheetId="10" state="hidden" r:id="rId9"/>
    <sheet name="Sheet1" sheetId="5" state="hidden" r:id="rId10"/>
    <sheet name="Sheet2" sheetId="6" state="hidden" r:id="rId11"/>
    <sheet name="KH TH" sheetId="8" state="hidden" r:id="rId12"/>
    <sheet name="MIDP " sheetId="9" state="hidden" r:id="rId13"/>
  </sheets>
  <externalReferences>
    <externalReference r:id="rId14"/>
  </externalReferences>
  <definedNames>
    <definedName name="A" localSheetId="6">Naming!#REF!</definedName>
    <definedName name="A" localSheetId="7">Naming!#REF!</definedName>
    <definedName name="A">Naming!#REF!</definedName>
    <definedName name="Cao_trinh_Vi_tri">Naming!$G$4:$G$16</definedName>
    <definedName name="Don_vi_khoi_tao">Naming!$C$4:$C$8</definedName>
    <definedName name="Du_an">Naming!$A$4:$A$7</definedName>
    <definedName name="Khoi_tich">Naming!$E$4:$E$30</definedName>
    <definedName name="Loai_Kieu">Naming!$M$4:$M$33</definedName>
    <definedName name="_xlnm.Print_Area" localSheetId="11">'KH TH'!$A$1:$AE$142</definedName>
    <definedName name="_xlnm.Print_Area" localSheetId="2">MIDP!$A$1:$Z$97</definedName>
    <definedName name="_xlnm.Print_Area" localSheetId="12">'MIDP '!$A$1:$V$139</definedName>
    <definedName name="_xlnm.Print_Area" localSheetId="1">Naming!$A$1:$P$26</definedName>
    <definedName name="_xlnm.Print_Titles" localSheetId="2">MIDP!$9:$11</definedName>
    <definedName name="So_thu_tu">Naming!$O$4:$O$5</definedName>
    <definedName name="Vai_tro_dam_nhiem" localSheetId="4">Naming!#REF!</definedName>
    <definedName name="Vai_tro_dam_nhiem" localSheetId="5">Naming!#REF!</definedName>
    <definedName name="Vai_tro_dam_nhiem" localSheetId="6">Naming!#REF!</definedName>
    <definedName name="Vai_tro_dam_nhiem" localSheetId="7">Naming!#REF!</definedName>
    <definedName name="Vai_tro_dam_nhiem">Naming!#REF!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84" i="3" l="1"/>
  <c r="R83" i="3"/>
  <c r="R82" i="3"/>
  <c r="R81" i="3"/>
  <c r="R95" i="3"/>
  <c r="R20" i="3"/>
  <c r="R19" i="3"/>
  <c r="R18" i="3"/>
  <c r="R94" i="3"/>
  <c r="R96" i="3"/>
  <c r="R68" i="3"/>
  <c r="R74" i="3"/>
  <c r="R73" i="3"/>
  <c r="R72" i="3"/>
  <c r="R63" i="3"/>
  <c r="R64" i="3"/>
  <c r="R58" i="3"/>
  <c r="R59" i="3"/>
  <c r="R53" i="3"/>
  <c r="R54" i="3"/>
  <c r="R47" i="3"/>
  <c r="R48" i="3"/>
  <c r="R49" i="3"/>
  <c r="R34" i="3"/>
  <c r="R35" i="3"/>
  <c r="R36" i="3"/>
  <c r="R37" i="3"/>
  <c r="R38" i="3"/>
  <c r="R39" i="3"/>
  <c r="F40" i="13" l="1"/>
  <c r="G40" i="13"/>
  <c r="F41" i="13"/>
  <c r="G41" i="13"/>
  <c r="F42" i="13"/>
  <c r="G42" i="13"/>
  <c r="F43" i="13"/>
  <c r="G43" i="13"/>
  <c r="F44" i="13"/>
  <c r="G44" i="13"/>
  <c r="F45" i="13"/>
  <c r="G45" i="13"/>
  <c r="F46" i="13"/>
  <c r="G46" i="13"/>
  <c r="F47" i="13"/>
  <c r="G47" i="13"/>
  <c r="F48" i="13"/>
  <c r="G48" i="13"/>
  <c r="F27" i="13"/>
  <c r="G27" i="13"/>
  <c r="F28" i="13"/>
  <c r="G28" i="13"/>
  <c r="F29" i="13"/>
  <c r="G29" i="13"/>
  <c r="F30" i="13"/>
  <c r="G30" i="13"/>
  <c r="F31" i="13"/>
  <c r="G31" i="13"/>
  <c r="F32" i="13"/>
  <c r="G32" i="13"/>
  <c r="F33" i="13"/>
  <c r="G33" i="13"/>
  <c r="F34" i="13"/>
  <c r="G34" i="13"/>
  <c r="F35" i="13"/>
  <c r="G35" i="13"/>
  <c r="F36" i="13"/>
  <c r="G36" i="13"/>
  <c r="F37" i="13"/>
  <c r="G37" i="13"/>
  <c r="F38" i="13"/>
  <c r="G38" i="13"/>
  <c r="F39" i="13"/>
  <c r="G39" i="13"/>
  <c r="F4" i="13"/>
  <c r="G4" i="13"/>
  <c r="F5" i="13"/>
  <c r="G5" i="13"/>
  <c r="F6" i="13"/>
  <c r="G6" i="13"/>
  <c r="F7" i="13"/>
  <c r="G7" i="13"/>
  <c r="F8" i="13"/>
  <c r="G8" i="13"/>
  <c r="F9" i="13"/>
  <c r="G9" i="13"/>
  <c r="F10" i="13"/>
  <c r="G10" i="13"/>
  <c r="F11" i="13"/>
  <c r="G11" i="13"/>
  <c r="F12" i="13"/>
  <c r="G12" i="13"/>
  <c r="F13" i="13"/>
  <c r="G13" i="13"/>
  <c r="F14" i="13"/>
  <c r="G14" i="13"/>
  <c r="F15" i="13"/>
  <c r="G15" i="13"/>
  <c r="F16" i="13"/>
  <c r="G16" i="13"/>
  <c r="F17" i="13"/>
  <c r="G17" i="13"/>
  <c r="F18" i="13"/>
  <c r="G18" i="13"/>
  <c r="F19" i="13"/>
  <c r="G19" i="13"/>
  <c r="F20" i="13"/>
  <c r="G20" i="13"/>
  <c r="F21" i="13"/>
  <c r="G21" i="13"/>
  <c r="F22" i="13"/>
  <c r="G22" i="13"/>
  <c r="F23" i="13"/>
  <c r="G23" i="13"/>
  <c r="F24" i="13"/>
  <c r="G24" i="13"/>
  <c r="F25" i="13"/>
  <c r="G25" i="13"/>
  <c r="F26" i="13"/>
  <c r="G26" i="13"/>
  <c r="G3" i="13"/>
  <c r="F3" i="13"/>
  <c r="B5" i="13"/>
  <c r="C5" i="13"/>
  <c r="B6" i="13"/>
  <c r="C6" i="13"/>
  <c r="B7" i="13"/>
  <c r="C7" i="13"/>
  <c r="B8" i="13"/>
  <c r="C8" i="13"/>
  <c r="B9" i="13"/>
  <c r="C9" i="13"/>
  <c r="B10" i="13"/>
  <c r="C10" i="13"/>
  <c r="B11" i="13"/>
  <c r="C11" i="13"/>
  <c r="B12" i="13"/>
  <c r="C12" i="13"/>
  <c r="B13" i="13"/>
  <c r="C13" i="13"/>
  <c r="B14" i="13"/>
  <c r="C14" i="13"/>
  <c r="B15" i="13"/>
  <c r="C15" i="13"/>
  <c r="B16" i="13"/>
  <c r="C16" i="13"/>
  <c r="B17" i="13"/>
  <c r="C17" i="13"/>
  <c r="B18" i="13"/>
  <c r="C18" i="13"/>
  <c r="B19" i="13"/>
  <c r="C19" i="13"/>
  <c r="B20" i="13"/>
  <c r="C20" i="13"/>
  <c r="B21" i="13"/>
  <c r="C21" i="13"/>
  <c r="B22" i="13"/>
  <c r="C22" i="13"/>
  <c r="B23" i="13"/>
  <c r="C23" i="13"/>
  <c r="B24" i="13"/>
  <c r="C24" i="13"/>
  <c r="B25" i="13"/>
  <c r="C25" i="13"/>
  <c r="B26" i="13"/>
  <c r="C26" i="13"/>
  <c r="B27" i="13"/>
  <c r="C27" i="13"/>
  <c r="B28" i="13"/>
  <c r="C28" i="13"/>
  <c r="B29" i="13"/>
  <c r="C29" i="13"/>
  <c r="B30" i="13"/>
  <c r="C30" i="13"/>
  <c r="B31" i="13"/>
  <c r="C31" i="13"/>
  <c r="B32" i="13"/>
  <c r="C32" i="13"/>
  <c r="B33" i="13"/>
  <c r="C33" i="13"/>
  <c r="B34" i="13"/>
  <c r="C34" i="13"/>
  <c r="B35" i="13"/>
  <c r="C35" i="13"/>
  <c r="B36" i="13"/>
  <c r="C36" i="13"/>
  <c r="B37" i="13"/>
  <c r="C37" i="13"/>
  <c r="B38" i="13"/>
  <c r="C38" i="13"/>
  <c r="B39" i="13"/>
  <c r="C39" i="13"/>
  <c r="B40" i="13"/>
  <c r="C40" i="13"/>
  <c r="B41" i="13"/>
  <c r="C41" i="13"/>
  <c r="B42" i="13"/>
  <c r="C42" i="13"/>
  <c r="B43" i="13"/>
  <c r="C43" i="13"/>
  <c r="B44" i="13"/>
  <c r="C44" i="13"/>
  <c r="B45" i="13"/>
  <c r="C45" i="13"/>
  <c r="B46" i="13"/>
  <c r="C46" i="13"/>
  <c r="B47" i="13"/>
  <c r="C47" i="13"/>
  <c r="B48" i="13"/>
  <c r="C48" i="13"/>
  <c r="B49" i="13"/>
  <c r="C49" i="13"/>
  <c r="B50" i="13"/>
  <c r="C50" i="13"/>
  <c r="C4" i="13"/>
  <c r="R67" i="3" l="1"/>
  <c r="C5" i="12"/>
  <c r="C6" i="12"/>
  <c r="C7" i="12"/>
  <c r="C8" i="12"/>
  <c r="C9" i="12"/>
  <c r="C10" i="12"/>
  <c r="C11" i="12"/>
  <c r="C12" i="12"/>
  <c r="C13" i="12"/>
  <c r="C14" i="12"/>
  <c r="C15" i="12"/>
  <c r="C16" i="12"/>
  <c r="C17" i="12"/>
  <c r="C18" i="12"/>
  <c r="C19" i="12"/>
  <c r="C20" i="12"/>
  <c r="C21" i="12"/>
  <c r="C22" i="12"/>
  <c r="C23" i="12"/>
  <c r="C24" i="12"/>
  <c r="C25" i="12"/>
  <c r="C26" i="12"/>
  <c r="C27" i="12"/>
  <c r="C28" i="12"/>
  <c r="C29" i="12"/>
  <c r="C30" i="12"/>
  <c r="C31" i="12"/>
  <c r="C32" i="12"/>
  <c r="C33" i="12"/>
  <c r="C34" i="12"/>
  <c r="C35" i="12"/>
  <c r="C36" i="12"/>
  <c r="C37" i="12"/>
  <c r="C38" i="12"/>
  <c r="C39" i="12"/>
  <c r="C40" i="12"/>
  <c r="C41" i="12"/>
  <c r="C42" i="12"/>
  <c r="C43" i="12"/>
  <c r="C44" i="12"/>
  <c r="C45" i="12"/>
  <c r="C46" i="12"/>
  <c r="C47" i="12"/>
  <c r="C48" i="12"/>
  <c r="C49" i="12"/>
  <c r="C50" i="12"/>
  <c r="C51" i="12"/>
  <c r="C52" i="12"/>
  <c r="C53" i="12"/>
  <c r="C54" i="12"/>
  <c r="C55" i="12"/>
  <c r="C56" i="12"/>
  <c r="C57" i="12"/>
  <c r="C58" i="12"/>
  <c r="C59" i="12"/>
  <c r="C60" i="12"/>
  <c r="C61" i="12"/>
  <c r="C62" i="12"/>
  <c r="C63" i="12"/>
  <c r="C64" i="12"/>
  <c r="C65" i="12"/>
  <c r="C66" i="12"/>
  <c r="C67" i="12"/>
  <c r="C68" i="12"/>
  <c r="C69" i="12"/>
  <c r="C70" i="12"/>
  <c r="C71" i="12"/>
  <c r="C72" i="12"/>
  <c r="C73" i="12"/>
  <c r="C74" i="12"/>
  <c r="C75" i="12"/>
  <c r="C76" i="12"/>
  <c r="C4" i="12"/>
  <c r="B5" i="12"/>
  <c r="B6" i="12"/>
  <c r="B7" i="12"/>
  <c r="B8" i="12"/>
  <c r="B9" i="12"/>
  <c r="B10" i="12"/>
  <c r="B11" i="12"/>
  <c r="B12" i="12"/>
  <c r="B13" i="12"/>
  <c r="B14" i="12"/>
  <c r="B15" i="12"/>
  <c r="B16" i="12"/>
  <c r="B17" i="12"/>
  <c r="B18" i="12"/>
  <c r="B19" i="12"/>
  <c r="B20" i="12"/>
  <c r="B21" i="12"/>
  <c r="B22" i="12"/>
  <c r="B23" i="12"/>
  <c r="B24" i="12"/>
  <c r="B25" i="12"/>
  <c r="B26" i="12"/>
  <c r="B27" i="12"/>
  <c r="B28" i="12"/>
  <c r="B29" i="12"/>
  <c r="B30" i="12"/>
  <c r="B31" i="12"/>
  <c r="B32" i="12"/>
  <c r="B33" i="12"/>
  <c r="B34" i="12"/>
  <c r="B35" i="12"/>
  <c r="B36" i="12"/>
  <c r="B37" i="12"/>
  <c r="B38" i="12"/>
  <c r="B39" i="12"/>
  <c r="B40" i="12"/>
  <c r="B41" i="12"/>
  <c r="B42" i="12"/>
  <c r="B43" i="12"/>
  <c r="B44" i="12"/>
  <c r="B45" i="12"/>
  <c r="B46" i="12"/>
  <c r="B47" i="12"/>
  <c r="B48" i="12"/>
  <c r="B49" i="12"/>
  <c r="B50" i="12"/>
  <c r="B51" i="12"/>
  <c r="B52" i="12"/>
  <c r="B53" i="12"/>
  <c r="B54" i="12"/>
  <c r="B55" i="12"/>
  <c r="B56" i="12"/>
  <c r="B57" i="12"/>
  <c r="B58" i="12"/>
  <c r="B59" i="12"/>
  <c r="B60" i="12"/>
  <c r="B61" i="12"/>
  <c r="B62" i="12"/>
  <c r="B63" i="12"/>
  <c r="B64" i="12"/>
  <c r="B65" i="12"/>
  <c r="B66" i="12"/>
  <c r="B67" i="12"/>
  <c r="B68" i="12"/>
  <c r="B69" i="12"/>
  <c r="B70" i="12"/>
  <c r="B71" i="12"/>
  <c r="B72" i="12"/>
  <c r="B73" i="12"/>
  <c r="B74" i="12"/>
  <c r="B75" i="12"/>
  <c r="B76" i="12"/>
  <c r="B4" i="12" l="1"/>
  <c r="C5" i="17"/>
  <c r="C6" i="17"/>
  <c r="C7" i="17"/>
  <c r="C8" i="17"/>
  <c r="C9" i="17"/>
  <c r="C10" i="17"/>
  <c r="C11" i="17"/>
  <c r="C12" i="17"/>
  <c r="C13" i="17"/>
  <c r="C14" i="17"/>
  <c r="C15" i="17"/>
  <c r="C16" i="17"/>
  <c r="C17" i="17"/>
  <c r="C18" i="17"/>
  <c r="C19" i="17"/>
  <c r="C20" i="17"/>
  <c r="C21" i="17"/>
  <c r="C22" i="17"/>
  <c r="C23" i="17"/>
  <c r="C24" i="17"/>
  <c r="C25" i="17"/>
  <c r="C26" i="17"/>
  <c r="C27" i="17"/>
  <c r="C28" i="17"/>
  <c r="C29" i="17"/>
  <c r="C30" i="17"/>
  <c r="C31" i="17"/>
  <c r="C32" i="17"/>
  <c r="C33" i="17"/>
  <c r="C34" i="17"/>
  <c r="C35" i="17"/>
  <c r="C36" i="17"/>
  <c r="C37" i="17"/>
  <c r="C38" i="17"/>
  <c r="C39" i="17"/>
  <c r="C40" i="17"/>
  <c r="C41" i="17"/>
  <c r="C42" i="17"/>
  <c r="C43" i="17"/>
  <c r="C44" i="17"/>
  <c r="C45" i="17"/>
  <c r="C46" i="17"/>
  <c r="C47" i="17"/>
  <c r="C48" i="17"/>
  <c r="C49" i="17"/>
  <c r="C50" i="17"/>
  <c r="C51" i="17"/>
  <c r="C52" i="17"/>
  <c r="C53" i="17"/>
  <c r="C54" i="17"/>
  <c r="C55" i="17"/>
  <c r="C56" i="17"/>
  <c r="C57" i="17"/>
  <c r="C58" i="17"/>
  <c r="C59" i="17"/>
  <c r="C60" i="17"/>
  <c r="C61" i="17"/>
  <c r="C62" i="17"/>
  <c r="C63" i="17"/>
  <c r="C64" i="17"/>
  <c r="C65" i="17"/>
  <c r="C66" i="17"/>
  <c r="C67" i="17"/>
  <c r="C68" i="17"/>
  <c r="C69" i="17"/>
  <c r="C70" i="17"/>
  <c r="C71" i="17"/>
  <c r="C72" i="17"/>
  <c r="C73" i="17"/>
  <c r="C74" i="17"/>
  <c r="C75" i="17"/>
  <c r="C76" i="17"/>
  <c r="C77" i="17"/>
  <c r="C78" i="17"/>
  <c r="C4" i="17"/>
  <c r="C5" i="16"/>
  <c r="C6" i="16"/>
  <c r="C7" i="16"/>
  <c r="C8" i="16"/>
  <c r="C9" i="16"/>
  <c r="C10" i="16"/>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48" i="16"/>
  <c r="C49" i="16"/>
  <c r="C50" i="16"/>
  <c r="C51" i="16"/>
  <c r="C52" i="16"/>
  <c r="C53" i="16"/>
  <c r="C54" i="16"/>
  <c r="C55" i="16"/>
  <c r="C56" i="16"/>
  <c r="C57" i="16"/>
  <c r="C58" i="16"/>
  <c r="C59" i="16"/>
  <c r="C60" i="16"/>
  <c r="C61" i="16"/>
  <c r="C62" i="16"/>
  <c r="C63" i="16"/>
  <c r="C64" i="16"/>
  <c r="C65" i="16"/>
  <c r="C66" i="16"/>
  <c r="C67" i="16"/>
  <c r="C68" i="16"/>
  <c r="C69" i="16"/>
  <c r="C70" i="16"/>
  <c r="C71" i="16"/>
  <c r="C72" i="16"/>
  <c r="C73" i="16"/>
  <c r="C74" i="16"/>
  <c r="C75" i="16"/>
  <c r="C76" i="16"/>
  <c r="C77" i="16"/>
  <c r="C78" i="16"/>
  <c r="C4" i="16"/>
  <c r="B5" i="17"/>
  <c r="B6" i="17"/>
  <c r="B7" i="17"/>
  <c r="B8" i="17"/>
  <c r="B9" i="17"/>
  <c r="B10" i="17"/>
  <c r="B11" i="17"/>
  <c r="B12" i="17"/>
  <c r="B13" i="17"/>
  <c r="B14" i="17"/>
  <c r="B15" i="17"/>
  <c r="B16" i="17"/>
  <c r="B17" i="17"/>
  <c r="B18" i="17"/>
  <c r="B19" i="17"/>
  <c r="B20" i="17"/>
  <c r="B21" i="17"/>
  <c r="B22" i="17"/>
  <c r="B23" i="17"/>
  <c r="B24" i="17"/>
  <c r="B25" i="17"/>
  <c r="B26" i="17"/>
  <c r="B27" i="17"/>
  <c r="B28" i="17"/>
  <c r="B29" i="17"/>
  <c r="B30" i="17"/>
  <c r="B31" i="17"/>
  <c r="B32" i="17"/>
  <c r="B33" i="17"/>
  <c r="B34" i="17"/>
  <c r="B35" i="17"/>
  <c r="B36" i="17"/>
  <c r="B37" i="17"/>
  <c r="B38" i="17"/>
  <c r="B39" i="17"/>
  <c r="B40" i="17"/>
  <c r="B41" i="17"/>
  <c r="B42" i="17"/>
  <c r="B43" i="17"/>
  <c r="B44" i="17"/>
  <c r="B45" i="17"/>
  <c r="B46" i="17"/>
  <c r="B47" i="17"/>
  <c r="B48" i="17"/>
  <c r="B49" i="17"/>
  <c r="B50" i="17"/>
  <c r="B51" i="17"/>
  <c r="B52" i="17"/>
  <c r="B53" i="17"/>
  <c r="B54" i="17"/>
  <c r="B55" i="17"/>
  <c r="B56" i="17"/>
  <c r="B57" i="17"/>
  <c r="B58" i="17"/>
  <c r="B59" i="17"/>
  <c r="B60" i="17"/>
  <c r="B61" i="17"/>
  <c r="B62" i="17"/>
  <c r="B63" i="17"/>
  <c r="B64" i="17"/>
  <c r="B65" i="17"/>
  <c r="B66" i="17"/>
  <c r="B67" i="17"/>
  <c r="B68" i="17"/>
  <c r="B69" i="17"/>
  <c r="B70" i="17"/>
  <c r="B71" i="17"/>
  <c r="B72" i="17"/>
  <c r="B73" i="17"/>
  <c r="B74" i="17"/>
  <c r="B75" i="17"/>
  <c r="B76" i="17"/>
  <c r="B77" i="17"/>
  <c r="B78" i="17"/>
  <c r="B4" i="17"/>
  <c r="A5" i="17"/>
  <c r="A6" i="17" s="1"/>
  <c r="A7" i="17" s="1"/>
  <c r="A8" i="17" s="1"/>
  <c r="A9" i="17" s="1"/>
  <c r="A10" i="17" s="1"/>
  <c r="A11" i="17" s="1"/>
  <c r="A12" i="17" s="1"/>
  <c r="A13" i="17" s="1"/>
  <c r="A14" i="17" s="1"/>
  <c r="A15" i="17" s="1"/>
  <c r="A16" i="17" s="1"/>
  <c r="A17" i="17" s="1"/>
  <c r="A18" i="17" s="1"/>
  <c r="A19" i="17" s="1"/>
  <c r="A20" i="17" s="1"/>
  <c r="A21" i="17" s="1"/>
  <c r="A22" i="17" s="1"/>
  <c r="A23" i="17" s="1"/>
  <c r="A24" i="17" s="1"/>
  <c r="A25" i="17" s="1"/>
  <c r="A26" i="17" s="1"/>
  <c r="A27" i="17" s="1"/>
  <c r="A28" i="17" s="1"/>
  <c r="A29" i="17" s="1"/>
  <c r="A30" i="17" s="1"/>
  <c r="A31" i="17" s="1"/>
  <c r="A32" i="17" s="1"/>
  <c r="A33" i="17" s="1"/>
  <c r="A34" i="17" s="1"/>
  <c r="A35" i="17" s="1"/>
  <c r="A36" i="17" s="1"/>
  <c r="A37" i="17" s="1"/>
  <c r="A38" i="17" s="1"/>
  <c r="A39" i="17" s="1"/>
  <c r="A40" i="17" s="1"/>
  <c r="A41" i="17" s="1"/>
  <c r="A42" i="17" s="1"/>
  <c r="A43" i="17" s="1"/>
  <c r="A44" i="17" s="1"/>
  <c r="A45" i="17" s="1"/>
  <c r="A46" i="17" s="1"/>
  <c r="A47" i="17" s="1"/>
  <c r="A48" i="17" s="1"/>
  <c r="A49" i="17" s="1"/>
  <c r="A50" i="17" s="1"/>
  <c r="A51" i="17" s="1"/>
  <c r="A52" i="17" s="1"/>
  <c r="A53" i="17" s="1"/>
  <c r="A54" i="17" s="1"/>
  <c r="A55" i="17" s="1"/>
  <c r="A56" i="17" s="1"/>
  <c r="A57" i="17" s="1"/>
  <c r="A58" i="17" s="1"/>
  <c r="A59" i="17" s="1"/>
  <c r="A60" i="17" s="1"/>
  <c r="A61" i="17" s="1"/>
  <c r="A62" i="17" s="1"/>
  <c r="A63" i="17" s="1"/>
  <c r="A64" i="17" s="1"/>
  <c r="A65" i="17" s="1"/>
  <c r="A66" i="17" s="1"/>
  <c r="A67" i="17" s="1"/>
  <c r="A68" i="17" s="1"/>
  <c r="A69" i="17" s="1"/>
  <c r="A70" i="17" s="1"/>
  <c r="A71" i="17" s="1"/>
  <c r="A72" i="17" s="1"/>
  <c r="A73" i="17" s="1"/>
  <c r="A74" i="17" s="1"/>
  <c r="A75" i="17" s="1"/>
  <c r="A76" i="17" s="1"/>
  <c r="A77" i="17" s="1"/>
  <c r="A78" i="17" s="1"/>
  <c r="B5" i="16"/>
  <c r="B6" i="16"/>
  <c r="B7" i="16"/>
  <c r="B8" i="16"/>
  <c r="B9" i="16"/>
  <c r="B10" i="16"/>
  <c r="B11" i="16"/>
  <c r="B12" i="16"/>
  <c r="B13" i="16"/>
  <c r="B14" i="16"/>
  <c r="B15" i="16"/>
  <c r="B16" i="16"/>
  <c r="B17" i="16"/>
  <c r="B18" i="16"/>
  <c r="B19" i="16"/>
  <c r="B20" i="16"/>
  <c r="B21" i="16"/>
  <c r="B22" i="16"/>
  <c r="B23" i="16"/>
  <c r="B24" i="16"/>
  <c r="B25" i="16"/>
  <c r="B26" i="16"/>
  <c r="B27" i="16"/>
  <c r="B28" i="16"/>
  <c r="B29" i="16"/>
  <c r="B30" i="16"/>
  <c r="B31" i="16"/>
  <c r="B32" i="16"/>
  <c r="B33" i="16"/>
  <c r="B34" i="16"/>
  <c r="B35" i="16"/>
  <c r="B36" i="16"/>
  <c r="B37" i="16"/>
  <c r="B38" i="16"/>
  <c r="B39" i="16"/>
  <c r="B40" i="16"/>
  <c r="B41" i="16"/>
  <c r="B42" i="16"/>
  <c r="B43" i="16"/>
  <c r="B44" i="16"/>
  <c r="B45" i="16"/>
  <c r="B46" i="16"/>
  <c r="B47" i="16"/>
  <c r="B48" i="16"/>
  <c r="B49" i="16"/>
  <c r="B50" i="16"/>
  <c r="B51" i="16"/>
  <c r="B52" i="16"/>
  <c r="B53" i="16"/>
  <c r="B54" i="16"/>
  <c r="B55" i="16"/>
  <c r="B56" i="16"/>
  <c r="B57" i="16"/>
  <c r="B58" i="16"/>
  <c r="B59" i="16"/>
  <c r="B60" i="16"/>
  <c r="B61" i="16"/>
  <c r="B62" i="16"/>
  <c r="B63" i="16"/>
  <c r="B64" i="16"/>
  <c r="B65" i="16"/>
  <c r="B66" i="16"/>
  <c r="B67" i="16"/>
  <c r="B68" i="16"/>
  <c r="B69" i="16"/>
  <c r="B70" i="16"/>
  <c r="B71" i="16"/>
  <c r="B72" i="16"/>
  <c r="B73" i="16"/>
  <c r="B74" i="16"/>
  <c r="B75" i="16"/>
  <c r="B76" i="16"/>
  <c r="B77" i="16"/>
  <c r="B78" i="16"/>
  <c r="B4" i="16"/>
  <c r="A5" i="16"/>
  <c r="A6" i="16" s="1"/>
  <c r="A7" i="16" s="1"/>
  <c r="A8" i="16" s="1"/>
  <c r="A9" i="16" s="1"/>
  <c r="A10" i="16" s="1"/>
  <c r="A11" i="16" s="1"/>
  <c r="A12" i="16" s="1"/>
  <c r="A13" i="16" s="1"/>
  <c r="A14" i="16" s="1"/>
  <c r="A15" i="16" s="1"/>
  <c r="A16" i="16" s="1"/>
  <c r="A17" i="16" s="1"/>
  <c r="A18" i="16" s="1"/>
  <c r="A19" i="16" s="1"/>
  <c r="A20" i="16" s="1"/>
  <c r="A21" i="16" s="1"/>
  <c r="A22" i="16" s="1"/>
  <c r="A23" i="16" s="1"/>
  <c r="A24" i="16" s="1"/>
  <c r="A25" i="16" s="1"/>
  <c r="A26" i="16" s="1"/>
  <c r="A27" i="16" s="1"/>
  <c r="A28" i="16" s="1"/>
  <c r="A29" i="16" s="1"/>
  <c r="A30" i="16" s="1"/>
  <c r="A31" i="16" s="1"/>
  <c r="A32" i="16" s="1"/>
  <c r="A33" i="16" s="1"/>
  <c r="A34" i="16" s="1"/>
  <c r="A35" i="16" s="1"/>
  <c r="A36" i="16" s="1"/>
  <c r="A37" i="16" s="1"/>
  <c r="A38" i="16" s="1"/>
  <c r="A39" i="16" s="1"/>
  <c r="A40" i="16" s="1"/>
  <c r="A41" i="16" s="1"/>
  <c r="A42" i="16" s="1"/>
  <c r="A43" i="16" s="1"/>
  <c r="A44" i="16" s="1"/>
  <c r="A45" i="16" s="1"/>
  <c r="A46" i="16" s="1"/>
  <c r="A47" i="16" s="1"/>
  <c r="A48" i="16" s="1"/>
  <c r="A49" i="16" s="1"/>
  <c r="A50" i="16" s="1"/>
  <c r="A51" i="16" s="1"/>
  <c r="A52" i="16" s="1"/>
  <c r="A53" i="16" s="1"/>
  <c r="A54" i="16" s="1"/>
  <c r="A55" i="16" s="1"/>
  <c r="A56" i="16" s="1"/>
  <c r="A57" i="16" s="1"/>
  <c r="A58" i="16" s="1"/>
  <c r="A59" i="16" s="1"/>
  <c r="A60" i="16" s="1"/>
  <c r="A61" i="16" s="1"/>
  <c r="A62" i="16" s="1"/>
  <c r="A63" i="16" s="1"/>
  <c r="A64" i="16" s="1"/>
  <c r="A65" i="16" s="1"/>
  <c r="A66" i="16" s="1"/>
  <c r="A67" i="16" s="1"/>
  <c r="A68" i="16" s="1"/>
  <c r="A69" i="16" s="1"/>
  <c r="A70" i="16" s="1"/>
  <c r="A71" i="16" s="1"/>
  <c r="A72" i="16" s="1"/>
  <c r="A73" i="16" s="1"/>
  <c r="A74" i="16" s="1"/>
  <c r="A75" i="16" s="1"/>
  <c r="A76" i="16" s="1"/>
  <c r="A77" i="16" s="1"/>
  <c r="A78" i="16" s="1"/>
  <c r="B4" i="13"/>
  <c r="A5" i="13"/>
  <c r="A6" i="13" s="1"/>
  <c r="A7" i="13" s="1"/>
  <c r="A8" i="13" s="1"/>
  <c r="A9" i="13" s="1"/>
  <c r="A10" i="13" s="1"/>
  <c r="A11" i="13" s="1"/>
  <c r="A12" i="13" s="1"/>
  <c r="A13" i="13" s="1"/>
  <c r="A14" i="13" s="1"/>
  <c r="A15" i="13" s="1"/>
  <c r="A16" i="13" s="1"/>
  <c r="A17" i="13" s="1"/>
  <c r="A18" i="13" s="1"/>
  <c r="A19" i="13" s="1"/>
  <c r="A20" i="13" s="1"/>
  <c r="A21" i="13" s="1"/>
  <c r="A22" i="13" s="1"/>
  <c r="A23" i="13" s="1"/>
  <c r="A24" i="13" s="1"/>
  <c r="A25" i="13" s="1"/>
  <c r="A26" i="13" s="1"/>
  <c r="A27" i="13" s="1"/>
  <c r="A28" i="13" s="1"/>
  <c r="A29" i="13" s="1"/>
  <c r="A30" i="13" s="1"/>
  <c r="A31" i="13" s="1"/>
  <c r="A32" i="13" s="1"/>
  <c r="A33" i="13" s="1"/>
  <c r="A34" i="13" s="1"/>
  <c r="A35" i="13" s="1"/>
  <c r="A36" i="13" s="1"/>
  <c r="A37" i="13" s="1"/>
  <c r="A38" i="13" s="1"/>
  <c r="A39" i="13" s="1"/>
  <c r="A40" i="13" s="1"/>
  <c r="A41" i="13" s="1"/>
  <c r="A42" i="13" s="1"/>
  <c r="A43" i="13" s="1"/>
  <c r="A44" i="13" s="1"/>
  <c r="A45" i="13" s="1"/>
  <c r="A46" i="13" s="1"/>
  <c r="A47" i="13" s="1"/>
  <c r="A48" i="13" s="1"/>
  <c r="A49" i="13" s="1"/>
  <c r="A50" i="13" s="1"/>
  <c r="E3" i="13" s="1"/>
  <c r="A5" i="12"/>
  <c r="A6" i="12" s="1"/>
  <c r="A7" i="12" s="1"/>
  <c r="A8" i="12" s="1"/>
  <c r="A9" i="12" s="1"/>
  <c r="A10" i="12" s="1"/>
  <c r="A11" i="12" s="1"/>
  <c r="A12" i="12" s="1"/>
  <c r="A13" i="12" s="1"/>
  <c r="A14" i="12" s="1"/>
  <c r="A15" i="12" s="1"/>
  <c r="A16" i="12" s="1"/>
  <c r="A17" i="12" s="1"/>
  <c r="A18" i="12" s="1"/>
  <c r="A19" i="12" s="1"/>
  <c r="A5" i="11"/>
  <c r="A6" i="11" s="1"/>
  <c r="A7" i="11" s="1"/>
  <c r="A8" i="11" s="1"/>
  <c r="A9" i="11" s="1"/>
  <c r="A10" i="11" s="1"/>
  <c r="A11" i="11" s="1"/>
  <c r="A12" i="11" s="1"/>
  <c r="A13" i="11" s="1"/>
  <c r="A14" i="11" s="1"/>
  <c r="A15" i="11" s="1"/>
  <c r="A16" i="11" s="1"/>
  <c r="A17" i="11" s="1"/>
  <c r="A18" i="11" s="1"/>
  <c r="A19" i="11" s="1"/>
  <c r="A20" i="11" s="1"/>
  <c r="A21" i="11" s="1"/>
  <c r="A22" i="11" s="1"/>
  <c r="A23" i="11" s="1"/>
  <c r="A24" i="11" s="1"/>
  <c r="A25" i="11" s="1"/>
  <c r="A26" i="11" s="1"/>
  <c r="A27" i="11" s="1"/>
  <c r="A28" i="11" s="1"/>
  <c r="A29" i="11" s="1"/>
  <c r="B5" i="11"/>
  <c r="C5" i="11"/>
  <c r="B6" i="11"/>
  <c r="C6" i="11"/>
  <c r="B7" i="11"/>
  <c r="C7" i="11"/>
  <c r="B8" i="11"/>
  <c r="C8" i="11"/>
  <c r="B9" i="11"/>
  <c r="C9" i="11"/>
  <c r="B10" i="11"/>
  <c r="C10" i="11"/>
  <c r="B11" i="11"/>
  <c r="C11" i="11"/>
  <c r="B12" i="11"/>
  <c r="C12" i="11"/>
  <c r="B13" i="11"/>
  <c r="C13" i="11"/>
  <c r="B14" i="11"/>
  <c r="C14" i="11"/>
  <c r="B15" i="11"/>
  <c r="C15" i="11"/>
  <c r="B16" i="11"/>
  <c r="C16" i="11"/>
  <c r="B17" i="11"/>
  <c r="C17" i="11"/>
  <c r="B18" i="11"/>
  <c r="C18" i="11"/>
  <c r="B19" i="11"/>
  <c r="C19" i="11"/>
  <c r="B20" i="11"/>
  <c r="C20" i="11"/>
  <c r="B21" i="11"/>
  <c r="C21" i="11"/>
  <c r="B22" i="11"/>
  <c r="C22" i="11"/>
  <c r="B23" i="11"/>
  <c r="C23" i="11"/>
  <c r="B24" i="11"/>
  <c r="C24" i="11"/>
  <c r="B25" i="11"/>
  <c r="C25" i="11"/>
  <c r="B26" i="11"/>
  <c r="C26" i="11"/>
  <c r="B27" i="11"/>
  <c r="C27" i="11"/>
  <c r="B28" i="11"/>
  <c r="C28" i="11"/>
  <c r="B29" i="11"/>
  <c r="C29" i="11"/>
  <c r="C4" i="11"/>
  <c r="B4" i="11"/>
  <c r="A20" i="12" l="1"/>
  <c r="A21" i="12" s="1"/>
  <c r="A22" i="12" s="1"/>
  <c r="A23" i="12" s="1"/>
  <c r="A24" i="12" s="1"/>
  <c r="A25" i="12" s="1"/>
  <c r="A26" i="12" s="1"/>
  <c r="A27" i="12" s="1"/>
  <c r="A28" i="12" s="1"/>
  <c r="A29" i="12" s="1"/>
  <c r="A30" i="12" s="1"/>
  <c r="A31" i="12" s="1"/>
  <c r="A32" i="12" s="1"/>
  <c r="A33" i="12" s="1"/>
  <c r="A34" i="12" s="1"/>
  <c r="A35" i="12" s="1"/>
  <c r="A36" i="12" s="1"/>
  <c r="A37" i="12" s="1"/>
  <c r="A38" i="12" s="1"/>
  <c r="A39" i="12" s="1"/>
  <c r="A40" i="12" s="1"/>
  <c r="A41" i="12" s="1"/>
  <c r="A42" i="12" s="1"/>
  <c r="A43" i="12" s="1"/>
  <c r="A44" i="12" s="1"/>
  <c r="A45" i="12" s="1"/>
  <c r="A46" i="12" s="1"/>
  <c r="A47" i="12" s="1"/>
  <c r="A48" i="12" s="1"/>
  <c r="A49" i="12" s="1"/>
  <c r="A50" i="12" s="1"/>
  <c r="A51" i="12" s="1"/>
  <c r="A52" i="12" s="1"/>
  <c r="A53" i="12" s="1"/>
  <c r="A54" i="12" s="1"/>
  <c r="A55" i="12" s="1"/>
  <c r="A56" i="12" s="1"/>
  <c r="A57" i="12" s="1"/>
  <c r="A58" i="12" s="1"/>
  <c r="A59" i="12" s="1"/>
  <c r="A60" i="12" s="1"/>
  <c r="A61" i="12" s="1"/>
  <c r="A62" i="12" s="1"/>
  <c r="A63" i="12" s="1"/>
  <c r="A64" i="12" s="1"/>
  <c r="A65" i="12" s="1"/>
  <c r="A66" i="12" s="1"/>
  <c r="A67" i="12" s="1"/>
  <c r="A68" i="12" s="1"/>
  <c r="A69" i="12" s="1"/>
  <c r="A70" i="12" s="1"/>
  <c r="A71" i="12" s="1"/>
  <c r="A72" i="12" s="1"/>
  <c r="A73" i="12" s="1"/>
  <c r="A74" i="12" s="1"/>
  <c r="A75" i="12" s="1"/>
  <c r="A76" i="12" s="1"/>
  <c r="E4" i="13"/>
  <c r="E5" i="13" s="1"/>
  <c r="E6" i="13" s="1"/>
  <c r="E7" i="13" s="1"/>
  <c r="E8" i="13" s="1"/>
  <c r="E9" i="13" s="1"/>
  <c r="E10" i="13" s="1"/>
  <c r="E11" i="13" s="1"/>
  <c r="E12" i="13" s="1"/>
  <c r="E13" i="13" s="1"/>
  <c r="E14" i="13" s="1"/>
  <c r="E15" i="13" s="1"/>
  <c r="E16" i="13" s="1"/>
  <c r="E17" i="13" s="1"/>
  <c r="E18" i="13" s="1"/>
  <c r="E19" i="13" s="1"/>
  <c r="E20" i="13" s="1"/>
  <c r="E21" i="13" s="1"/>
  <c r="E22" i="13" s="1"/>
  <c r="E23" i="13" s="1"/>
  <c r="E24" i="13" s="1"/>
  <c r="E25" i="13" s="1"/>
  <c r="E26" i="13" s="1"/>
  <c r="E27" i="13" s="1"/>
  <c r="E28" i="13" s="1"/>
  <c r="E29" i="13" s="1"/>
  <c r="E30" i="13" s="1"/>
  <c r="E31" i="13" s="1"/>
  <c r="E32" i="13" s="1"/>
  <c r="E33" i="13" s="1"/>
  <c r="E34" i="13" s="1"/>
  <c r="E35" i="13" s="1"/>
  <c r="E36" i="13" s="1"/>
  <c r="E37" i="13" s="1"/>
  <c r="E38" i="13" s="1"/>
  <c r="E39" i="13" s="1"/>
  <c r="E40" i="13" s="1"/>
  <c r="E41" i="13" s="1"/>
  <c r="E42" i="13" s="1"/>
  <c r="E43" i="13" s="1"/>
  <c r="E44" i="13" s="1"/>
  <c r="E45" i="13" s="1"/>
  <c r="E46" i="13" s="1"/>
  <c r="E47" i="13" s="1"/>
  <c r="E48" i="13" s="1"/>
  <c r="R33" i="3"/>
  <c r="R69" i="3" l="1"/>
  <c r="R86" i="3"/>
  <c r="R75" i="3"/>
  <c r="R71" i="3"/>
  <c r="R66" i="3" l="1"/>
  <c r="R80" i="3" l="1"/>
  <c r="R93" i="3" l="1"/>
  <c r="R92" i="3"/>
  <c r="R91" i="3"/>
  <c r="R89" i="3"/>
  <c r="R87" i="3"/>
  <c r="R79" i="3"/>
  <c r="R76" i="3"/>
  <c r="R14" i="3"/>
  <c r="R15" i="3"/>
  <c r="R16" i="3"/>
  <c r="R17" i="3"/>
  <c r="R21" i="3"/>
  <c r="R22" i="3"/>
  <c r="R23" i="3"/>
  <c r="R24" i="3"/>
  <c r="R25" i="3"/>
  <c r="R26" i="3"/>
  <c r="R27" i="3"/>
  <c r="R28" i="3"/>
  <c r="R29" i="3"/>
  <c r="R30" i="3"/>
  <c r="R31" i="3"/>
  <c r="R32" i="3"/>
  <c r="R40" i="3"/>
  <c r="R41" i="3"/>
  <c r="R42" i="3"/>
  <c r="R43" i="3"/>
  <c r="R44" i="3"/>
  <c r="R45" i="3"/>
  <c r="R46" i="3"/>
  <c r="R50" i="3"/>
  <c r="R51" i="3"/>
  <c r="R52" i="3"/>
  <c r="R55" i="3"/>
  <c r="R56" i="3"/>
  <c r="R57" i="3"/>
  <c r="R60" i="3"/>
  <c r="R61" i="3"/>
  <c r="R62" i="3"/>
  <c r="R65" i="3"/>
  <c r="R70" i="3"/>
  <c r="R78" i="3"/>
  <c r="R88" i="3"/>
  <c r="R90" i="3"/>
  <c r="R13" i="3"/>
  <c r="N138" i="9" l="1"/>
  <c r="N137" i="9"/>
  <c r="N136" i="9"/>
  <c r="N135" i="9"/>
  <c r="N133" i="9"/>
  <c r="N132" i="9"/>
  <c r="N131" i="9"/>
  <c r="N130" i="9"/>
  <c r="N129" i="9"/>
  <c r="N128" i="9"/>
  <c r="N127" i="9"/>
  <c r="N126" i="9"/>
  <c r="N125" i="9"/>
  <c r="N124" i="9"/>
  <c r="N123" i="9"/>
  <c r="N122" i="9"/>
  <c r="N121" i="9"/>
  <c r="N120" i="9"/>
  <c r="N119" i="9"/>
  <c r="N118" i="9"/>
  <c r="N117" i="9"/>
  <c r="N116" i="9"/>
  <c r="N115" i="9"/>
  <c r="N114" i="9"/>
  <c r="N113" i="9"/>
  <c r="N112" i="9"/>
  <c r="N111" i="9"/>
  <c r="N110" i="9"/>
  <c r="N109" i="9"/>
  <c r="N108" i="9"/>
  <c r="N107" i="9"/>
  <c r="N106" i="9"/>
  <c r="N105" i="9"/>
  <c r="N104" i="9"/>
  <c r="N103" i="9"/>
  <c r="N102" i="9"/>
  <c r="N101" i="9"/>
  <c r="N100" i="9"/>
  <c r="N99" i="9"/>
  <c r="N98" i="9"/>
  <c r="N95" i="9"/>
  <c r="N94" i="9"/>
  <c r="N93" i="9"/>
  <c r="N92" i="9"/>
  <c r="N90" i="9"/>
  <c r="N89" i="9"/>
  <c r="N88" i="9"/>
  <c r="N87" i="9"/>
  <c r="N86" i="9"/>
  <c r="N85" i="9"/>
  <c r="N84" i="9"/>
  <c r="N83" i="9"/>
  <c r="N82" i="9"/>
  <c r="N81" i="9"/>
  <c r="N80" i="9"/>
  <c r="N79" i="9"/>
  <c r="N78" i="9"/>
  <c r="N77" i="9"/>
  <c r="N76" i="9"/>
  <c r="N75" i="9"/>
  <c r="N74" i="9"/>
  <c r="N73" i="9"/>
  <c r="N72" i="9"/>
  <c r="N71" i="9"/>
  <c r="N70" i="9"/>
  <c r="N69" i="9"/>
  <c r="N68" i="9"/>
  <c r="N67" i="9"/>
  <c r="N66" i="9"/>
  <c r="N65" i="9"/>
  <c r="N64" i="9"/>
  <c r="N63" i="9"/>
  <c r="N60" i="9"/>
  <c r="N59" i="9"/>
  <c r="N58" i="9"/>
  <c r="N57" i="9"/>
  <c r="N55" i="9"/>
  <c r="N54" i="9"/>
  <c r="N53" i="9"/>
  <c r="N52" i="9"/>
  <c r="N51" i="9"/>
  <c r="N50" i="9"/>
  <c r="N49" i="9"/>
  <c r="N48" i="9"/>
  <c r="N47" i="9"/>
  <c r="N46" i="9"/>
  <c r="N45" i="9"/>
  <c r="N44" i="9"/>
  <c r="N43" i="9"/>
  <c r="N42" i="9"/>
  <c r="N41" i="9"/>
  <c r="N40" i="9"/>
  <c r="N39" i="9"/>
  <c r="N38" i="9"/>
  <c r="N37" i="9"/>
  <c r="N36" i="9"/>
  <c r="N35" i="9"/>
  <c r="N34" i="9"/>
  <c r="N33" i="9"/>
  <c r="N32" i="9"/>
  <c r="N31" i="9"/>
  <c r="N30" i="9"/>
  <c r="N29" i="9"/>
  <c r="N27" i="9"/>
  <c r="N26" i="9"/>
  <c r="N25" i="9"/>
  <c r="N24" i="9"/>
  <c r="N23" i="9"/>
  <c r="N21" i="9"/>
  <c r="N20" i="9"/>
  <c r="N19" i="9"/>
  <c r="N18" i="9"/>
  <c r="N17" i="9"/>
  <c r="N16" i="9"/>
  <c r="N15" i="9"/>
  <c r="C5" i="9"/>
  <c r="C4" i="9"/>
  <c r="AI13" i="8" l="1"/>
  <c r="AJ13" i="8" s="1"/>
  <c r="M28" i="8" s="1"/>
  <c r="L29" i="8" s="1"/>
  <c r="M139" i="8" l="1"/>
  <c r="M138" i="8"/>
  <c r="L138" i="8" s="1"/>
  <c r="J138" i="8" s="1"/>
  <c r="M22" i="8"/>
  <c r="AK15" i="8"/>
  <c r="AK16" i="8" s="1"/>
  <c r="L55" i="8" l="1"/>
  <c r="J55" i="8" s="1"/>
  <c r="M143" i="8"/>
  <c r="N143" i="8" s="1"/>
  <c r="J139" i="8"/>
  <c r="H139" i="8"/>
  <c r="H22" i="8"/>
  <c r="H143" i="8" l="1"/>
  <c r="H144" i="8" s="1"/>
  <c r="J29" i="8"/>
  <c r="L28" i="8"/>
  <c r="AG28" i="8" s="1"/>
  <c r="M149" i="8"/>
  <c r="K24" i="8"/>
  <c r="K25" i="8" s="1"/>
  <c r="K26" i="8" s="1"/>
  <c r="K27" i="8" s="1"/>
  <c r="K138" i="8"/>
  <c r="K140" i="8" s="1"/>
  <c r="K141" i="8" s="1"/>
  <c r="K43" i="8"/>
  <c r="K44" i="8" s="1"/>
  <c r="K45" i="8" s="1"/>
  <c r="K46" i="8" s="1"/>
  <c r="K47" i="8" s="1"/>
  <c r="K48" i="8" s="1"/>
  <c r="K49" i="8" s="1"/>
  <c r="K50" i="8" s="1"/>
  <c r="K51" i="8" s="1"/>
  <c r="K52" i="8" s="1"/>
  <c r="K55" i="8" s="1"/>
  <c r="K56" i="8" s="1"/>
  <c r="K57" i="8" s="1"/>
  <c r="K58" i="8" s="1"/>
  <c r="W141" i="8"/>
  <c r="W140" i="8"/>
  <c r="W138" i="8"/>
  <c r="W139" i="8"/>
  <c r="W136" i="8"/>
  <c r="W135" i="8"/>
  <c r="W134" i="8"/>
  <c r="W133" i="8"/>
  <c r="W132" i="8"/>
  <c r="W131" i="8"/>
  <c r="W130" i="8"/>
  <c r="W129" i="8"/>
  <c r="W128" i="8"/>
  <c r="W127" i="8"/>
  <c r="W126" i="8"/>
  <c r="W125" i="8"/>
  <c r="W124" i="8"/>
  <c r="W123" i="8"/>
  <c r="W122" i="8"/>
  <c r="W121" i="8"/>
  <c r="W120" i="8"/>
  <c r="W119" i="8"/>
  <c r="W118" i="8"/>
  <c r="W117" i="8"/>
  <c r="W116" i="8"/>
  <c r="W115" i="8"/>
  <c r="W114" i="8"/>
  <c r="W113" i="8"/>
  <c r="W112" i="8"/>
  <c r="W111" i="8"/>
  <c r="W110" i="8"/>
  <c r="W109" i="8"/>
  <c r="W108" i="8"/>
  <c r="W107" i="8"/>
  <c r="W106" i="8"/>
  <c r="W105" i="8"/>
  <c r="W104" i="8"/>
  <c r="W103" i="8"/>
  <c r="W102" i="8"/>
  <c r="W101" i="8"/>
  <c r="W98" i="8"/>
  <c r="W97" i="8"/>
  <c r="W96" i="8"/>
  <c r="W95" i="8"/>
  <c r="W93" i="8"/>
  <c r="W92" i="8"/>
  <c r="W91" i="8"/>
  <c r="W90" i="8"/>
  <c r="W89" i="8"/>
  <c r="W88" i="8"/>
  <c r="W87" i="8"/>
  <c r="W86" i="8"/>
  <c r="W85" i="8"/>
  <c r="W84" i="8"/>
  <c r="W83" i="8"/>
  <c r="W82" i="8"/>
  <c r="W81" i="8"/>
  <c r="W80" i="8"/>
  <c r="W79" i="8"/>
  <c r="W78" i="8"/>
  <c r="W77" i="8"/>
  <c r="W76" i="8"/>
  <c r="W75" i="8"/>
  <c r="W74" i="8"/>
  <c r="W73" i="8"/>
  <c r="W72" i="8"/>
  <c r="W71" i="8"/>
  <c r="W70" i="8"/>
  <c r="W69" i="8"/>
  <c r="W68" i="8"/>
  <c r="W67" i="8"/>
  <c r="W66" i="8"/>
  <c r="W63" i="8"/>
  <c r="W62" i="8"/>
  <c r="W61" i="8"/>
  <c r="W60" i="8"/>
  <c r="W58" i="8"/>
  <c r="W57" i="8"/>
  <c r="W56" i="8"/>
  <c r="W55" i="8"/>
  <c r="W52" i="8"/>
  <c r="W51" i="8"/>
  <c r="W50" i="8"/>
  <c r="W49" i="8"/>
  <c r="W48" i="8"/>
  <c r="W47" i="8"/>
  <c r="W46" i="8"/>
  <c r="W45" i="8"/>
  <c r="W44" i="8"/>
  <c r="W43" i="8"/>
  <c r="W42" i="8"/>
  <c r="W41" i="8"/>
  <c r="W40" i="8"/>
  <c r="W39" i="8"/>
  <c r="W38" i="8"/>
  <c r="W37" i="8"/>
  <c r="W36" i="8"/>
  <c r="W35" i="8"/>
  <c r="W34" i="8"/>
  <c r="W33" i="8"/>
  <c r="W32" i="8"/>
  <c r="W31" i="8"/>
  <c r="W30" i="8"/>
  <c r="W27" i="8"/>
  <c r="W26" i="8"/>
  <c r="W25" i="8"/>
  <c r="W24" i="8"/>
  <c r="W23" i="8"/>
  <c r="W21" i="8"/>
  <c r="W20" i="8"/>
  <c r="W19" i="8"/>
  <c r="W18" i="8"/>
  <c r="W17" i="8"/>
  <c r="Y16" i="8"/>
  <c r="W16" i="8"/>
  <c r="W15" i="8"/>
  <c r="C8" i="8"/>
  <c r="C7" i="8"/>
  <c r="C5" i="8"/>
  <c r="C4" i="8"/>
  <c r="M148" i="8" l="1"/>
  <c r="J143" i="8"/>
  <c r="J144" i="8" s="1"/>
  <c r="C5" i="3" l="1"/>
  <c r="C4"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100-000001000000}">
      <text>
        <r>
          <rPr>
            <sz val="10"/>
            <color rgb="FF000000"/>
            <rFont val="Arial"/>
            <family val="2"/>
            <scheme val="minor"/>
          </rPr>
          <t>[Threaded comment]
Your version of Excel allows you to read this threaded comment; however, any edits to it will get removed if the file is opened in a newer version of Excel. Learn more: https://go.microsoft.com/fwlink/?linkid=870924
Comment:
    Cập nhật lại - quá dài so với quy định</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P13" authorId="0" shapeId="0" xr:uid="{00000000-0006-0000-0500-000001000000}">
      <text>
        <r>
          <rPr>
            <sz val="10"/>
            <color rgb="FF000000"/>
            <rFont val="Arial"/>
            <family val="2"/>
            <scheme val="minor"/>
          </rPr>
          <t>[Threaded comment]
Your version of Excel allows you to read this threaded comment; however, any edits to it will get removed if the file is opened in a newer version of Excel. Learn more: https://go.microsoft.com/fwlink/?linkid=870924
Comment:
    Kiến nghị đặt tên VD31 chung cho cả đường và cầu. Xác nhận lại sự cần thiết phải tách Cầu-Đường do Hợp đồng hay ko?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G13" authorId="0" shapeId="0" xr:uid="{00000000-0006-0000-0600-000001000000}">
      <text>
        <r>
          <rPr>
            <sz val="10"/>
            <color rgb="FF000000"/>
            <rFont val="Arial"/>
            <family val="2"/>
            <scheme val="minor"/>
          </rPr>
          <t>[Threaded comment]
Your version of Excel allows you to read this threaded comment; however, any edits to it will get removed if the file is opened in a newer version of Excel. Learn more: https://go.microsoft.com/fwlink/?linkid=870924
Comment:
    Kiến nghị đặt tên VD31 chung cho cả đường và cầu. Xác nhận lại sự cần thiết phải tách Cầu-Đường do Hợp đồng hay ko?</t>
        </r>
      </text>
    </comment>
  </commentList>
</comments>
</file>

<file path=xl/sharedStrings.xml><?xml version="1.0" encoding="utf-8"?>
<sst xmlns="http://schemas.openxmlformats.org/spreadsheetml/2006/main" count="5210" uniqueCount="835">
  <si>
    <t>KẾ HOẠCH CHUYỂN GIAO THÔNG TIN TỔNG THỂ (MIDP)</t>
  </si>
  <si>
    <t>Phiên bản</t>
  </si>
  <si>
    <t>Ngày</t>
  </si>
  <si>
    <t>Người phê duyệt</t>
  </si>
  <si>
    <t>Mô tả</t>
  </si>
  <si>
    <t>1.0</t>
  </si>
  <si>
    <t>Mã</t>
  </si>
  <si>
    <t xml:space="preserve">Dự án </t>
  </si>
  <si>
    <t>Đơn vị khởi tạo</t>
  </si>
  <si>
    <t>Loại/ Kiểu</t>
  </si>
  <si>
    <t xml:space="preserve">Số thứ tự </t>
  </si>
  <si>
    <t>ZZ</t>
  </si>
  <si>
    <t>A</t>
  </si>
  <si>
    <t>0001</t>
  </si>
  <si>
    <t>XX</t>
  </si>
  <si>
    <t>BQ</t>
  </si>
  <si>
    <t>B</t>
  </si>
  <si>
    <t>0002</t>
  </si>
  <si>
    <t>Tính toán</t>
  </si>
  <si>
    <t>C</t>
  </si>
  <si>
    <t>CM</t>
  </si>
  <si>
    <t>Mô hình phối hợp</t>
  </si>
  <si>
    <t>D</t>
  </si>
  <si>
    <t>E</t>
  </si>
  <si>
    <t>CR</t>
  </si>
  <si>
    <t>F</t>
  </si>
  <si>
    <t>G</t>
  </si>
  <si>
    <t>DR</t>
  </si>
  <si>
    <t>K</t>
  </si>
  <si>
    <t>L</t>
  </si>
  <si>
    <t>M</t>
  </si>
  <si>
    <t>M2</t>
  </si>
  <si>
    <t>Bản vẽ 2D</t>
  </si>
  <si>
    <t>M3</t>
  </si>
  <si>
    <t>Mô hình 3D</t>
  </si>
  <si>
    <t>S</t>
  </si>
  <si>
    <t>RI</t>
  </si>
  <si>
    <t>Yêu cầu thông tin</t>
  </si>
  <si>
    <t>RP</t>
  </si>
  <si>
    <t>Báo cáo</t>
  </si>
  <si>
    <t>Z</t>
  </si>
  <si>
    <t>SH</t>
  </si>
  <si>
    <t>Tiến độ</t>
  </si>
  <si>
    <t>SP</t>
  </si>
  <si>
    <t>SU</t>
  </si>
  <si>
    <t>Khảo sát</t>
  </si>
  <si>
    <t>MIS</t>
  </si>
  <si>
    <t>ATGT</t>
  </si>
  <si>
    <t>An toàn giao thông</t>
  </si>
  <si>
    <r>
      <rPr>
        <b/>
        <sz val="10"/>
        <color rgb="FF000000"/>
        <rFont val="Calibri"/>
        <family val="2"/>
      </rPr>
      <t xml:space="preserve">Ghi chú: </t>
    </r>
    <r>
      <rPr>
        <sz val="10"/>
        <color rgb="FF000000"/>
        <rFont val="Calibri"/>
        <family val="2"/>
      </rPr>
      <t>Các mã có thể được mở rộng theo dự án</t>
    </r>
  </si>
  <si>
    <t>Kế hoạch chuyển giao thông tin tổng thể (MIDP)</t>
  </si>
  <si>
    <t>Số hiệu Dự án</t>
  </si>
  <si>
    <t>Tiêu đề dự án</t>
  </si>
  <si>
    <t>Tác giả</t>
  </si>
  <si>
    <t>Ngày khởi tạo</t>
  </si>
  <si>
    <t>Ngày cập nhật lần cuối</t>
  </si>
  <si>
    <t>Tài liệu tham khảo</t>
  </si>
  <si>
    <t>Tham khảo tài liệu quy ước đặt tên tệp để biết thông tin</t>
  </si>
  <si>
    <t>Giai đoạn chuyển giao thông tin #1</t>
  </si>
  <si>
    <t>Giai đoạn chuyển giao thông tin #2</t>
  </si>
  <si>
    <t>Tên tệp tin</t>
  </si>
  <si>
    <t>Giai đoạn 1</t>
  </si>
  <si>
    <t>Giai đoạn 2</t>
  </si>
  <si>
    <t>BỘ MÔN</t>
  </si>
  <si>
    <t>MÔ TẢ</t>
  </si>
  <si>
    <t xml:space="preserve">Thành phần Mô hình </t>
  </si>
  <si>
    <t>ĐỊNH DẠNG TỆP TIN</t>
  </si>
  <si>
    <t>DỰ ÁN</t>
  </si>
  <si>
    <t>BÊN KHỞI TẠO</t>
  </si>
  <si>
    <t>KHỐI TÍCH/ HỆ THỐNG</t>
  </si>
  <si>
    <t>CAO TRÌNH/VỊ TRÍ</t>
  </si>
  <si>
    <t>LOẠI/ KIỂU</t>
  </si>
  <si>
    <t>VAI TRÒ/ BỘ MÔN</t>
  </si>
  <si>
    <t>SỐ THỨ TỰ</t>
  </si>
  <si>
    <t>Bên chủ trì</t>
  </si>
  <si>
    <t>LOD</t>
  </si>
  <si>
    <t>LOI</t>
  </si>
  <si>
    <t>1. Dữ liệu thiết kế </t>
  </si>
  <si>
    <t>Chỉ dẫn kỹ thuật của dự án</t>
  </si>
  <si>
    <t xml:space="preserve">Bảng tính kết cấu </t>
  </si>
  <si>
    <t>Mô hình hiện trạng</t>
  </si>
  <si>
    <t>Bố trí</t>
  </si>
  <si>
    <t>Địa hình</t>
  </si>
  <si>
    <t>Mô hình tổng thể</t>
  </si>
  <si>
    <t>TED</t>
  </si>
  <si>
    <t>NWD</t>
  </si>
  <si>
    <t>IFC</t>
  </si>
  <si>
    <t>Điện và chiếu sáng</t>
  </si>
  <si>
    <t>Biển báo</t>
  </si>
  <si>
    <t>PDF</t>
  </si>
  <si>
    <t>0003</t>
  </si>
  <si>
    <t xml:space="preserve">Đánh giá hồ sơ thiết kế </t>
  </si>
  <si>
    <t>BẢNG MÔ HÌNH THÀNH PHẦN CÔNG TRÌNH HẠ TẦNG</t>
  </si>
  <si>
    <t>H</t>
  </si>
  <si>
    <t>I</t>
  </si>
  <si>
    <t>J</t>
  </si>
  <si>
    <t>N</t>
  </si>
  <si>
    <t>O</t>
  </si>
  <si>
    <r>
      <rPr>
        <b/>
        <sz val="8"/>
        <color theme="1"/>
        <rFont val="Arial"/>
        <family val="2"/>
      </rPr>
      <t>Hướng dẫn:</t>
    </r>
    <r>
      <rPr>
        <sz val="8"/>
        <color theme="1"/>
        <rFont val="Arial"/>
        <family val="2"/>
      </rPr>
      <t xml:space="preserve">
Bảng Mô Hình Thành Phần (Model Element Table) là tài liệu các thông tin hình học và phi hình học cần thiết của từng phần tử mô hình được sử dụng trong Thông tin Trao đổi cần thiết.
</t>
    </r>
    <r>
      <rPr>
        <b/>
        <sz val="8"/>
        <color theme="1"/>
        <rFont val="Arial"/>
        <family val="2"/>
      </rPr>
      <t>Mức Phát Triển (Level of Development - LOD)</t>
    </r>
    <r>
      <rPr>
        <sz val="8"/>
        <color theme="1"/>
        <rFont val="Arial"/>
        <family val="2"/>
      </rPr>
      <t xml:space="preserve"> xác định sự chi tiết và độ hoàn thiện của hình học của một đối tượng cho một mục đích cụ thể (ví dụ, BIMForum LOD 100, 200, 300, 350, và 400).
</t>
    </r>
    <r>
      <rPr>
        <b/>
        <sz val="8"/>
        <color theme="1"/>
        <rFont val="Arial"/>
        <family val="2"/>
      </rPr>
      <t>Mức Thông Tin (Level of Information - LOI)</t>
    </r>
    <r>
      <rPr>
        <sz val="8"/>
        <color theme="1"/>
        <rFont val="Arial"/>
        <family val="2"/>
      </rPr>
      <t xml:space="preserve"> xác định các thuộc tính thông tin nên được bao gồm cho mỗi đối tượng (ví dụ, BIMForum LOD 100, 200, 300, 350, 400 từ Bảng Thuộc Tính Thông Tin).
</t>
    </r>
    <r>
      <rPr>
        <b/>
        <sz val="8"/>
        <color theme="1"/>
        <rFont val="Arial"/>
        <family val="2"/>
      </rPr>
      <t>Mức Độ Chính Xác (Level of Accuracy - LOA)</t>
    </r>
    <r>
      <rPr>
        <sz val="8"/>
        <color theme="1"/>
        <rFont val="Arial"/>
        <family val="2"/>
      </rPr>
      <t xml:space="preserve"> xác định tính đáng tin cậy của dữ liệu đồ họa cần thiết để hỗ trợ trao đổi thông tin và việc sử dụng mô hình vận hành. (ví dụ, US IBD LOA 10, 20, 30, 40, 50).
</t>
    </r>
    <r>
      <rPr>
        <b/>
        <sz val="8"/>
        <color theme="1"/>
        <rFont val="Arial"/>
        <family val="2"/>
      </rPr>
      <t>Định Dạng Thông Tin (Information Format)</t>
    </r>
    <r>
      <rPr>
        <sz val="8"/>
        <color theme="1"/>
        <rFont val="Arial"/>
        <family val="2"/>
      </rPr>
      <t xml:space="preserve"> xác định định dạng đồ họa và yêu cầu thông tin (ví dụ, 2D, 2D+Thông tin, 3D, 3D+Thông tin).
</t>
    </r>
    <r>
      <rPr>
        <b/>
        <sz val="8"/>
        <color theme="1"/>
        <rFont val="Arial"/>
        <family val="2"/>
      </rPr>
      <t>Tác Giả Phần Tử Mô Hình (Author)</t>
    </r>
    <r>
      <rPr>
        <sz val="8"/>
        <color theme="1"/>
        <rFont val="Arial"/>
        <family val="2"/>
      </rPr>
      <t xml:space="preserve"> là viết tắt của tổ chức cung cấp mô hình/thông tin cho một đối tượng được sử dụng trong một trao đổi thông tin.
</t>
    </r>
    <r>
      <rPr>
        <i/>
        <sz val="8"/>
        <color theme="1"/>
        <rFont val="Arial"/>
        <family val="2"/>
      </rPr>
      <t>Nhân bản các Cột Thông tin Trao đổi cho mỗi Thông tin Trao đổi.</t>
    </r>
  </si>
  <si>
    <r>
      <rPr>
        <b/>
        <sz val="11"/>
        <color rgb="FFFFFFFF"/>
        <rFont val="Calibri"/>
        <family val="2"/>
      </rPr>
      <t>LOD</t>
    </r>
  </si>
  <si>
    <r>
      <rPr>
        <b/>
        <sz val="11"/>
        <color rgb="FFFFFFFF"/>
        <rFont val="Calibri"/>
        <family val="2"/>
      </rPr>
      <t>LOI</t>
    </r>
  </si>
  <si>
    <r>
      <rPr>
        <b/>
        <sz val="11"/>
        <color rgb="FFFFFFFF"/>
        <rFont val="Calibri"/>
        <family val="2"/>
      </rPr>
      <t>LOA</t>
    </r>
  </si>
  <si>
    <r>
      <rPr>
        <b/>
        <sz val="11"/>
        <color rgb="FFFFFFFF"/>
        <rFont val="Calibri"/>
        <family val="2"/>
      </rPr>
      <t>LOD</t>
    </r>
  </si>
  <si>
    <r>
      <rPr>
        <b/>
        <sz val="11"/>
        <color rgb="FFFFFFFF"/>
        <rFont val="Calibri"/>
        <family val="2"/>
      </rPr>
      <t>LOI</t>
    </r>
  </si>
  <si>
    <r>
      <rPr>
        <b/>
        <sz val="11"/>
        <color rgb="FFFFFFFF"/>
        <rFont val="Calibri"/>
        <family val="2"/>
      </rPr>
      <t>LOA</t>
    </r>
  </si>
  <si>
    <r>
      <rPr>
        <b/>
        <sz val="10"/>
        <color rgb="FFFFFFFF"/>
        <rFont val="Calibri"/>
        <family val="2"/>
      </rPr>
      <t>A</t>
    </r>
  </si>
  <si>
    <t>Địa chính</t>
  </si>
  <si>
    <t>Ranh giới</t>
  </si>
  <si>
    <t xml:space="preserve">Điểm tham chiếu </t>
  </si>
  <si>
    <t>Quyền sử dụng</t>
  </si>
  <si>
    <t xml:space="preserve">Mô tả pháp lý </t>
  </si>
  <si>
    <t xml:space="preserve"> Xây dựng</t>
  </si>
  <si>
    <t>Kiểm soát, điều khiển máy móc</t>
  </si>
  <si>
    <t xml:space="preserve"> Địa hình </t>
  </si>
  <si>
    <t>Hiện trạng</t>
  </si>
  <si>
    <t xml:space="preserve">Địa hình </t>
  </si>
  <si>
    <r>
      <rPr>
        <b/>
        <sz val="10"/>
        <color rgb="FFFFFFFF"/>
        <rFont val="Calibri"/>
        <family val="2"/>
      </rPr>
      <t>B</t>
    </r>
  </si>
  <si>
    <t xml:space="preserve">Giao thông đường bộ </t>
  </si>
  <si>
    <t>Phương tiện vận chuyển</t>
  </si>
  <si>
    <t>Cơ sở hạ tầng cho người đi bộ</t>
  </si>
  <si>
    <t>Cơ sở hạ tầng cho xe đạp</t>
  </si>
  <si>
    <t>Lối vào dự án</t>
  </si>
  <si>
    <t xml:space="preserve">Lối vào dự án </t>
  </si>
  <si>
    <t xml:space="preserve">Biện pháp và thiết kế ở dìa dự án </t>
  </si>
  <si>
    <t xml:space="preserve">Hệ thống vát và lề đường </t>
  </si>
  <si>
    <t xml:space="preserve">Đường biên an toàn </t>
  </si>
  <si>
    <t xml:space="preserve">Lề đường </t>
  </si>
  <si>
    <t xml:space="preserve">Hình học </t>
  </si>
  <si>
    <t xml:space="preserve">Hướng ngang </t>
  </si>
  <si>
    <t>Độ dốc</t>
  </si>
  <si>
    <t>Sự nâng</t>
  </si>
  <si>
    <t xml:space="preserve">Đường cơ sở khác </t>
  </si>
  <si>
    <t>Nút giao thông</t>
  </si>
  <si>
    <t>Phân làn giao thông</t>
  </si>
  <si>
    <t>Hợp nhất lưu lượng giao thông</t>
  </si>
  <si>
    <t>Đường dốc</t>
  </si>
  <si>
    <t>Cầu vượt/ Đường hầm</t>
  </si>
  <si>
    <t xml:space="preserve"> Mặt đường </t>
  </si>
  <si>
    <t>Lớp vật liệu lót dưới bề mặt đường</t>
  </si>
  <si>
    <t>Lớp keo trám</t>
  </si>
  <si>
    <t xml:space="preserve">Điểm liên kết </t>
  </si>
  <si>
    <t xml:space="preserve">Xây dựng trên 1 tài sản đã có </t>
  </si>
  <si>
    <t xml:space="preserve">Nâng cấp sửa chữa mặt đường </t>
  </si>
  <si>
    <t>Lớp cấu trúc</t>
  </si>
  <si>
    <t>Bề mặt an toàn</t>
  </si>
  <si>
    <t xml:space="preserve">Hệ thống rào chắn </t>
  </si>
  <si>
    <t>Lưới ngăn gia súc</t>
  </si>
  <si>
    <t xml:space="preserve">Hàng rào </t>
  </si>
  <si>
    <r>
      <rPr>
        <b/>
        <sz val="10"/>
        <color rgb="FFFFFFFF"/>
        <rFont val="Calibri"/>
        <family val="2"/>
      </rPr>
      <t>C</t>
    </r>
  </si>
  <si>
    <t xml:space="preserve">Thoát nước </t>
  </si>
  <si>
    <t xml:space="preserve">Cống </t>
  </si>
  <si>
    <t xml:space="preserve">Kiểm soát nước mưa vào hệ thống thoát nước </t>
  </si>
  <si>
    <t xml:space="preserve">Đường ống </t>
  </si>
  <si>
    <t xml:space="preserve">Kiểm soát luồng nước ra môi trường </t>
  </si>
  <si>
    <t>Cống thoát nước</t>
  </si>
  <si>
    <t>Hệ thống thoát nước ngầm dưới bề mặt đường bê tông</t>
  </si>
  <si>
    <t xml:space="preserve">Cống cạnh bề mặt đường </t>
  </si>
  <si>
    <t xml:space="preserve">Cống thoát nước ngầm và nước dư </t>
  </si>
  <si>
    <t xml:space="preserve">Rãnh thoát nước </t>
  </si>
  <si>
    <t xml:space="preserve">Thoát nước ngầm </t>
  </si>
  <si>
    <t xml:space="preserve">Kênh </t>
  </si>
  <si>
    <t xml:space="preserve"> Mương</t>
  </si>
  <si>
    <t xml:space="preserve">Rãnh </t>
  </si>
  <si>
    <t xml:space="preserve">Hệ thống giữ nước và kiểm soát nước </t>
  </si>
  <si>
    <t xml:space="preserve">Rãnh thẩm thấu </t>
  </si>
  <si>
    <t xml:space="preserve">Giếng </t>
  </si>
  <si>
    <t xml:space="preserve">Van, ống dẫn, kênh kiểm soát </t>
  </si>
  <si>
    <t>Ao</t>
  </si>
  <si>
    <t>Hệ thống quản lý nước ngầm</t>
  </si>
  <si>
    <t xml:space="preserve">Cống thoát nước mưa </t>
  </si>
  <si>
    <t xml:space="preserve">lưới </t>
  </si>
  <si>
    <t xml:space="preserve">Cấu trúc </t>
  </si>
  <si>
    <r>
      <rPr>
        <b/>
        <sz val="10"/>
        <color rgb="FFFFFFFF"/>
        <rFont val="Calibri"/>
        <family val="2"/>
      </rPr>
      <t>D</t>
    </r>
  </si>
  <si>
    <t xml:space="preserve"> Phòng chống xói mòn và kiểm soát trầm tích </t>
  </si>
  <si>
    <t>Bộ giảm chấn</t>
  </si>
  <si>
    <t>Bộ giảm chấn vĩnh viễn</t>
  </si>
  <si>
    <t xml:space="preserve">Bộ giảm chấn tạm thời </t>
  </si>
  <si>
    <t>Biện pháp quản lý tốt vĩnh viễn</t>
  </si>
  <si>
    <t xml:space="preserve">Đất sửa đổi </t>
  </si>
  <si>
    <t xml:space="preserve">Đập kiểm soát </t>
  </si>
  <si>
    <t xml:space="preserve">Vườn mưa </t>
  </si>
  <si>
    <t xml:space="preserve">Đá chặn sóng </t>
  </si>
  <si>
    <t>Trông cây</t>
  </si>
  <si>
    <t xml:space="preserve">Hố cây </t>
  </si>
  <si>
    <t xml:space="preserve">Hồ/ sông/ biển và đầm lầy </t>
  </si>
  <si>
    <t xml:space="preserve">Biện pháp quản lý tốt tạm thời </t>
  </si>
  <si>
    <t xml:space="preserve">Đập ngăn và sự điều hướng </t>
  </si>
  <si>
    <t>Thiết bị phòng chống xói mòn</t>
  </si>
  <si>
    <t>Thiết bị kiểm soát hạt bùn</t>
  </si>
  <si>
    <t>Hố chứa hạt bùn</t>
  </si>
  <si>
    <r>
      <rPr>
        <b/>
        <sz val="10"/>
        <color rgb="FFFFFFFF"/>
        <rFont val="Calibri"/>
        <family val="2"/>
      </rPr>
      <t>E</t>
    </r>
  </si>
  <si>
    <t xml:space="preserve"> Kỹ thuật địa học</t>
  </si>
  <si>
    <t xml:space="preserve"> Hệ thống giữ đất </t>
  </si>
  <si>
    <t>Hệ thống giữ đất, đáy, vật liệu xây dựng</t>
  </si>
  <si>
    <t>Vật liệu nhựa tổng hợp</t>
  </si>
  <si>
    <t xml:space="preserve">Hệ thống cầu tích hợp với đất được gia cố bằng vật liệu địa học </t>
  </si>
  <si>
    <t>Tải trọng thêm lên trên</t>
  </si>
  <si>
    <t xml:space="preserve">Vật liệu địa học </t>
  </si>
  <si>
    <t>Vật liệu địa học</t>
  </si>
  <si>
    <t xml:space="preserve"> Hiểm họa địa chất </t>
  </si>
  <si>
    <t xml:space="preserve">Hiểm họa địa chất </t>
  </si>
  <si>
    <t xml:space="preserve">Nghiên cứu dưới lòng đất </t>
  </si>
  <si>
    <t xml:space="preserve">Lỗ nghiên cứu </t>
  </si>
  <si>
    <t xml:space="preserve">Nghiên cứu địa học </t>
  </si>
  <si>
    <t xml:space="preserve">Bề mặt lớp đất </t>
  </si>
  <si>
    <r>
      <rPr>
        <b/>
        <sz val="10"/>
        <color rgb="FFFFFFFF"/>
        <rFont val="Calibri"/>
        <family val="2"/>
      </rPr>
      <t>F</t>
    </r>
  </si>
  <si>
    <t xml:space="preserve"> Giao thông</t>
  </si>
  <si>
    <t>Hệ thống rào cản</t>
  </si>
  <si>
    <t xml:space="preserve">Hệ thống rào cáp </t>
  </si>
  <si>
    <t>Hệ thống rào chắn bê tông</t>
  </si>
  <si>
    <t xml:space="preserve">Hệ thống đệm va chạm </t>
  </si>
  <si>
    <t>Biển báo... Phân làn</t>
  </si>
  <si>
    <t xml:space="preserve">Rào hướng dẫn </t>
  </si>
  <si>
    <t>Tường</t>
  </si>
  <si>
    <t>Giao lộ</t>
  </si>
  <si>
    <t xml:space="preserve">Cơ sở đường cho xe đạp </t>
  </si>
  <si>
    <t>Ngã tư đường sắt và đường bộ</t>
  </si>
  <si>
    <t xml:space="preserve">CƠ sở cho người đi bộ </t>
  </si>
  <si>
    <t>Vòng xuyến</t>
  </si>
  <si>
    <t xml:space="preserve">Giao lộ có đèn tín hiệu </t>
  </si>
  <si>
    <t>Giao lộ được kiểm soát bằng biển dừng lại</t>
  </si>
  <si>
    <t>Hệ thống giao thông thông minh</t>
  </si>
  <si>
    <t xml:space="preserve">Hệ thống phương tiện kết nối </t>
  </si>
  <si>
    <t>Hệ thống giám sát phương tiện</t>
  </si>
  <si>
    <t>Hệ thống tin nhắn</t>
  </si>
  <si>
    <t xml:space="preserve">Hệ thống tín hiệu </t>
  </si>
  <si>
    <t>Hệ thống thu phí và quản lý thu phí</t>
  </si>
  <si>
    <t xml:space="preserve">Hệ thống giám sát thời tiết </t>
  </si>
  <si>
    <t xml:space="preserve">Chiếu sáng </t>
  </si>
  <si>
    <t>Ống dẫn</t>
  </si>
  <si>
    <t xml:space="preserve">Hộp điều khiển </t>
  </si>
  <si>
    <t>Chiếu sáng cột cao</t>
  </si>
  <si>
    <t>Hộp nối</t>
  </si>
  <si>
    <t>Đèn chiếu sáng</t>
  </si>
  <si>
    <t>Mặt đường màu sắc</t>
  </si>
  <si>
    <t>Vẽ đường thẳng</t>
  </si>
  <si>
    <t>Vẽ đường chéo</t>
  </si>
  <si>
    <t>Đèn đánh dấu nổi</t>
  </si>
  <si>
    <t>Vẽ đường stencil</t>
  </si>
  <si>
    <t>Dải gờ</t>
  </si>
  <si>
    <t>Dải gờ ở giữa đường</t>
  </si>
  <si>
    <t xml:space="preserve">Dải gờ chéo </t>
  </si>
  <si>
    <t>Dải gờ bên lề đường</t>
  </si>
  <si>
    <t xml:space="preserve">Biển báo hai cột </t>
  </si>
  <si>
    <t>Biển báo trên đầu</t>
  </si>
  <si>
    <t>Biển báo một cột</t>
  </si>
  <si>
    <t>Kiểm soát giao thông tạm thời</t>
  </si>
  <si>
    <r>
      <rPr>
        <b/>
        <sz val="10"/>
        <color rgb="FFFFFFFF"/>
        <rFont val="Calibri"/>
        <family val="2"/>
      </rPr>
      <t>G</t>
    </r>
  </si>
  <si>
    <r>
      <rPr>
        <b/>
        <sz val="10"/>
        <color rgb="FFFFFFFF"/>
        <rFont val="Calibri"/>
        <family val="2"/>
      </rPr>
      <t>G</t>
    </r>
  </si>
  <si>
    <r>
      <rPr>
        <b/>
        <sz val="10"/>
        <color rgb="FFFFFFFF"/>
        <rFont val="Calibri"/>
        <family val="2"/>
      </rPr>
      <t>H</t>
    </r>
  </si>
  <si>
    <r>
      <rPr>
        <b/>
        <sz val="10"/>
        <color rgb="FFFFFFFF"/>
        <rFont val="Calibri"/>
        <family val="2"/>
      </rPr>
      <t>I</t>
    </r>
  </si>
  <si>
    <r>
      <rPr>
        <b/>
        <sz val="10"/>
        <color rgb="FFFFFFFF"/>
        <rFont val="Calibri"/>
        <family val="2"/>
      </rPr>
      <t>J</t>
    </r>
  </si>
  <si>
    <t>Cadastral</t>
  </si>
  <si>
    <t>1A - Biên giới (Boundaries)</t>
  </si>
  <si>
    <t>1B - Địa điểm kiểm soát (Control Monuments)</t>
  </si>
  <si>
    <t>1C - Quyền sử dụng đất (Easements)</t>
  </si>
  <si>
    <t>1D - Mô tả pháp lý (Legal Description)</t>
  </si>
  <si>
    <t>Xây dựng</t>
  </si>
  <si>
    <t>2A - Bố trí (Layout)</t>
  </si>
  <si>
    <t>2B - Địa điểm cục bộ (Localizations)</t>
  </si>
  <si>
    <t>2C - Điều khiển máy móc (Machine Control)</t>
  </si>
  <si>
    <t>Topographic (Địa hình)</t>
  </si>
  <si>
    <t>3A - Đặc điểm hiện có (Existing Features)</t>
  </si>
  <si>
    <t>3B - Địa hình (Terrain)</t>
  </si>
  <si>
    <r>
      <rPr>
        <b/>
        <sz val="11"/>
        <color theme="1"/>
        <rFont val="Calibri"/>
        <family val="2"/>
      </rPr>
      <t xml:space="preserve">THÀNH PHẦN MÔ HÌNH 
</t>
    </r>
    <r>
      <rPr>
        <sz val="10"/>
        <color theme="1"/>
        <rFont val="Calibri"/>
        <family val="2"/>
      </rPr>
      <t>(Aligned with IFC Bridge Model View Definition)</t>
    </r>
  </si>
  <si>
    <t xml:space="preserve">Vị trí bố cục </t>
  </si>
  <si>
    <t>TÊN TRAO ĐỔI THÔNG TIN</t>
  </si>
  <si>
    <t xml:space="preserve">Tác giả </t>
  </si>
  <si>
    <t xml:space="preserve">Ghi chú </t>
  </si>
  <si>
    <t>Định dạng</t>
  </si>
  <si>
    <t>Cấu trúc Cầu</t>
  </si>
  <si>
    <t>Tấm Tiếp cận</t>
  </si>
  <si>
    <t>Cấu trúc Tiếp cận</t>
  </si>
  <si>
    <t>Tấm Nền</t>
  </si>
  <si>
    <t>Cấu trúc Trên cầu</t>
  </si>
  <si>
    <t>Gối đỡ</t>
  </si>
  <si>
    <t>Viền và Rãnh</t>
  </si>
  <si>
    <t>Mặt cầu</t>
  </si>
  <si>
    <t>Hệ thống thoát nước cầu</t>
  </si>
  <si>
    <t>Giằng cầu</t>
  </si>
  <si>
    <t>Đỉnh cầu</t>
  </si>
  <si>
    <t>Khung cầu</t>
  </si>
  <si>
    <t>Dải phân cách</t>
  </si>
  <si>
    <t>Vách ngăn (Rào chắn)</t>
  </si>
  <si>
    <t>Bậc thang dành cho người đi bộ</t>
  </si>
  <si>
    <t>Tường chắn tiếng ồn</t>
  </si>
  <si>
    <t>Khung ngang</t>
  </si>
  <si>
    <t>Cấu trúc Dưới cầu</t>
  </si>
  <si>
    <t>Bệ ngang/Kết cấu đầu cuối</t>
  </si>
  <si>
    <t>Tính năng kiến trúc</t>
  </si>
  <si>
    <t>Trụ khoan</t>
  </si>
  <si>
    <t>Bệ cọc/Nắp cọc/Khóa cọc khoan</t>
  </si>
  <si>
    <t>Cọc nhỏ</t>
  </si>
  <si>
    <t>Đế/Thanh nâng</t>
  </si>
  <si>
    <t>Trụ/Kết cấu ngang</t>
  </si>
  <si>
    <t>Nắp trụ</t>
  </si>
  <si>
    <t>Cột trụ</t>
  </si>
  <si>
    <t>Tường trụ (Tường chắn va chạm)</t>
  </si>
  <si>
    <t>Cọc</t>
  </si>
  <si>
    <t>Phủ mặt trên/Lớp mặt phẳng/Phủ mặt phẳng</t>
  </si>
  <si>
    <t>Khe cắt dọc</t>
  </si>
  <si>
    <t>Tường cánh/Trụ đáy</t>
  </si>
  <si>
    <t>Bảo vệ độ dốc</t>
  </si>
  <si>
    <t>Các thành phần Cấu trúc</t>
  </si>
  <si>
    <t>Chi tiết Phần tử</t>
  </si>
  <si>
    <t>Thép mảng</t>
  </si>
  <si>
    <t>Bộ bu lông</t>
  </si>
  <si>
    <t>Ống đường ống</t>
  </si>
  <si>
    <t>Hệ thống thoát nước</t>
  </si>
  <si>
    <t>Tính năng</t>
  </si>
  <si>
    <t>Kết nối trường</t>
  </si>
  <si>
    <t>Thép nền</t>
  </si>
  <si>
    <t>Thanh gắn</t>
  </si>
  <si>
    <t>Móc nối (Đinh)</t>
  </si>
  <si>
    <t>Thép nối</t>
  </si>
  <si>
    <t>Thanh gia cố</t>
  </si>
  <si>
    <t>Hàn</t>
  </si>
  <si>
    <t>Gia cường</t>
  </si>
  <si>
    <t>Phụ kiện</t>
  </si>
  <si>
    <t>Vỉa hè</t>
  </si>
  <si>
    <t>Neo và Đường dẫn Hóa chất kết dính</t>
  </si>
  <si>
    <t>Neo và Đường dẫn Đinh đàn hồi kết dính</t>
  </si>
  <si>
    <t>Gia cường theo phương sau</t>
  </si>
  <si>
    <t>Gia cường trước căng</t>
  </si>
  <si>
    <t>Gia cường thành phần kết cấu</t>
  </si>
  <si>
    <t>Gia cường theo phương ngang</t>
  </si>
  <si>
    <t>Lớp phủ</t>
  </si>
  <si>
    <t>Các Cấu trúc Nằm dưới Mặt Đất Thông thường</t>
  </si>
  <si>
    <t>Bức tường</t>
  </si>
  <si>
    <t>Bức tường chống sụp đổ</t>
  </si>
  <si>
    <t>Bức tường chắn tiếng ồn</t>
  </si>
  <si>
    <t>Bức tường xung quanh</t>
  </si>
  <si>
    <t>Các Cấu trúc Khác</t>
  </si>
  <si>
    <t>Khung treo</t>
  </si>
  <si>
    <t>Cột</t>
  </si>
  <si>
    <t>Cấu trúc biển hiệu</t>
  </si>
  <si>
    <t>Cơ sở Hạ tầng</t>
  </si>
  <si>
    <t>Đường sắt</t>
  </si>
  <si>
    <t>Truyền thông</t>
  </si>
  <si>
    <t>Cáp</t>
  </si>
  <si>
    <t>Kính quang</t>
  </si>
  <si>
    <t>Điện thoại</t>
  </si>
  <si>
    <t>Điện</t>
  </si>
  <si>
    <t>Điện trên trời</t>
  </si>
  <si>
    <t>Điện dưới đất</t>
  </si>
  <si>
    <t>Hệ thống Tưới cây cảnh quan</t>
  </si>
  <si>
    <t>Dầu và Khí</t>
  </si>
  <si>
    <t>Hệ thống Cống thoát</t>
  </si>
  <si>
    <t>Nước</t>
  </si>
  <si>
    <t>Kết nối nước</t>
  </si>
  <si>
    <t>Đường ống nước chính</t>
  </si>
  <si>
    <t>Hệ thống kết hợp cống thoát và cống thoát</t>
  </si>
  <si>
    <t>Hệ thống cống thoát nước tự nhiên</t>
  </si>
  <si>
    <t>Hệ thống cống thoát áp suất</t>
  </si>
  <si>
    <t>Hệ thống cống thoát phân lô</t>
  </si>
  <si>
    <t>Đường ống khí</t>
  </si>
  <si>
    <t>Đường ống dầu</t>
  </si>
  <si>
    <t>Hình dạng</t>
  </si>
  <si>
    <t>Sự nghiêng</t>
  </si>
  <si>
    <t>Kết cấu đường ngang</t>
  </si>
  <si>
    <t>Kết cấu đường dọc</t>
  </si>
  <si>
    <t>Các nền</t>
  </si>
  <si>
    <t>Hệ thống Điện</t>
  </si>
  <si>
    <t>Tín hiệu đường sắt</t>
  </si>
  <si>
    <t>Mặt đường</t>
  </si>
  <si>
    <t>Khoá cọc</t>
  </si>
  <si>
    <t>Rào đường sắt</t>
  </si>
  <si>
    <t>Lớp nền dưới đường sắt</t>
  </si>
  <si>
    <t>Bộ chuyển hướng/Cổng ra vào/Bộ chuyển đổi</t>
  </si>
  <si>
    <t>Hệ thống dây dẫn</t>
  </si>
  <si>
    <t>Ray dây điện</t>
  </si>
  <si>
    <t>Phát triển Khu vực</t>
  </si>
  <si>
    <t>Làm phẳng đất</t>
  </si>
  <si>
    <t>Kéo dựng</t>
  </si>
  <si>
    <t>Khai thác</t>
  </si>
  <si>
    <t>Ổn định</t>
  </si>
  <si>
    <t>Cảnh quan</t>
  </si>
  <si>
    <t>Hệ thống tưới cây cảnh quan</t>
  </si>
  <si>
    <t xml:space="preserve">Cây trồng </t>
  </si>
  <si>
    <t>Lối đi</t>
  </si>
  <si>
    <t>Nội thất đường phố</t>
  </si>
  <si>
    <t xml:space="preserve">Đê chắn kỹ thuật </t>
  </si>
  <si>
    <t>CVD1</t>
  </si>
  <si>
    <t>Cầu vượt đê Tả Hồng</t>
  </si>
  <si>
    <t>CVD2</t>
  </si>
  <si>
    <t>Cầu vượt đê Hữu Hồng</t>
  </si>
  <si>
    <t>CBS1</t>
  </si>
  <si>
    <t>Cầu dẫn bãi sông Tả Hồng</t>
  </si>
  <si>
    <t>CBS2</t>
  </si>
  <si>
    <t>Cầu dẫn bãi sông Hữu Hồng</t>
  </si>
  <si>
    <t>CCVS</t>
  </si>
  <si>
    <t>CSGT</t>
  </si>
  <si>
    <t>KCT </t>
  </si>
  <si>
    <t>Kết cấu phần trên</t>
  </si>
  <si>
    <t>KCD </t>
  </si>
  <si>
    <t>Địa vật</t>
  </si>
  <si>
    <t>Hạ tầng kỹ thuật</t>
  </si>
  <si>
    <t>Thuyết minh thiết kế</t>
  </si>
  <si>
    <t>Nhóm thiết kế</t>
  </si>
  <si>
    <t>Khảo sát địa hình</t>
  </si>
  <si>
    <t>Khảo sát địa chất</t>
  </si>
  <si>
    <t>Nhóm khảo sát</t>
  </si>
  <si>
    <t>Bề mặt hiện trạng</t>
  </si>
  <si>
    <t>Cống, ga các loại</t>
  </si>
  <si>
    <t>Trụ đèn, nhà cửa,…</t>
  </si>
  <si>
    <t>Mô hình tổng hợp các bộ môn</t>
  </si>
  <si>
    <t>Hệ thống hạ tầng kỹ thuật</t>
  </si>
  <si>
    <t>Cầu chính vượt sông Hồng</t>
  </si>
  <si>
    <t>NWC</t>
  </si>
  <si>
    <t>Kết cấu phần dưới</t>
  </si>
  <si>
    <t>Báo cáo xung đột tổng hợp</t>
  </si>
  <si>
    <t>Nhóm thực hiện BIM</t>
  </si>
  <si>
    <t>Ngày chuyển giao
(từ thời điểm ký hợp đông)</t>
  </si>
  <si>
    <t>Gối, khe co giãn, lan can</t>
  </si>
  <si>
    <t>Kết cấu phần dưới liên 1</t>
  </si>
  <si>
    <t>Kết cấu phần dưới liên 2</t>
  </si>
  <si>
    <t>Kết cấu phần dưới liên 3</t>
  </si>
  <si>
    <t>Kết cấu phần trên liên 1</t>
  </si>
  <si>
    <t>Kết cấu phần trên liên 2</t>
  </si>
  <si>
    <t>Kết cấu phần trên liên 3</t>
  </si>
  <si>
    <t>Trình thẩm định</t>
  </si>
  <si>
    <t>Trình phê duyệt</t>
  </si>
  <si>
    <t>Ngày chuyển giao
(từ thời điểm có thông báo KQTD)</t>
  </si>
  <si>
    <t>Người lập</t>
  </si>
  <si>
    <t>Đinh Nho Cảng</t>
  </si>
  <si>
    <t>RR4.P3.4</t>
  </si>
  <si>
    <t>Cầu Mễ Sở</t>
  </si>
  <si>
    <t>2.2 Cầu Mễ Sở</t>
  </si>
  <si>
    <t>G1</t>
  </si>
  <si>
    <t>Cầu trên cao tốc</t>
  </si>
  <si>
    <t>Cầu song hành phải</t>
  </si>
  <si>
    <t>Cầu song hành trái</t>
  </si>
  <si>
    <t>Cầu Ram 1</t>
  </si>
  <si>
    <t>Cầu Ram 2</t>
  </si>
  <si>
    <t>Cầu Ram 3</t>
  </si>
  <si>
    <t>Cầu Ram 4</t>
  </si>
  <si>
    <t>G2</t>
  </si>
  <si>
    <t>Z2</t>
  </si>
  <si>
    <t>S2</t>
  </si>
  <si>
    <t>2.3 Nút giao Hà Nội - Hải phòng</t>
  </si>
  <si>
    <t>Nút Hà Nội - Hải Phòng</t>
  </si>
  <si>
    <t>G3</t>
  </si>
  <si>
    <t>Z3</t>
  </si>
  <si>
    <t>E3</t>
  </si>
  <si>
    <t>C3</t>
  </si>
  <si>
    <t>S3</t>
  </si>
  <si>
    <t>IICM</t>
  </si>
  <si>
    <t>CIC</t>
  </si>
  <si>
    <t>CRC</t>
  </si>
  <si>
    <t>NG1</t>
  </si>
  <si>
    <t>NG2</t>
  </si>
  <si>
    <t>NG3</t>
  </si>
  <si>
    <t>XVNT</t>
  </si>
  <si>
    <t>DTC</t>
  </si>
  <si>
    <t>Nút giao đầu tuyến</t>
  </si>
  <si>
    <t>Nút giao cuối tuyến</t>
  </si>
  <si>
    <t>TNM</t>
  </si>
  <si>
    <t>DCS</t>
  </si>
  <si>
    <t>Bản vẽ thiết kế thi công</t>
  </si>
  <si>
    <t>Mô hình tuyến</t>
  </si>
  <si>
    <t>Mô hình vỉa hè</t>
  </si>
  <si>
    <t>Mô hình nền</t>
  </si>
  <si>
    <t>Mô hình XLĐY</t>
  </si>
  <si>
    <t>Mô hình tuyến chính, vỉa hè…</t>
  </si>
  <si>
    <t>Mô hình cống ngang</t>
  </si>
  <si>
    <t>Mô hình hệ thống thoát nước dọc</t>
  </si>
  <si>
    <t>Hệ thống chiếu sáng trên cầu</t>
  </si>
  <si>
    <t>Hệ thống chờ chiếu sáng</t>
  </si>
  <si>
    <t>Vạch sơn tuyến và nút giao</t>
  </si>
  <si>
    <t>Biển báo trên tuyến và nút giao</t>
  </si>
  <si>
    <t>Cầu sông Rào Cái và cầu vượt</t>
  </si>
  <si>
    <t>Cầu sông Rào Cái</t>
  </si>
  <si>
    <t>Nút giao</t>
  </si>
  <si>
    <t>Cống kỹ thuật</t>
  </si>
  <si>
    <t>Mô hình các cống kỹ thuật</t>
  </si>
  <si>
    <t>Mô hình Vạch sơn tuyến và nút giao</t>
  </si>
  <si>
    <t>Mô hình Biển báo trên tuyến và nút giao</t>
  </si>
  <si>
    <t>Mô hình Hệ thống chờ chiếu sáng</t>
  </si>
  <si>
    <r>
      <t xml:space="preserve">LOẠI DỮ LIỆU
</t>
    </r>
    <r>
      <rPr>
        <sz val="8"/>
        <color theme="1"/>
        <rFont val="Calibri"/>
        <family val="2"/>
      </rPr>
      <t>(tự động)</t>
    </r>
  </si>
  <si>
    <r>
      <t xml:space="preserve">TÊN TỆP TIN
</t>
    </r>
    <r>
      <rPr>
        <sz val="8"/>
        <color theme="1"/>
        <rFont val="Calibri"/>
        <family val="2"/>
      </rPr>
      <t>(tự động)</t>
    </r>
  </si>
  <si>
    <t>Mô hình nút giao</t>
  </si>
  <si>
    <t>Nút giao đường vành đai phía Đông</t>
  </si>
  <si>
    <t>Mô hình các nhánh</t>
  </si>
  <si>
    <t>Mô hình Hệ thống chiếu sáng trên cầu và nút giao</t>
  </si>
  <si>
    <t>Đường nhánh</t>
  </si>
  <si>
    <t>Đường nhánh và đường giao</t>
  </si>
  <si>
    <t>Mô hình các đường giao và đường nhánh</t>
  </si>
  <si>
    <t>Báo cáo BIM</t>
  </si>
  <si>
    <t>Trích xuất khối lượng chính</t>
  </si>
  <si>
    <t>LDTV</t>
  </si>
  <si>
    <t>Cây xanh và cảnh quan</t>
  </si>
  <si>
    <t>Mô hình cây xanh và cảnh quan</t>
  </si>
  <si>
    <t>CXCQ</t>
  </si>
  <si>
    <t>CKT</t>
  </si>
  <si>
    <t>Hồ sơ và dữ liệu thiết kế</t>
  </si>
  <si>
    <t>Phần tuyến</t>
  </si>
  <si>
    <t>Cải kênh</t>
  </si>
  <si>
    <t>Mô hình hệ thống cải kênh</t>
  </si>
  <si>
    <t>Nhóm BIM</t>
  </si>
  <si>
    <t>3. Mô hình </t>
  </si>
  <si>
    <t>4. Báo cáo </t>
  </si>
  <si>
    <t>2. Kế hoạch và thủ tục</t>
  </si>
  <si>
    <t>Kế hoạch triển khai BIM - BEP</t>
  </si>
  <si>
    <t>Kế hoạch triển khai BIM chi tiết</t>
  </si>
  <si>
    <t>Các QT và phụ lục</t>
  </si>
  <si>
    <t>CDE, Tiêu chuẩn và thủ tục</t>
  </si>
  <si>
    <t>Quy định về CED</t>
  </si>
  <si>
    <t>Hướng dẫn sử dụng CDE</t>
  </si>
  <si>
    <t>Tiêu chuẩn và thủ tục mô hình</t>
  </si>
  <si>
    <t>Tài liệu</t>
  </si>
  <si>
    <t>W</t>
  </si>
  <si>
    <t>0004</t>
  </si>
  <si>
    <t>0005</t>
  </si>
  <si>
    <t>MP</t>
  </si>
  <si>
    <t>Mô hình cống ngang nhỏ</t>
  </si>
  <si>
    <t>Mô hình cống hộp lớn</t>
  </si>
  <si>
    <t>CNN</t>
  </si>
  <si>
    <t>CHL</t>
  </si>
  <si>
    <t>TEAM THỰC HIỆN</t>
  </si>
  <si>
    <t>Tiến độ
(chuyển song song Ttra)</t>
  </si>
  <si>
    <t>22~xx/6/2024</t>
  </si>
  <si>
    <t>KSTK</t>
  </si>
  <si>
    <t>28-31/5/2024 ~~~~~</t>
  </si>
  <si>
    <t>31~xx/5/2024
~~~~~</t>
  </si>
  <si>
    <t>Team IICM</t>
  </si>
  <si>
    <t>Team thực hiện</t>
  </si>
  <si>
    <t>Phân bổ theo dự toán</t>
  </si>
  <si>
    <t>Quy định về CDE</t>
  </si>
  <si>
    <t>THỰC HIỆN</t>
  </si>
  <si>
    <t>DANH SÁCH MÃ QUẢN LÝ CỦA DỰ ÁN</t>
  </si>
  <si>
    <t>Trần Hữu Hải</t>
  </si>
  <si>
    <t>14/08/2025</t>
  </si>
  <si>
    <t>Kiến trúc</t>
  </si>
  <si>
    <t>Kết cấu</t>
  </si>
  <si>
    <t>Cơ điện</t>
  </si>
  <si>
    <t>Điều hòa thông gió</t>
  </si>
  <si>
    <t>Cấp thoát nước</t>
  </si>
  <si>
    <t>Phòng cháy chữa cháy</t>
  </si>
  <si>
    <t>Tổng hợp</t>
  </si>
  <si>
    <t>STRU</t>
  </si>
  <si>
    <t>ARCH</t>
  </si>
  <si>
    <t>MEPF</t>
  </si>
  <si>
    <t>HVAC</t>
  </si>
  <si>
    <t>PLUM</t>
  </si>
  <si>
    <t>FIRE</t>
  </si>
  <si>
    <t>ELEC</t>
  </si>
  <si>
    <t>FEDE</t>
  </si>
  <si>
    <t>BAS</t>
  </si>
  <si>
    <t>B1</t>
  </si>
  <si>
    <t>B2</t>
  </si>
  <si>
    <t>14/8/2025</t>
  </si>
  <si>
    <t>Nguyễn Quốc Anh</t>
  </si>
  <si>
    <r>
      <t xml:space="preserve">     </t>
    </r>
    <r>
      <rPr>
        <sz val="13"/>
        <color rgb="FF000000"/>
        <rFont val="Times New Roman"/>
        <family val="1"/>
      </rPr>
      <t>25075-486NH_CIC_STRU_BAS_ZZ</t>
    </r>
  </si>
  <si>
    <t>25075-486NH_CIC_STRU_TA_01-03</t>
  </si>
  <si>
    <t>25075-486NH_CIC_STRU_TA_04-13</t>
  </si>
  <si>
    <t>25075-486NH_CIC_STRU_TA_14-28</t>
  </si>
  <si>
    <t>25075-486NH_CIC_STRU_TA_29-RO</t>
  </si>
  <si>
    <t>25075-486NH_CIC_STRU_B1_01-03</t>
  </si>
  <si>
    <t>25075-486NH_CIC_STRU_B1_04-16</t>
  </si>
  <si>
    <t>25075-486NH_CIC_STRU_B1_17-RO</t>
  </si>
  <si>
    <t>25075-486NH_CIC_STRU_B2_01-03</t>
  </si>
  <si>
    <t>25075-486NH_CIC_STRU_B2_04-16</t>
  </si>
  <si>
    <t>25075-486NH_CIC_STRU_B2_17-RO</t>
  </si>
  <si>
    <t>25075-486NH_CIC_ARCH_BAS_ZZ</t>
  </si>
  <si>
    <t>25075-486NH_CIC_ARCH_TA_01-03</t>
  </si>
  <si>
    <t>25075-486NH_CIC_ARCH_TA_04-13</t>
  </si>
  <si>
    <t>25075-486NH_CIC_ARCH_TA_14-28</t>
  </si>
  <si>
    <t>25075-486NH_CIC_ARCH_TA_29-RO</t>
  </si>
  <si>
    <t>25075-486NH_CIC_ARCH_B1_01-03</t>
  </si>
  <si>
    <t>25075-486NH_CIC_ARCH_B1_04-16</t>
  </si>
  <si>
    <t>25075-486NH_CIC_ARCH_B1_17-RO</t>
  </si>
  <si>
    <t>25075-486NH_CIC_ARCH_B2_01-03</t>
  </si>
  <si>
    <t>25075-486NH_CIC_ARCH_B2_04-16</t>
  </si>
  <si>
    <t>25075-486NH_CIC_ARCH_B2_17-RO</t>
  </si>
  <si>
    <t>25075-486NH_CIC_HVAC_BAS_ZZ</t>
  </si>
  <si>
    <t>25075-486NH_CIC_HVAC_TA_01-03</t>
  </si>
  <si>
    <t>25075-486NH_CIC_HVAC_TA_04-13</t>
  </si>
  <si>
    <t>25075-486NH_CIC_HVAC_TA_14-28</t>
  </si>
  <si>
    <t>25075-486NH_CIC_HVAC_TA_29-RO</t>
  </si>
  <si>
    <t>25075-486NH_CIC_HVAC_B1_01-03</t>
  </si>
  <si>
    <t>25075-486NH_CIC_HVAC_B1_04-16</t>
  </si>
  <si>
    <t>25075-486NH_CIC_HVAC_B1_17-RO</t>
  </si>
  <si>
    <t>25075-486NH_CIC_HVAC_B2_01-03</t>
  </si>
  <si>
    <t>25075-486NH_CIC_HVAC_B2_04-16</t>
  </si>
  <si>
    <t>25075-486NH_CIC_HVAC_B2_17-RO</t>
  </si>
  <si>
    <t>25075-486NH_CIC_PLUM_BAS_ZZ</t>
  </si>
  <si>
    <t>25075-486NH_CIC_PLUM_TA_01-03</t>
  </si>
  <si>
    <t>25075-486NH_CIC_PLUM_TA_04-13</t>
  </si>
  <si>
    <t>25075-486NH_CIC_PLUM_TA_14-28</t>
  </si>
  <si>
    <t>25075-486NH_CIC_PLUM_TA_29-RO</t>
  </si>
  <si>
    <t>25075-486NH_CIC_PLUM_B1_01-03</t>
  </si>
  <si>
    <t>25075-486NH_CIC_PLUM_B1_04-16</t>
  </si>
  <si>
    <t>25075-486NH_CIC_PLUM_B1_17-RO</t>
  </si>
  <si>
    <t>25075-486NH_CIC_PLUM_B2_01-03</t>
  </si>
  <si>
    <t>25075-486NH_CIC_PLUM_B2_04-16</t>
  </si>
  <si>
    <t>25075-486NH_CIC_PLUM_B2_17-RO</t>
  </si>
  <si>
    <t>25075-486NH_CIC_ELEC_BAS_ZZ</t>
  </si>
  <si>
    <t>25075-486NH_CIC_ELEC_TA_01-03</t>
  </si>
  <si>
    <t>25075-486NH_CIC_ELEC_TA_04-13</t>
  </si>
  <si>
    <t>25075-486NH_CIC_ELEC_TA_14-28</t>
  </si>
  <si>
    <t>25075-486NH_CIC_ELEC_TA_29-RO</t>
  </si>
  <si>
    <t>25075-486NH_CIC_ELEC_B1_01-03</t>
  </si>
  <si>
    <t>25075-486NH_CIC_ELEC_B1_04-16</t>
  </si>
  <si>
    <t>25075-486NH_CIC_ELEC_B1_17-RO</t>
  </si>
  <si>
    <t>25075-486NH_CIC_ELEC_B2_01-03</t>
  </si>
  <si>
    <t>25075-486NH_CIC_ELEC_B2_04-16</t>
  </si>
  <si>
    <t>25075-486NH_CIC_ELEC_B2_17-RO</t>
  </si>
  <si>
    <t>Nhóm tầng</t>
  </si>
  <si>
    <t>01-03</t>
  </si>
  <si>
    <t>04-13</t>
  </si>
  <si>
    <t>14-28</t>
  </si>
  <si>
    <t>04-16</t>
  </si>
  <si>
    <t>17-RO</t>
  </si>
  <si>
    <t>Tầng 1 - tầng 3</t>
  </si>
  <si>
    <t>Tầng 4 đến tầng 13</t>
  </si>
  <si>
    <t>Tầng 14 đến tầng 28</t>
  </si>
  <si>
    <t>Tầng 4 đến tầng 16</t>
  </si>
  <si>
    <t>Tầng 17 đến mái</t>
  </si>
  <si>
    <t>NHÓM TẦNG</t>
  </si>
  <si>
    <t>Mô hình kết cấu</t>
  </si>
  <si>
    <t>29-RO</t>
  </si>
  <si>
    <t>Tầng 29 đến mái</t>
  </si>
  <si>
    <t>Mô hình kiến trúc</t>
  </si>
  <si>
    <t>RVT, NWC, IFC</t>
  </si>
  <si>
    <t>LAND</t>
  </si>
  <si>
    <t>Bộ môn</t>
  </si>
  <si>
    <t>Tất cả bộ môn</t>
  </si>
  <si>
    <t>XXXX</t>
  </si>
  <si>
    <t>CIVI</t>
  </si>
  <si>
    <t>Tất cả nhóm tầng</t>
  </si>
  <si>
    <t>Không liên quan nhóm tầng</t>
  </si>
  <si>
    <t>XXX</t>
  </si>
  <si>
    <t>POD</t>
  </si>
  <si>
    <t>TOW</t>
  </si>
  <si>
    <t>Tòa nhà</t>
  </si>
  <si>
    <t>Tất cả các tòa</t>
  </si>
  <si>
    <t>Không liên quan tòa nhà</t>
  </si>
  <si>
    <t>Khối đế</t>
  </si>
  <si>
    <t>Khối tháp</t>
  </si>
  <si>
    <t>Bills of Quantity</t>
  </si>
  <si>
    <t>CO</t>
  </si>
  <si>
    <t>Biên bản họp</t>
  </si>
  <si>
    <t>Specification</t>
  </si>
  <si>
    <t>VI</t>
  </si>
  <si>
    <t>Video</t>
  </si>
  <si>
    <t>PI</t>
  </si>
  <si>
    <t>Hình ảnh</t>
  </si>
  <si>
    <t>Tầng hầm 1</t>
  </si>
  <si>
    <t>Tầng hầm 2</t>
  </si>
  <si>
    <t>M01</t>
  </si>
  <si>
    <t>Tầng lửng trên tầng 1</t>
  </si>
  <si>
    <t>M02</t>
  </si>
  <si>
    <t>Tầng lửng trên tầng 2</t>
  </si>
  <si>
    <t>Tất cả các tầng</t>
  </si>
  <si>
    <t>Không liên quan đến tầng</t>
  </si>
  <si>
    <t>01</t>
  </si>
  <si>
    <t>Tầng 1</t>
  </si>
  <si>
    <t>02</t>
  </si>
  <si>
    <t>Tầng 2</t>
  </si>
  <si>
    <t>ZZZ</t>
  </si>
  <si>
    <t>Nhóm tầng hầm</t>
  </si>
  <si>
    <t>Tầng</t>
  </si>
  <si>
    <t>MÃ TÁC GIẢ</t>
  </si>
  <si>
    <t>TÒA NHÀ</t>
  </si>
  <si>
    <t>TẦNG</t>
  </si>
  <si>
    <t>VAI TRÒ</t>
  </si>
  <si>
    <t>PHÂN LOẠI</t>
  </si>
  <si>
    <t>Phụ lục về thông tin phi hình học</t>
  </si>
  <si>
    <t>Phụ lục MIDP</t>
  </si>
  <si>
    <t>TR</t>
  </si>
  <si>
    <t>Đào tạo, hướng dẫn</t>
  </si>
  <si>
    <t>TÀI LIỆU</t>
  </si>
  <si>
    <t>Đào tạo</t>
  </si>
  <si>
    <t>Mô hình tổng hợp</t>
  </si>
  <si>
    <t>6. Khối lượng</t>
  </si>
  <si>
    <t>Khối lượng kiến trúc xuất từ mô hình</t>
  </si>
  <si>
    <t>BoQ</t>
  </si>
  <si>
    <t>Khối lượng kết cấu xuất từ mô hình</t>
  </si>
  <si>
    <t>Khối lượng HVAC xuất từ mô hình</t>
  </si>
  <si>
    <t>Khối lượng cấp thoát nước xuất từ mô hình</t>
  </si>
  <si>
    <t>Khối lượng điện xuất từ mô hình</t>
  </si>
  <si>
    <t>Khối lượng PCCC xuất từ mô hình</t>
  </si>
  <si>
    <t>xlsx</t>
  </si>
  <si>
    <t>không áp dụng bộ môn</t>
  </si>
  <si>
    <t>Kế hoạch triển khai BIM</t>
  </si>
  <si>
    <t>Giai đoạn chuyển giao thông tin</t>
  </si>
  <si>
    <t>Bên khởi tạo</t>
  </si>
  <si>
    <t>TÊN TỆP TIN
(tự động)</t>
  </si>
  <si>
    <t>LOẠI DỮ LIỆU</t>
  </si>
  <si>
    <t>Ngày chuyển giao lần 2 thực tế</t>
  </si>
  <si>
    <t>Mô hình kiến trúc tổng</t>
  </si>
  <si>
    <t>Mô hình kết cấu tổng</t>
  </si>
  <si>
    <t>Số bản vẽ</t>
  </si>
  <si>
    <t>Tên bản vẽ</t>
  </si>
  <si>
    <t>RVT</t>
  </si>
  <si>
    <t>Ngoài nhà</t>
  </si>
  <si>
    <t>DANH MỤC BẢN VẼ</t>
  </si>
  <si>
    <t>STT</t>
  </si>
  <si>
    <t>SỐ BẢN VẼ</t>
  </si>
  <si>
    <t>TÊN BẢN VẼ</t>
  </si>
  <si>
    <t>TỔNG THỂ</t>
  </si>
  <si>
    <t>PHẦN HẦM</t>
  </si>
  <si>
    <t>THÁP A</t>
  </si>
  <si>
    <t>THÁP B2</t>
  </si>
  <si>
    <t>THÁP B1</t>
  </si>
  <si>
    <t>Mô hình Cấp thoát nước ngoài nhà</t>
  </si>
  <si>
    <t>Mô hình điện ngoài nhà</t>
  </si>
  <si>
    <t>07</t>
  </si>
  <si>
    <t>Ngày chuyển giao Dự kiến</t>
  </si>
  <si>
    <t>NO-11</t>
  </si>
  <si>
    <t>NHÀ Ở CHUNG CƯ CAO TẦNG TẠI Ô ĐẤT KÝ HIỆU NO-11</t>
  </si>
  <si>
    <t>LID</t>
  </si>
  <si>
    <t>Công ty Cổ phần phát triển đô thị Từ Liêm - LIDECO</t>
  </si>
  <si>
    <t>PAY</t>
  </si>
  <si>
    <t>Công ty TNHH Paysart Hà Nội</t>
  </si>
  <si>
    <t>Công ty CP Công nghệ &amp; Tư vấn CIC</t>
  </si>
  <si>
    <t>CC</t>
  </si>
  <si>
    <t>Chung cư</t>
  </si>
  <si>
    <t>NN</t>
  </si>
  <si>
    <t>PL</t>
  </si>
  <si>
    <t>Kế hoạch</t>
  </si>
  <si>
    <t>Mô hình kết cấu phần hầm</t>
  </si>
  <si>
    <t>Mô hình kiến trúc phần hầm</t>
  </si>
  <si>
    <t>Mô hình Điều hòa thông gió phần hầm</t>
  </si>
  <si>
    <t>Mô hình Cấp thoát nước phần hầm</t>
  </si>
  <si>
    <t>Mô hình Điện phần hầm</t>
  </si>
  <si>
    <t>Mô hình Phòng cháy chữa cháy phần hầm</t>
  </si>
  <si>
    <t>Mô hình phần hầm khối chung cư</t>
  </si>
  <si>
    <t>Mô hình khu Podium khối chung cư</t>
  </si>
  <si>
    <t>Mô hình kết cấu khu Podium</t>
  </si>
  <si>
    <t>Mô hình kiến trúc khu Podium</t>
  </si>
  <si>
    <t>Mô hình Điều hòa thông gió khu Podium</t>
  </si>
  <si>
    <t>Mô hình Cấp thoát nướckhu Podium</t>
  </si>
  <si>
    <t>Mô hình Điện khu Podium</t>
  </si>
  <si>
    <t>Mô hình Phòng cháy chữa cháy khu Podium</t>
  </si>
  <si>
    <t>Mô hình khu căn hộ khối chung cư</t>
  </si>
  <si>
    <t>Mô hình kết cấu tầng 7</t>
  </si>
  <si>
    <t>Mô hình kết cấu tầng 8 đến 32</t>
  </si>
  <si>
    <t>Mô hình kết cấu tầng tum, mái</t>
  </si>
  <si>
    <t>08-32</t>
  </si>
  <si>
    <t>MA</t>
  </si>
  <si>
    <t>Mô hình kiến trúc tầng 7</t>
  </si>
  <si>
    <t>Mô hình kiến trúc tầng 8 đến 32</t>
  </si>
  <si>
    <t>Mô hình kiến trúc tầng tum, mái</t>
  </si>
  <si>
    <t>Mô hình điều hòa thông gió tầng 7</t>
  </si>
  <si>
    <t>Mô hình điều hòa thông gió tầng tum, mái</t>
  </si>
  <si>
    <t>Mô hình cấp thoát nước tầng 7</t>
  </si>
  <si>
    <t>Mô hình cấp thoát nước tầng tum, mái</t>
  </si>
  <si>
    <t>Mô hình điện tầng 7</t>
  </si>
  <si>
    <t>Mô hình điện tầng tum, mái</t>
  </si>
  <si>
    <t>Mô hình PCCC tầng 7</t>
  </si>
  <si>
    <t>Mô hình PCCC tầng tum, mái</t>
  </si>
  <si>
    <t>NWC, IFC</t>
  </si>
  <si>
    <t>17-24</t>
  </si>
  <si>
    <t>Mô hình điều hòa thông gió tầng 17 đến 24</t>
  </si>
  <si>
    <t>Mô hình cấp thoát nước tầng 17 đến 24</t>
  </si>
  <si>
    <t>Mô hình điện tầng 17 đến 24</t>
  </si>
  <si>
    <t>Mô hình PCCC tầng 17 đến 24</t>
  </si>
  <si>
    <t>Cảnh quan &amp; phụ trợ</t>
  </si>
  <si>
    <t>Mô hình cảnh quan (đường, cây xanh, hồ nước, tường rào, bãi để xe, …) &amp; công trình phụ trợ</t>
  </si>
  <si>
    <t>00</t>
  </si>
  <si>
    <t>Mô hình điều hòa thông gió tổng</t>
  </si>
  <si>
    <t>Mô hình cấp thoát nước tổng</t>
  </si>
  <si>
    <t>Mô hình điện tổng</t>
  </si>
  <si>
    <t>Mô hình PCCC tổng</t>
  </si>
  <si>
    <t>5. Diễn họa</t>
  </si>
  <si>
    <t>Báo cáo va chạm phần hầm</t>
  </si>
  <si>
    <t>Báo cáo va chạm phần chung cư</t>
  </si>
  <si>
    <t>Video giới thiệu dự án</t>
  </si>
  <si>
    <t>MP4</t>
  </si>
  <si>
    <t>Hạ tầng ngoài nhà</t>
  </si>
  <si>
    <t>07/02/2026</t>
  </si>
  <si>
    <t>27/02/2026</t>
  </si>
  <si>
    <t>27/01/2026</t>
  </si>
  <si>
    <t>13/02/2026</t>
  </si>
  <si>
    <t>Báo cáo va chạm phần Trung tâm thương mại</t>
  </si>
  <si>
    <t>09/03/2026</t>
  </si>
  <si>
    <t>14/03/2026</t>
  </si>
  <si>
    <t>21/03/2026</t>
  </si>
  <si>
    <t>24/03/2026</t>
  </si>
  <si>
    <t>10/03/2026</t>
  </si>
  <si>
    <t>13/03/2026</t>
  </si>
  <si>
    <t>Mô hình điều hòa thông gió tầng 8 đến 16</t>
  </si>
  <si>
    <t>08-16</t>
  </si>
  <si>
    <t>Mô hình điều hòa thông gió tầng 25 đến 32</t>
  </si>
  <si>
    <t>25-32</t>
  </si>
  <si>
    <t>Mô hình cấp thoát nước tầng 8 đến 16</t>
  </si>
  <si>
    <t>Mô hình cấp thoát nước tầng 25 đến 32</t>
  </si>
  <si>
    <t>Mô hình điện tầng 8 đến 16</t>
  </si>
  <si>
    <t>Mô hình điện tầng 25 đến 32</t>
  </si>
  <si>
    <t>Mô hình PCCC tầng 8 đến 16</t>
  </si>
  <si>
    <t>Mô hình PCCC tầng 25 đến 32</t>
  </si>
  <si>
    <t>Kết cấu công trình phụ trợ ngoài nhà</t>
  </si>
  <si>
    <t>25/03/2026</t>
  </si>
  <si>
    <t>P02</t>
  </si>
  <si>
    <t>03</t>
  </si>
  <si>
    <t>04</t>
  </si>
  <si>
    <t>08/04/2026</t>
  </si>
  <si>
    <t>19/03/2026</t>
  </si>
  <si>
    <t>17/02/2026</t>
  </si>
  <si>
    <t>24/04/2026</t>
  </si>
  <si>
    <t>FIR</t>
  </si>
  <si>
    <t>Công ty Cổ phần Firecom</t>
  </si>
  <si>
    <t>21/04/2026</t>
  </si>
  <si>
    <t>Kiến trúc &amp; Kết cấu</t>
  </si>
  <si>
    <t>Khối lượng xuất theo Form bộ môn KTKC</t>
  </si>
  <si>
    <t>STAR</t>
  </si>
  <si>
    <t>Khối lượng xuất theo Form bộ môn Cơ điện</t>
  </si>
  <si>
    <t>04/05/2026</t>
  </si>
  <si>
    <t>08/05/2026</t>
  </si>
  <si>
    <t>Form BoQ KTKC</t>
  </si>
  <si>
    <t>Form BoQ Cơ điện (Không bao gồm PCCC)</t>
  </si>
  <si>
    <t>17/04/2026</t>
  </si>
  <si>
    <t>Form BoQ PCCC</t>
  </si>
  <si>
    <t>Cơ điện (Không PCCC)</t>
  </si>
  <si>
    <t>PCCC</t>
  </si>
  <si>
    <t>Khối lượng xuất theo Form bộ môn PCCC</t>
  </si>
  <si>
    <t>Báo cáo va chạm toàn công trình</t>
  </si>
  <si>
    <t>13/04/0026</t>
  </si>
  <si>
    <t>23/04/2026</t>
  </si>
  <si>
    <t>Phản hồi Báo cáo va chạm Paysart</t>
  </si>
  <si>
    <t>Ngày chuyển giao thực tế lần đầu</t>
  </si>
  <si>
    <t>Ngày chuyển giao thực tế gần nhất</t>
  </si>
  <si>
    <t>13/04/2026</t>
  </si>
  <si>
    <t>Phản hồi báo cáo va chạm Firecom</t>
  </si>
  <si>
    <t>0006</t>
  </si>
  <si>
    <t>Phản hồi báo cáo va chạm Lideco</t>
  </si>
  <si>
    <t>0007</t>
  </si>
  <si>
    <t>06/04/2026</t>
  </si>
  <si>
    <t>03/03/2026</t>
  </si>
  <si>
    <t>15/03/2026</t>
  </si>
  <si>
    <t>06/03/2026</t>
  </si>
  <si>
    <t>22/04/2026</t>
  </si>
  <si>
    <t>05</t>
  </si>
  <si>
    <t>15/04/2026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</si>
</sst>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 #,##0\ _₫_-;\-* #,##0\ _₫_-;_-* &quot;-&quot;\ _₫_-;_-@_-"/>
    <numFmt numFmtId="165" formatCode="[$-1010000]d/m/yyyy;@"/>
    <numFmt numFmtId="166" formatCode="dd/mm/yyyy"/>
  </numFmts>
  <fonts count="51" x14ac:knownFonts="1">
    <font>
      <sz val="10"/>
      <color rgb="FF000000"/>
      <name val="Arial"/>
      <scheme val="minor"/>
    </font>
    <font>
      <b/>
      <sz val="10"/>
      <color rgb="FF000000"/>
      <name val="Calibri"/>
      <family val="2"/>
    </font>
    <font>
      <sz val="10"/>
      <color rgb="FF000000"/>
      <name val="Calibri"/>
      <family val="2"/>
    </font>
    <font>
      <sz val="10"/>
      <color rgb="FF231F20"/>
      <name val="Calibri"/>
      <family val="2"/>
    </font>
    <font>
      <sz val="10"/>
      <color rgb="FF000000"/>
      <name val="Arial"/>
      <family val="2"/>
    </font>
    <font>
      <sz val="10"/>
      <name val="Arial"/>
      <family val="2"/>
    </font>
    <font>
      <sz val="8"/>
      <color theme="1"/>
      <name val="Arial"/>
      <family val="2"/>
    </font>
    <font>
      <sz val="8"/>
      <color theme="1"/>
      <name val="Calibri"/>
      <family val="2"/>
    </font>
    <font>
      <sz val="10"/>
      <color theme="1"/>
      <name val="Calibri"/>
      <family val="2"/>
    </font>
    <font>
      <sz val="11"/>
      <color theme="1"/>
      <name val="Calibri"/>
      <family val="2"/>
    </font>
    <font>
      <b/>
      <sz val="10"/>
      <color theme="1"/>
      <name val="Calibri"/>
      <family val="2"/>
    </font>
    <font>
      <b/>
      <sz val="8"/>
      <color theme="1"/>
      <name val="Calibri"/>
      <family val="2"/>
    </font>
    <font>
      <b/>
      <sz val="10"/>
      <color rgb="FFFFFFFF"/>
      <name val="Calibri"/>
      <family val="2"/>
    </font>
    <font>
      <b/>
      <sz val="14"/>
      <color rgb="FFFFFFFF"/>
      <name val="Calibri"/>
      <family val="2"/>
    </font>
    <font>
      <sz val="10"/>
      <color rgb="FF000000"/>
      <name val="Times New Roman"/>
      <family val="1"/>
    </font>
    <font>
      <sz val="11"/>
      <color rgb="FF000000"/>
      <name val="Times New Roman"/>
      <family val="1"/>
    </font>
    <font>
      <b/>
      <sz val="11"/>
      <color theme="1"/>
      <name val="Calibri"/>
      <family val="2"/>
    </font>
    <font>
      <b/>
      <sz val="11"/>
      <color rgb="FFFFFFFF"/>
      <name val="Calibri"/>
      <family val="2"/>
    </font>
    <font>
      <sz val="10"/>
      <color rgb="FF374151"/>
      <name val="Quattrocento Sans"/>
      <family val="2"/>
    </font>
    <font>
      <b/>
      <sz val="8"/>
      <color theme="1"/>
      <name val="Arial"/>
      <family val="2"/>
    </font>
    <font>
      <i/>
      <sz val="8"/>
      <color theme="1"/>
      <name val="Arial"/>
      <family val="2"/>
    </font>
    <font>
      <sz val="10"/>
      <color rgb="FF000000"/>
      <name val="Arial"/>
      <family val="2"/>
      <scheme val="minor"/>
    </font>
    <font>
      <sz val="13"/>
      <color theme="1"/>
      <name val="Calibri"/>
      <family val="2"/>
    </font>
    <font>
      <i/>
      <sz val="13"/>
      <color theme="1"/>
      <name val="Calibri"/>
      <family val="2"/>
    </font>
    <font>
      <b/>
      <sz val="16"/>
      <color theme="1"/>
      <name val="Calibri"/>
      <family val="2"/>
    </font>
    <font>
      <b/>
      <sz val="13"/>
      <color theme="1"/>
      <name val="Calibri"/>
      <family val="2"/>
    </font>
    <font>
      <sz val="13"/>
      <color rgb="FF000000"/>
      <name val="Calibri"/>
      <family val="2"/>
    </font>
    <font>
      <sz val="10"/>
      <name val="Calibri"/>
      <family val="2"/>
    </font>
    <font>
      <b/>
      <sz val="18"/>
      <color theme="1"/>
      <name val="Calibri"/>
      <family val="2"/>
    </font>
    <font>
      <sz val="8"/>
      <color rgb="FF001A33"/>
      <name val="Calibri"/>
      <family val="2"/>
    </font>
    <font>
      <sz val="8"/>
      <name val="Arial"/>
      <family val="2"/>
      <scheme val="minor"/>
    </font>
    <font>
      <b/>
      <sz val="18"/>
      <color rgb="FF000000"/>
      <name val="Calibri"/>
      <family val="2"/>
    </font>
    <font>
      <sz val="11"/>
      <color rgb="FF000000"/>
      <name val="Arial"/>
      <family val="2"/>
      <scheme val="minor"/>
    </font>
    <font>
      <sz val="13"/>
      <color rgb="FF000000"/>
      <name val="Times New Roman"/>
      <family val="1"/>
    </font>
    <font>
      <sz val="10"/>
      <color rgb="FF000000"/>
      <name val="Arial"/>
      <family val="2"/>
      <scheme val="major"/>
    </font>
    <font>
      <sz val="10"/>
      <color theme="1"/>
      <name val="Arial"/>
      <family val="2"/>
      <scheme val="major"/>
    </font>
    <font>
      <b/>
      <sz val="18"/>
      <color theme="1"/>
      <name val="Arial"/>
      <family val="2"/>
      <scheme val="major"/>
    </font>
    <font>
      <b/>
      <sz val="10"/>
      <color theme="1"/>
      <name val="Arial"/>
      <family val="2"/>
      <scheme val="major"/>
    </font>
    <font>
      <sz val="8"/>
      <color theme="1"/>
      <name val="Arial"/>
      <family val="2"/>
      <scheme val="major"/>
    </font>
    <font>
      <sz val="10"/>
      <name val="Arial"/>
      <family val="2"/>
      <scheme val="major"/>
    </font>
    <font>
      <sz val="8"/>
      <color rgb="FF001A33"/>
      <name val="Arial"/>
      <family val="2"/>
      <scheme val="major"/>
    </font>
    <font>
      <sz val="11"/>
      <color theme="1"/>
      <name val="Arial"/>
      <family val="2"/>
      <scheme val="major"/>
    </font>
    <font>
      <b/>
      <sz val="10"/>
      <color rgb="FF000000"/>
      <name val="Arial"/>
      <family val="2"/>
      <scheme val="major"/>
    </font>
    <font>
      <b/>
      <sz val="11"/>
      <color rgb="FF000000"/>
      <name val="Arial"/>
      <family val="2"/>
      <scheme val="major"/>
    </font>
    <font>
      <b/>
      <sz val="11"/>
      <color theme="1"/>
      <name val="Arial"/>
      <family val="2"/>
      <scheme val="major"/>
    </font>
    <font>
      <b/>
      <sz val="11"/>
      <name val="Arial"/>
      <family val="2"/>
      <scheme val="major"/>
    </font>
    <font>
      <sz val="13"/>
      <color rgb="FF000000"/>
      <name val="Arial"/>
      <family val="2"/>
      <scheme val="minor"/>
    </font>
    <font>
      <sz val="30"/>
      <color rgb="FF000000"/>
      <name val="Arial"/>
      <family val="2"/>
      <scheme val="minor"/>
    </font>
    <font>
      <sz val="12"/>
      <color rgb="FF000000"/>
      <name val="Arial"/>
      <family val="2"/>
      <scheme val="minor"/>
    </font>
    <font>
      <b/>
      <sz val="12"/>
      <color rgb="FF000000"/>
      <name val="Arial"/>
      <family val="2"/>
      <scheme val="minor"/>
    </font>
    <font>
      <b/>
      <sz val="13"/>
      <color rgb="FF000000"/>
      <name val="Arial"/>
      <family val="2"/>
      <scheme val="minor"/>
    </font>
  </fonts>
  <fills count="18">
    <fill>
      <patternFill patternType="none"/>
    </fill>
    <fill>
      <patternFill patternType="gray125"/>
    </fill>
    <fill>
      <patternFill patternType="solid">
        <fgColor rgb="FFF2F2F2"/>
        <bgColor rgb="FFF2F2F2"/>
      </patternFill>
    </fill>
    <fill>
      <patternFill patternType="solid">
        <fgColor rgb="FFFFFF00"/>
        <bgColor rgb="FFFFFF00"/>
      </patternFill>
    </fill>
    <fill>
      <patternFill patternType="solid">
        <fgColor theme="0"/>
        <bgColor theme="0"/>
      </patternFill>
    </fill>
    <fill>
      <patternFill patternType="solid">
        <fgColor rgb="FF14A2DC"/>
        <bgColor rgb="FF14A2DC"/>
      </patternFill>
    </fill>
    <fill>
      <patternFill patternType="solid">
        <fgColor rgb="FF75BC43"/>
        <bgColor rgb="FF75BC43"/>
      </patternFill>
    </fill>
    <fill>
      <patternFill patternType="solid">
        <fgColor rgb="FF083C5C"/>
        <bgColor rgb="FF083C5C"/>
      </patternFill>
    </fill>
    <fill>
      <patternFill patternType="solid">
        <fgColor rgb="FF000000"/>
        <bgColor rgb="FF000000"/>
      </patternFill>
    </fill>
    <fill>
      <patternFill patternType="solid">
        <fgColor rgb="FFEFEFEF"/>
        <bgColor rgb="FFEFEFEF"/>
      </patternFill>
    </fill>
    <fill>
      <patternFill patternType="solid">
        <fgColor theme="0" tint="-4.9989318521683403E-2"/>
        <bgColor rgb="FFEFEFEF"/>
      </patternFill>
    </fill>
    <fill>
      <patternFill patternType="solid">
        <fgColor theme="0" tint="-4.9989318521683403E-2"/>
        <bgColor indexed="64"/>
      </patternFill>
    </fill>
    <fill>
      <patternFill patternType="solid">
        <fgColor theme="0"/>
        <bgColor rgb="FFF2F2F2"/>
      </patternFill>
    </fill>
    <fill>
      <patternFill patternType="solid">
        <fgColor theme="0"/>
        <bgColor indexed="64"/>
      </patternFill>
    </fill>
    <fill>
      <patternFill patternType="solid">
        <fgColor theme="0"/>
        <bgColor rgb="FFD8D8D8"/>
      </patternFill>
    </fill>
    <fill>
      <patternFill patternType="solid">
        <fgColor theme="2" tint="-0.249977111117893"/>
        <bgColor indexed="64"/>
      </patternFill>
    </fill>
    <fill>
      <patternFill patternType="solid">
        <fgColor theme="9" tint="0.59999389629810485"/>
        <bgColor indexed="64"/>
      </patternFill>
    </fill>
    <fill>
      <patternFill patternType="solid">
        <fgColor theme="0" tint="-0.14999847407452621"/>
        <bgColor indexed="64"/>
      </patternFill>
    </fill>
  </fills>
  <borders count="57">
    <border>
      <left/>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diagonal/>
    </border>
    <border>
      <left/>
      <right/>
      <top/>
      <bottom/>
      <diagonal/>
    </border>
    <border>
      <left/>
      <right style="thin">
        <color rgb="FF000000"/>
      </right>
      <top/>
      <bottom/>
      <diagonal/>
    </border>
    <border>
      <left style="thin">
        <color rgb="FF000000"/>
      </left>
      <right/>
      <top/>
      <bottom/>
      <diagonal/>
    </border>
    <border>
      <left/>
      <right/>
      <top style="thin">
        <color rgb="FF000000"/>
      </top>
      <bottom/>
      <diagonal/>
    </border>
    <border>
      <left/>
      <right style="thin">
        <color rgb="FF000000"/>
      </right>
      <top/>
      <bottom/>
      <diagonal/>
    </border>
    <border>
      <left/>
      <right/>
      <top/>
      <bottom/>
      <diagonal/>
    </border>
    <border>
      <left style="thin">
        <color rgb="FF000000"/>
      </left>
      <right/>
      <top/>
      <bottom/>
      <diagonal/>
    </border>
    <border>
      <left style="medium">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right style="thin">
        <color rgb="FF000000"/>
      </right>
      <top style="medium">
        <color rgb="FF000000"/>
      </top>
      <bottom style="thin">
        <color rgb="FF000000"/>
      </bottom>
      <diagonal/>
    </border>
    <border>
      <left style="medium">
        <color rgb="FF000000"/>
      </left>
      <right/>
      <top/>
      <bottom/>
      <diagonal/>
    </border>
    <border>
      <left style="thin">
        <color rgb="FF000000"/>
      </left>
      <right style="thin">
        <color rgb="FF000000"/>
      </right>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thin">
        <color rgb="FF70AD47"/>
      </bottom>
      <diagonal/>
    </border>
    <border>
      <left/>
      <right/>
      <top style="thin">
        <color rgb="FF000000"/>
      </top>
      <bottom style="thin">
        <color rgb="FF70AD47"/>
      </bottom>
      <diagonal/>
    </border>
    <border>
      <left/>
      <right style="thin">
        <color rgb="FF000000"/>
      </right>
      <top style="thin">
        <color rgb="FF000000"/>
      </top>
      <bottom style="thin">
        <color rgb="FF70AD47"/>
      </bottom>
      <diagonal/>
    </border>
    <border>
      <left style="thin">
        <color rgb="FF000000"/>
      </left>
      <right/>
      <top style="thin">
        <color rgb="FF75BC43"/>
      </top>
      <bottom style="thin">
        <color rgb="FF000000"/>
      </bottom>
      <diagonal/>
    </border>
    <border>
      <left/>
      <right/>
      <top style="thin">
        <color rgb="FF75BC43"/>
      </top>
      <bottom style="thin">
        <color rgb="FF000000"/>
      </bottom>
      <diagonal/>
    </border>
    <border>
      <left/>
      <right style="thin">
        <color rgb="FF000000"/>
      </right>
      <top style="thin">
        <color rgb="FF75BC43"/>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indexed="64"/>
      </top>
      <bottom/>
      <diagonal/>
    </border>
    <border>
      <left style="thin">
        <color indexed="64"/>
      </left>
      <right style="thin">
        <color rgb="FF000000"/>
      </right>
      <top style="thin">
        <color rgb="FF000000"/>
      </top>
      <bottom/>
      <diagonal/>
    </border>
    <border>
      <left style="thin">
        <color indexed="64"/>
      </left>
      <right style="thin">
        <color rgb="FF000000"/>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rgb="FF000000"/>
      </right>
      <top style="thin">
        <color indexed="64"/>
      </top>
      <bottom/>
      <diagonal/>
    </border>
    <border>
      <left/>
      <right/>
      <top/>
      <bottom style="thin">
        <color indexed="64"/>
      </bottom>
      <diagonal/>
    </border>
  </borders>
  <cellStyleXfs count="1">
    <xf numFmtId="0" fontId="0" fillId="0" borderId="0"/>
  </cellStyleXfs>
  <cellXfs count="421">
    <xf numFmtId="0" fontId="0" fillId="0" borderId="0" xfId="0"/>
    <xf numFmtId="0" fontId="2" fillId="0" borderId="5" xfId="0" applyFont="1" applyBorder="1" applyAlignment="1">
      <alignment horizontal="center" vertical="center" wrapText="1"/>
    </xf>
    <xf numFmtId="0" fontId="3" fillId="4" borderId="10" xfId="0" applyFont="1" applyFill="1" applyBorder="1" applyAlignment="1">
      <alignment horizontal="center" vertical="center" wrapText="1"/>
    </xf>
    <xf numFmtId="0" fontId="2" fillId="0" borderId="0" xfId="0" applyFont="1" applyAlignment="1">
      <alignment wrapText="1"/>
    </xf>
    <xf numFmtId="0" fontId="2" fillId="0" borderId="0" xfId="0" applyFont="1" applyAlignment="1">
      <alignment horizontal="left" wrapText="1"/>
    </xf>
    <xf numFmtId="0" fontId="2" fillId="0" borderId="0" xfId="0" applyFont="1" applyAlignment="1">
      <alignment horizontal="center" wrapText="1"/>
    </xf>
    <xf numFmtId="0" fontId="1" fillId="0" borderId="5" xfId="0" applyFont="1" applyBorder="1" applyAlignment="1">
      <alignment horizontal="left" wrapText="1"/>
    </xf>
    <xf numFmtId="0" fontId="2" fillId="0" borderId="5" xfId="0" applyFont="1" applyBorder="1" applyAlignment="1">
      <alignment wrapText="1"/>
    </xf>
    <xf numFmtId="0" fontId="2" fillId="0" borderId="5" xfId="0" applyFont="1" applyBorder="1" applyAlignment="1">
      <alignment horizontal="left" wrapText="1"/>
    </xf>
    <xf numFmtId="0" fontId="2" fillId="0" borderId="5" xfId="0" applyFont="1" applyBorder="1" applyAlignment="1">
      <alignment horizontal="center" wrapText="1"/>
    </xf>
    <xf numFmtId="0" fontId="2" fillId="3" borderId="5" xfId="0" applyFont="1" applyFill="1" applyBorder="1" applyAlignment="1">
      <alignment horizontal="center" wrapText="1"/>
    </xf>
    <xf numFmtId="49" fontId="2" fillId="0" borderId="5" xfId="0" applyNumberFormat="1" applyFont="1" applyBorder="1" applyAlignment="1">
      <alignment horizontal="center" wrapText="1"/>
    </xf>
    <xf numFmtId="0" fontId="2" fillId="3" borderId="5" xfId="0" applyFont="1" applyFill="1" applyBorder="1" applyAlignment="1">
      <alignment horizontal="center"/>
    </xf>
    <xf numFmtId="0" fontId="2" fillId="4" borderId="5" xfId="0" applyFont="1" applyFill="1" applyBorder="1" applyAlignment="1">
      <alignment wrapText="1"/>
    </xf>
    <xf numFmtId="49" fontId="2" fillId="3" borderId="5" xfId="0" applyNumberFormat="1" applyFont="1" applyFill="1" applyBorder="1" applyAlignment="1">
      <alignment horizontal="center"/>
    </xf>
    <xf numFmtId="0" fontId="8" fillId="2" borderId="5" xfId="0" applyFont="1" applyFill="1" applyBorder="1" applyAlignment="1">
      <alignment horizontal="left" vertical="top" wrapText="1"/>
    </xf>
    <xf numFmtId="0" fontId="2" fillId="0" borderId="0" xfId="0" applyFont="1"/>
    <xf numFmtId="0" fontId="2" fillId="3" borderId="5" xfId="0" quotePrefix="1" applyFont="1" applyFill="1" applyBorder="1" applyAlignment="1">
      <alignment horizontal="center" wrapText="1"/>
    </xf>
    <xf numFmtId="49" fontId="2" fillId="0" borderId="5" xfId="0" quotePrefix="1" applyNumberFormat="1" applyFont="1" applyBorder="1" applyAlignment="1">
      <alignment horizontal="center" wrapText="1"/>
    </xf>
    <xf numFmtId="14" fontId="2" fillId="0" borderId="0" xfId="0" applyNumberFormat="1" applyFont="1" applyAlignment="1">
      <alignment horizontal="center" wrapText="1"/>
    </xf>
    <xf numFmtId="14" fontId="2" fillId="0" borderId="0" xfId="0" applyNumberFormat="1" applyFont="1" applyAlignment="1">
      <alignment wrapText="1"/>
    </xf>
    <xf numFmtId="0" fontId="1" fillId="0" borderId="5" xfId="0" applyFont="1" applyBorder="1" applyAlignment="1">
      <alignment wrapText="1"/>
    </xf>
    <xf numFmtId="0" fontId="2" fillId="3" borderId="13" xfId="0" applyFont="1" applyFill="1" applyBorder="1" applyAlignment="1">
      <alignment wrapText="1"/>
    </xf>
    <xf numFmtId="49" fontId="2" fillId="0" borderId="0" xfId="0" applyNumberFormat="1" applyFont="1" applyAlignment="1">
      <alignment wrapText="1"/>
    </xf>
    <xf numFmtId="0" fontId="2" fillId="3" borderId="13" xfId="0" applyFont="1" applyFill="1" applyBorder="1"/>
    <xf numFmtId="0" fontId="14" fillId="0" borderId="0" xfId="0" applyFont="1" applyAlignment="1">
      <alignment horizontal="left" vertical="top"/>
    </xf>
    <xf numFmtId="0" fontId="15" fillId="0" borderId="0" xfId="0" applyFont="1" applyAlignment="1">
      <alignment horizontal="left" vertical="top"/>
    </xf>
    <xf numFmtId="0" fontId="16" fillId="5" borderId="5" xfId="0" applyFont="1" applyFill="1" applyBorder="1" applyAlignment="1">
      <alignment horizontal="center" vertical="center" wrapText="1"/>
    </xf>
    <xf numFmtId="0" fontId="17" fillId="5" borderId="38" xfId="0" applyFont="1" applyFill="1" applyBorder="1" applyAlignment="1">
      <alignment horizontal="left" vertical="center" wrapText="1"/>
    </xf>
    <xf numFmtId="0" fontId="10" fillId="8" borderId="13" xfId="0" applyFont="1" applyFill="1" applyBorder="1" applyAlignment="1">
      <alignment horizontal="left" vertical="top" wrapText="1"/>
    </xf>
    <xf numFmtId="0" fontId="14" fillId="7" borderId="5" xfId="0" applyFont="1" applyFill="1" applyBorder="1" applyAlignment="1">
      <alignment horizontal="left" wrapText="1"/>
    </xf>
    <xf numFmtId="0" fontId="14" fillId="7" borderId="38" xfId="0" applyFont="1" applyFill="1" applyBorder="1" applyAlignment="1">
      <alignment horizontal="left" wrapText="1"/>
    </xf>
    <xf numFmtId="0" fontId="10" fillId="0" borderId="5" xfId="0" applyFont="1" applyBorder="1" applyAlignment="1">
      <alignment horizontal="left" vertical="top" wrapText="1"/>
    </xf>
    <xf numFmtId="1" fontId="12" fillId="5" borderId="5" xfId="0" applyNumberFormat="1" applyFont="1" applyFill="1" applyBorder="1" applyAlignment="1">
      <alignment horizontal="left" vertical="top" shrinkToFit="1"/>
    </xf>
    <xf numFmtId="0" fontId="14" fillId="0" borderId="5" xfId="0" applyFont="1" applyBorder="1" applyAlignment="1">
      <alignment horizontal="left" wrapText="1"/>
    </xf>
    <xf numFmtId="0" fontId="14" fillId="0" borderId="6" xfId="0" applyFont="1" applyBorder="1" applyAlignment="1">
      <alignment horizontal="left" wrapText="1"/>
    </xf>
    <xf numFmtId="1" fontId="1" fillId="0" borderId="5" xfId="0" applyNumberFormat="1" applyFont="1" applyBorder="1" applyAlignment="1">
      <alignment horizontal="left" vertical="top" shrinkToFit="1"/>
    </xf>
    <xf numFmtId="0" fontId="8" fillId="9" borderId="5" xfId="0" applyFont="1" applyFill="1" applyBorder="1" applyAlignment="1">
      <alignment horizontal="left" vertical="top" wrapText="1"/>
    </xf>
    <xf numFmtId="0" fontId="10" fillId="7" borderId="5" xfId="0" applyFont="1" applyFill="1" applyBorder="1" applyAlignment="1">
      <alignment horizontal="left" vertical="top" wrapText="1"/>
    </xf>
    <xf numFmtId="0" fontId="18" fillId="0" borderId="0" xfId="0" applyFont="1" applyAlignment="1">
      <alignment vertical="center"/>
    </xf>
    <xf numFmtId="0" fontId="4" fillId="0" borderId="0" xfId="0" applyFont="1" applyAlignment="1">
      <alignment vertical="center"/>
    </xf>
    <xf numFmtId="0" fontId="17" fillId="5" borderId="5" xfId="0" applyFont="1" applyFill="1" applyBorder="1" applyAlignment="1">
      <alignment horizontal="center" vertical="center" wrapText="1"/>
    </xf>
    <xf numFmtId="0" fontId="10" fillId="0" borderId="38" xfId="0" applyFont="1" applyBorder="1" applyAlignment="1">
      <alignment horizontal="left" vertical="top" wrapText="1"/>
    </xf>
    <xf numFmtId="0" fontId="10" fillId="7" borderId="38" xfId="0" applyFont="1" applyFill="1" applyBorder="1" applyAlignment="1">
      <alignment horizontal="left" vertical="top" wrapText="1"/>
    </xf>
    <xf numFmtId="0" fontId="14" fillId="0" borderId="10" xfId="0" applyFont="1" applyBorder="1" applyAlignment="1">
      <alignment horizontal="left" wrapText="1"/>
    </xf>
    <xf numFmtId="0" fontId="14" fillId="7" borderId="10" xfId="0" applyFont="1" applyFill="1" applyBorder="1" applyAlignment="1">
      <alignment horizontal="left" wrapText="1"/>
    </xf>
    <xf numFmtId="1" fontId="1" fillId="0" borderId="11" xfId="0" applyNumberFormat="1" applyFont="1" applyBorder="1" applyAlignment="1">
      <alignment horizontal="left" vertical="top" shrinkToFit="1"/>
    </xf>
    <xf numFmtId="0" fontId="8" fillId="9" borderId="11" xfId="0" applyFont="1" applyFill="1" applyBorder="1" applyAlignment="1">
      <alignment horizontal="left" vertical="top" wrapText="1"/>
    </xf>
    <xf numFmtId="1" fontId="1" fillId="0" borderId="45" xfId="0" applyNumberFormat="1" applyFont="1" applyBorder="1" applyAlignment="1">
      <alignment horizontal="left" vertical="top" shrinkToFit="1"/>
    </xf>
    <xf numFmtId="0" fontId="8" fillId="9" borderId="45" xfId="0" applyFont="1" applyFill="1" applyBorder="1" applyAlignment="1">
      <alignment horizontal="left" vertical="top" wrapText="1"/>
    </xf>
    <xf numFmtId="1" fontId="12" fillId="5" borderId="45" xfId="0" applyNumberFormat="1" applyFont="1" applyFill="1" applyBorder="1" applyAlignment="1">
      <alignment horizontal="left" vertical="top" shrinkToFit="1"/>
    </xf>
    <xf numFmtId="0" fontId="0" fillId="0" borderId="45" xfId="0" applyBorder="1"/>
    <xf numFmtId="0" fontId="8" fillId="10" borderId="45" xfId="0" applyFont="1" applyFill="1" applyBorder="1" applyAlignment="1">
      <alignment horizontal="left" vertical="top" wrapText="1"/>
    </xf>
    <xf numFmtId="0" fontId="2" fillId="11" borderId="45" xfId="0" applyFont="1" applyFill="1" applyBorder="1"/>
    <xf numFmtId="0" fontId="2" fillId="0" borderId="8" xfId="0" applyFont="1" applyBorder="1" applyAlignment="1">
      <alignment horizontal="center" vertical="center" wrapText="1"/>
    </xf>
    <xf numFmtId="0" fontId="1" fillId="12" borderId="45" xfId="0" applyFont="1" applyFill="1" applyBorder="1" applyAlignment="1">
      <alignment horizontal="center" vertical="center" wrapText="1"/>
    </xf>
    <xf numFmtId="0" fontId="1" fillId="13" borderId="45" xfId="0" applyFont="1" applyFill="1" applyBorder="1" applyAlignment="1">
      <alignment horizontal="center" vertical="center" wrapText="1"/>
    </xf>
    <xf numFmtId="0" fontId="1" fillId="13" borderId="10" xfId="0" applyFont="1" applyFill="1" applyBorder="1" applyAlignment="1">
      <alignment horizontal="center" vertical="center" wrapText="1"/>
    </xf>
    <xf numFmtId="0" fontId="1" fillId="12" borderId="5" xfId="0" applyFont="1" applyFill="1" applyBorder="1" applyAlignment="1">
      <alignment horizontal="center" vertical="center" wrapText="1"/>
    </xf>
    <xf numFmtId="0" fontId="1" fillId="13" borderId="5" xfId="0" applyFont="1" applyFill="1" applyBorder="1" applyAlignment="1">
      <alignment horizontal="center" vertical="center" wrapText="1"/>
    </xf>
    <xf numFmtId="0" fontId="3" fillId="12" borderId="5" xfId="0" applyFont="1" applyFill="1" applyBorder="1" applyAlignment="1">
      <alignment horizontal="center" vertical="center" wrapText="1"/>
    </xf>
    <xf numFmtId="0" fontId="2" fillId="13" borderId="5" xfId="0" applyFont="1" applyFill="1" applyBorder="1" applyAlignment="1">
      <alignment horizontal="center" vertical="center" wrapText="1"/>
    </xf>
    <xf numFmtId="49" fontId="2" fillId="13" borderId="5" xfId="0" applyNumberFormat="1" applyFont="1" applyFill="1" applyBorder="1" applyAlignment="1">
      <alignment horizontal="center" vertical="center" wrapText="1"/>
    </xf>
    <xf numFmtId="0" fontId="2" fillId="12" borderId="45" xfId="0" applyFont="1" applyFill="1" applyBorder="1" applyAlignment="1">
      <alignment horizontal="center" vertical="center"/>
    </xf>
    <xf numFmtId="0" fontId="2" fillId="12" borderId="45" xfId="0" applyFont="1" applyFill="1" applyBorder="1" applyAlignment="1">
      <alignment horizontal="left" vertical="center" wrapText="1"/>
    </xf>
    <xf numFmtId="0" fontId="2" fillId="12" borderId="45" xfId="0" applyFont="1" applyFill="1" applyBorder="1" applyAlignment="1">
      <alignment wrapText="1"/>
    </xf>
    <xf numFmtId="0" fontId="2" fillId="12" borderId="5" xfId="0" applyFont="1" applyFill="1" applyBorder="1" applyAlignment="1">
      <alignment horizontal="center" vertical="center" wrapText="1"/>
    </xf>
    <xf numFmtId="0" fontId="3" fillId="13" borderId="4" xfId="0" applyFont="1" applyFill="1" applyBorder="1" applyAlignment="1">
      <alignment horizontal="center" vertical="center" wrapText="1"/>
    </xf>
    <xf numFmtId="0" fontId="2" fillId="12" borderId="2" xfId="0" applyFont="1" applyFill="1" applyBorder="1" applyAlignment="1">
      <alignment horizontal="center" vertical="center"/>
    </xf>
    <xf numFmtId="0" fontId="2" fillId="12" borderId="2" xfId="0" applyFont="1" applyFill="1" applyBorder="1" applyAlignment="1">
      <alignment horizontal="left" vertical="center"/>
    </xf>
    <xf numFmtId="0" fontId="2" fillId="13" borderId="18" xfId="0" applyFont="1" applyFill="1" applyBorder="1" applyAlignment="1">
      <alignment vertical="center" wrapText="1"/>
    </xf>
    <xf numFmtId="0" fontId="2" fillId="12" borderId="13" xfId="0" applyFont="1" applyFill="1" applyBorder="1" applyAlignment="1">
      <alignment horizontal="center" vertical="center" wrapText="1"/>
    </xf>
    <xf numFmtId="0" fontId="2" fillId="12" borderId="14" xfId="0" applyFont="1" applyFill="1" applyBorder="1" applyAlignment="1">
      <alignment horizontal="center" vertical="center" wrapText="1"/>
    </xf>
    <xf numFmtId="0" fontId="2" fillId="12" borderId="10" xfId="0" applyFont="1" applyFill="1" applyBorder="1" applyAlignment="1">
      <alignment horizontal="center" vertical="center" wrapText="1"/>
    </xf>
    <xf numFmtId="49" fontId="3" fillId="13" borderId="4" xfId="0" applyNumberFormat="1" applyFont="1" applyFill="1" applyBorder="1" applyAlignment="1">
      <alignment horizontal="center" vertical="center" wrapText="1"/>
    </xf>
    <xf numFmtId="0" fontId="2" fillId="13" borderId="0" xfId="0" applyFont="1" applyFill="1" applyAlignment="1">
      <alignment horizontal="center" vertical="center" wrapText="1"/>
    </xf>
    <xf numFmtId="0" fontId="2" fillId="13" borderId="12" xfId="0" applyFont="1" applyFill="1" applyBorder="1" applyAlignment="1">
      <alignment horizontal="center" vertical="center" wrapText="1"/>
    </xf>
    <xf numFmtId="0" fontId="2" fillId="13" borderId="7" xfId="0" applyFont="1" applyFill="1" applyBorder="1" applyAlignment="1">
      <alignment vertical="center" wrapText="1"/>
    </xf>
    <xf numFmtId="0" fontId="3" fillId="13" borderId="10" xfId="0" applyFont="1" applyFill="1" applyBorder="1" applyAlignment="1">
      <alignment horizontal="center" vertical="center" wrapText="1"/>
    </xf>
    <xf numFmtId="0" fontId="1" fillId="12" borderId="47" xfId="0" applyFont="1" applyFill="1" applyBorder="1" applyAlignment="1">
      <alignment horizontal="center" vertical="center" wrapText="1"/>
    </xf>
    <xf numFmtId="0" fontId="8" fillId="12" borderId="5" xfId="0" applyFont="1" applyFill="1" applyBorder="1" applyAlignment="1">
      <alignment horizontal="left" vertical="top" wrapText="1"/>
    </xf>
    <xf numFmtId="0" fontId="2" fillId="12" borderId="18" xfId="0" applyFont="1" applyFill="1" applyBorder="1" applyAlignment="1">
      <alignment horizontal="center" vertical="center" wrapText="1"/>
    </xf>
    <xf numFmtId="0" fontId="22" fillId="0" borderId="0" xfId="0" applyFont="1"/>
    <xf numFmtId="0" fontId="22" fillId="0" borderId="0" xfId="0" applyFont="1" applyAlignment="1">
      <alignment horizontal="center"/>
    </xf>
    <xf numFmtId="0" fontId="23" fillId="0" borderId="0" xfId="0" applyFont="1"/>
    <xf numFmtId="0" fontId="25" fillId="0" borderId="1" xfId="0" applyFont="1" applyBorder="1" applyAlignment="1">
      <alignment horizontal="center" vertical="center" wrapText="1"/>
    </xf>
    <xf numFmtId="0" fontId="25" fillId="0" borderId="2" xfId="0" applyFont="1" applyBorder="1" applyAlignment="1">
      <alignment horizontal="center" vertical="center" wrapText="1"/>
    </xf>
    <xf numFmtId="0" fontId="25" fillId="0" borderId="3" xfId="0" applyFont="1" applyBorder="1" applyAlignment="1">
      <alignment horizontal="center" vertical="center" wrapText="1"/>
    </xf>
    <xf numFmtId="49" fontId="26" fillId="0" borderId="4" xfId="0" applyNumberFormat="1" applyFont="1" applyBorder="1" applyAlignment="1">
      <alignment horizontal="center" vertical="center" wrapText="1"/>
    </xf>
    <xf numFmtId="49" fontId="26" fillId="0" borderId="5" xfId="0" applyNumberFormat="1" applyFont="1" applyBorder="1" applyAlignment="1">
      <alignment horizontal="center" vertical="center" wrapText="1"/>
    </xf>
    <xf numFmtId="49" fontId="26" fillId="0" borderId="6" xfId="0" applyNumberFormat="1" applyFont="1" applyBorder="1" applyAlignment="1">
      <alignment horizontal="center" vertical="center" wrapText="1"/>
    </xf>
    <xf numFmtId="49" fontId="26" fillId="0" borderId="7" xfId="0" applyNumberFormat="1" applyFont="1" applyBorder="1" applyAlignment="1">
      <alignment horizontal="center" vertical="center" wrapText="1"/>
    </xf>
    <xf numFmtId="49" fontId="26" fillId="0" borderId="8" xfId="0" applyNumberFormat="1" applyFont="1" applyBorder="1" applyAlignment="1">
      <alignment horizontal="center" vertical="center" wrapText="1"/>
    </xf>
    <xf numFmtId="49" fontId="26" fillId="0" borderId="9" xfId="0" applyNumberFormat="1" applyFont="1" applyBorder="1" applyAlignment="1">
      <alignment horizontal="center" vertical="center" wrapText="1"/>
    </xf>
    <xf numFmtId="0" fontId="2" fillId="13" borderId="0" xfId="0" applyFont="1" applyFill="1"/>
    <xf numFmtId="0" fontId="2" fillId="13" borderId="45" xfId="0" applyFont="1" applyFill="1" applyBorder="1" applyAlignment="1">
      <alignment horizontal="justify" vertical="center" wrapText="1"/>
    </xf>
    <xf numFmtId="0" fontId="2" fillId="13" borderId="45" xfId="0" applyFont="1" applyFill="1" applyBorder="1" applyAlignment="1">
      <alignment horizontal="center" vertical="center" wrapText="1"/>
    </xf>
    <xf numFmtId="0" fontId="2" fillId="13" borderId="46" xfId="0" applyFont="1" applyFill="1" applyBorder="1" applyAlignment="1">
      <alignment horizontal="justify" vertical="center" wrapText="1"/>
    </xf>
    <xf numFmtId="49" fontId="2" fillId="13" borderId="5" xfId="0" applyNumberFormat="1" applyFont="1" applyFill="1" applyBorder="1" applyAlignment="1">
      <alignment wrapText="1"/>
    </xf>
    <xf numFmtId="49" fontId="2" fillId="4" borderId="5" xfId="0" applyNumberFormat="1" applyFont="1" applyFill="1" applyBorder="1" applyAlignment="1">
      <alignment wrapText="1"/>
    </xf>
    <xf numFmtId="0" fontId="8" fillId="12" borderId="13" xfId="0" applyFont="1" applyFill="1" applyBorder="1"/>
    <xf numFmtId="0" fontId="8" fillId="12" borderId="14" xfId="0" applyFont="1" applyFill="1" applyBorder="1"/>
    <xf numFmtId="0" fontId="8" fillId="12" borderId="19" xfId="0" applyFont="1" applyFill="1" applyBorder="1"/>
    <xf numFmtId="0" fontId="2" fillId="0" borderId="11" xfId="0" applyFont="1" applyBorder="1" applyAlignment="1">
      <alignment horizontal="center" vertical="center" wrapText="1"/>
    </xf>
    <xf numFmtId="0" fontId="2" fillId="4" borderId="11" xfId="0" applyFont="1" applyFill="1" applyBorder="1" applyAlignment="1">
      <alignment wrapText="1"/>
    </xf>
    <xf numFmtId="0" fontId="8" fillId="0" borderId="0" xfId="0" applyFont="1" applyAlignment="1">
      <alignment horizontal="center" wrapText="1"/>
    </xf>
    <xf numFmtId="0" fontId="10" fillId="0" borderId="20" xfId="0" applyFont="1" applyBorder="1" applyAlignment="1">
      <alignment horizontal="left" vertical="center" wrapText="1"/>
    </xf>
    <xf numFmtId="0" fontId="10" fillId="0" borderId="24" xfId="0" applyFont="1" applyBorder="1" applyAlignment="1">
      <alignment horizontal="left" vertical="center" wrapText="1"/>
    </xf>
    <xf numFmtId="0" fontId="7" fillId="0" borderId="0" xfId="0" applyFont="1" applyAlignment="1">
      <alignment horizontal="center" wrapText="1"/>
    </xf>
    <xf numFmtId="0" fontId="10" fillId="0" borderId="24" xfId="0" applyFont="1" applyBorder="1" applyAlignment="1">
      <alignment vertical="center" wrapText="1"/>
    </xf>
    <xf numFmtId="0" fontId="10" fillId="0" borderId="27" xfId="0" applyFont="1" applyBorder="1" applyAlignment="1">
      <alignment horizontal="left" vertical="center" wrapText="1"/>
    </xf>
    <xf numFmtId="0" fontId="27" fillId="0" borderId="11" xfId="0" applyFont="1" applyBorder="1"/>
    <xf numFmtId="0" fontId="2" fillId="4" borderId="5" xfId="0" applyFont="1" applyFill="1" applyBorder="1" applyAlignment="1">
      <alignment horizontal="left" vertical="center" wrapText="1"/>
    </xf>
    <xf numFmtId="0" fontId="27" fillId="0" borderId="5" xfId="0" applyFont="1" applyBorder="1"/>
    <xf numFmtId="0" fontId="27" fillId="0" borderId="2" xfId="0" applyFont="1" applyBorder="1"/>
    <xf numFmtId="0" fontId="2" fillId="0" borderId="36" xfId="0" applyFont="1" applyBorder="1" applyAlignment="1">
      <alignment horizontal="center" vertical="center" wrapText="1"/>
    </xf>
    <xf numFmtId="0" fontId="2" fillId="0" borderId="5" xfId="0" applyFont="1" applyBorder="1" applyAlignment="1">
      <alignment vertical="center" wrapText="1"/>
    </xf>
    <xf numFmtId="0" fontId="11" fillId="0" borderId="11" xfId="0" applyFont="1" applyBorder="1" applyAlignment="1">
      <alignment horizontal="center" vertical="center" wrapText="1"/>
    </xf>
    <xf numFmtId="9" fontId="2" fillId="0" borderId="5" xfId="0" applyNumberFormat="1" applyFont="1" applyBorder="1" applyAlignment="1">
      <alignment horizontal="center" wrapText="1"/>
    </xf>
    <xf numFmtId="165" fontId="8" fillId="12" borderId="5" xfId="0" applyNumberFormat="1" applyFont="1" applyFill="1" applyBorder="1" applyAlignment="1">
      <alignment horizontal="center" vertical="top" wrapText="1"/>
    </xf>
    <xf numFmtId="14" fontId="2" fillId="0" borderId="5" xfId="0" applyNumberFormat="1" applyFont="1" applyBorder="1" applyAlignment="1">
      <alignment horizontal="center" wrapText="1"/>
    </xf>
    <xf numFmtId="0" fontId="1" fillId="0" borderId="10" xfId="0" applyFont="1" applyBorder="1" applyAlignment="1">
      <alignment horizontal="center" wrapText="1"/>
    </xf>
    <xf numFmtId="164" fontId="2" fillId="0" borderId="5" xfId="0" applyNumberFormat="1" applyFont="1" applyBorder="1" applyAlignment="1">
      <alignment horizontal="center" wrapText="1"/>
    </xf>
    <xf numFmtId="164" fontId="2" fillId="0" borderId="0" xfId="0" applyNumberFormat="1" applyFont="1" applyAlignment="1">
      <alignment horizontal="center" wrapText="1"/>
    </xf>
    <xf numFmtId="3" fontId="7" fillId="0" borderId="0" xfId="0" applyNumberFormat="1" applyFont="1" applyAlignment="1">
      <alignment vertical="center" wrapText="1"/>
    </xf>
    <xf numFmtId="0" fontId="1" fillId="0" borderId="9" xfId="0" applyFont="1" applyBorder="1" applyAlignment="1">
      <alignment horizontal="center" wrapText="1"/>
    </xf>
    <xf numFmtId="164" fontId="2" fillId="0" borderId="0" xfId="0" applyNumberFormat="1" applyFont="1" applyAlignment="1">
      <alignment horizontal="right"/>
    </xf>
    <xf numFmtId="10" fontId="2" fillId="0" borderId="0" xfId="0" applyNumberFormat="1" applyFont="1" applyAlignment="1">
      <alignment horizontal="right" wrapText="1"/>
    </xf>
    <xf numFmtId="10" fontId="2" fillId="0" borderId="0" xfId="0" applyNumberFormat="1" applyFont="1" applyAlignment="1">
      <alignment horizontal="right"/>
    </xf>
    <xf numFmtId="0" fontId="3" fillId="13" borderId="7" xfId="0" applyFont="1" applyFill="1" applyBorder="1" applyAlignment="1">
      <alignment horizontal="center" vertical="center" wrapText="1"/>
    </xf>
    <xf numFmtId="0" fontId="3" fillId="12" borderId="11" xfId="0" applyFont="1" applyFill="1" applyBorder="1" applyAlignment="1">
      <alignment horizontal="center" vertical="center" wrapText="1"/>
    </xf>
    <xf numFmtId="0" fontId="2" fillId="12" borderId="11" xfId="0" applyFont="1" applyFill="1" applyBorder="1" applyAlignment="1">
      <alignment horizontal="center" vertical="center" wrapText="1"/>
    </xf>
    <xf numFmtId="0" fontId="2" fillId="13" borderId="5" xfId="0" applyFont="1" applyFill="1" applyBorder="1" applyAlignment="1">
      <alignment vertical="center" wrapText="1"/>
    </xf>
    <xf numFmtId="0" fontId="2" fillId="13" borderId="5" xfId="0" applyFont="1" applyFill="1" applyBorder="1"/>
    <xf numFmtId="0" fontId="8" fillId="12" borderId="5" xfId="0" applyFont="1" applyFill="1" applyBorder="1"/>
    <xf numFmtId="0" fontId="8" fillId="13" borderId="5" xfId="0" applyFont="1" applyFill="1" applyBorder="1"/>
    <xf numFmtId="0" fontId="2" fillId="12" borderId="18" xfId="0" applyFont="1" applyFill="1" applyBorder="1" applyAlignment="1">
      <alignment vertical="center" wrapText="1"/>
    </xf>
    <xf numFmtId="0" fontId="2" fillId="13" borderId="18" xfId="0" applyFont="1" applyFill="1" applyBorder="1" applyAlignment="1">
      <alignment horizontal="center" vertical="center" wrapText="1"/>
    </xf>
    <xf numFmtId="0" fontId="2" fillId="13" borderId="17" xfId="0" applyFont="1" applyFill="1" applyBorder="1" applyAlignment="1">
      <alignment horizontal="center" vertical="center" wrapText="1"/>
    </xf>
    <xf numFmtId="0" fontId="2" fillId="12" borderId="37" xfId="0" applyFont="1" applyFill="1" applyBorder="1" applyAlignment="1">
      <alignment horizontal="center" vertical="center" wrapText="1"/>
    </xf>
    <xf numFmtId="0" fontId="2" fillId="13" borderId="37" xfId="0" applyFont="1" applyFill="1" applyBorder="1" applyAlignment="1">
      <alignment horizontal="center" vertical="center" wrapText="1"/>
    </xf>
    <xf numFmtId="0" fontId="2" fillId="13" borderId="1" xfId="0" applyFont="1" applyFill="1" applyBorder="1" applyAlignment="1">
      <alignment horizontal="center" vertical="center" wrapText="1"/>
    </xf>
    <xf numFmtId="0" fontId="2" fillId="13" borderId="45" xfId="0" applyFont="1" applyFill="1" applyBorder="1"/>
    <xf numFmtId="0" fontId="2" fillId="13" borderId="45" xfId="0" applyFont="1" applyFill="1" applyBorder="1" applyAlignment="1">
      <alignment vertical="center"/>
    </xf>
    <xf numFmtId="0" fontId="2" fillId="12" borderId="1" xfId="0" applyFont="1" applyFill="1" applyBorder="1" applyAlignment="1">
      <alignment horizontal="center" vertical="center" wrapText="1"/>
    </xf>
    <xf numFmtId="0" fontId="2" fillId="12" borderId="45" xfId="0" applyFont="1" applyFill="1" applyBorder="1" applyAlignment="1">
      <alignment horizontal="center" vertical="center" wrapText="1"/>
    </xf>
    <xf numFmtId="0" fontId="31" fillId="13" borderId="0" xfId="0" applyFont="1" applyFill="1" applyAlignment="1">
      <alignment horizontal="centerContinuous"/>
    </xf>
    <xf numFmtId="0" fontId="2" fillId="13" borderId="0" xfId="0" applyFont="1" applyFill="1" applyAlignment="1">
      <alignment horizontal="centerContinuous"/>
    </xf>
    <xf numFmtId="0" fontId="8" fillId="12" borderId="45" xfId="0" applyFont="1" applyFill="1" applyBorder="1" applyAlignment="1">
      <alignment horizontal="center" vertical="center" wrapText="1"/>
    </xf>
    <xf numFmtId="0" fontId="8" fillId="12" borderId="45" xfId="0" applyFont="1" applyFill="1" applyBorder="1" applyAlignment="1">
      <alignment horizontal="left" vertical="center" wrapText="1"/>
    </xf>
    <xf numFmtId="0" fontId="2" fillId="13" borderId="5" xfId="0" applyFont="1" applyFill="1" applyBorder="1" applyAlignment="1">
      <alignment horizontal="justify" vertical="center" wrapText="1"/>
    </xf>
    <xf numFmtId="0" fontId="2" fillId="4" borderId="5" xfId="0" applyFont="1" applyFill="1" applyBorder="1" applyAlignment="1">
      <alignment horizontal="justify" vertical="center" wrapText="1"/>
    </xf>
    <xf numFmtId="0" fontId="2" fillId="13" borderId="10" xfId="0" applyFont="1" applyFill="1" applyBorder="1" applyAlignment="1">
      <alignment horizontal="justify" vertical="center" wrapText="1"/>
    </xf>
    <xf numFmtId="0" fontId="32" fillId="0" borderId="0" xfId="0" applyFont="1" applyAlignment="1">
      <alignment vertical="center"/>
    </xf>
    <xf numFmtId="0" fontId="33" fillId="0" borderId="0" xfId="0" applyFont="1" applyAlignment="1">
      <alignment vertical="center"/>
    </xf>
    <xf numFmtId="0" fontId="33" fillId="0" borderId="0" xfId="0" applyFont="1"/>
    <xf numFmtId="49" fontId="2" fillId="13" borderId="45" xfId="0" applyNumberFormat="1" applyFont="1" applyFill="1" applyBorder="1" applyAlignment="1">
      <alignment horizontal="justify" vertical="center" wrapText="1"/>
    </xf>
    <xf numFmtId="49" fontId="2" fillId="13" borderId="0" xfId="0" applyNumberFormat="1" applyFont="1" applyFill="1" applyAlignment="1">
      <alignment horizontal="centerContinuous"/>
    </xf>
    <xf numFmtId="49" fontId="1" fillId="13" borderId="4" xfId="0" applyNumberFormat="1" applyFont="1" applyFill="1" applyBorder="1" applyAlignment="1">
      <alignment horizontal="center" vertical="center" wrapText="1"/>
    </xf>
    <xf numFmtId="49" fontId="2" fillId="13" borderId="4" xfId="0" quotePrefix="1" applyNumberFormat="1" applyFont="1" applyFill="1" applyBorder="1" applyAlignment="1">
      <alignment horizontal="center" vertical="center" wrapText="1"/>
    </xf>
    <xf numFmtId="49" fontId="2" fillId="13" borderId="4" xfId="0" applyNumberFormat="1" applyFont="1" applyFill="1" applyBorder="1" applyAlignment="1">
      <alignment horizontal="center" vertical="center" wrapText="1"/>
    </xf>
    <xf numFmtId="49" fontId="3" fillId="13" borderId="10" xfId="0" applyNumberFormat="1" applyFont="1" applyFill="1" applyBorder="1" applyAlignment="1">
      <alignment horizontal="center" vertical="center" wrapText="1"/>
    </xf>
    <xf numFmtId="49" fontId="3" fillId="13" borderId="7" xfId="0" applyNumberFormat="1" applyFont="1" applyFill="1" applyBorder="1" applyAlignment="1">
      <alignment horizontal="center" vertical="center" wrapText="1"/>
    </xf>
    <xf numFmtId="49" fontId="2" fillId="13" borderId="5" xfId="0" applyNumberFormat="1" applyFont="1" applyFill="1" applyBorder="1" applyAlignment="1">
      <alignment vertical="center" wrapText="1"/>
    </xf>
    <xf numFmtId="49" fontId="2" fillId="13" borderId="5" xfId="0" applyNumberFormat="1" applyFont="1" applyFill="1" applyBorder="1"/>
    <xf numFmtId="49" fontId="2" fillId="13" borderId="0" xfId="0" applyNumberFormat="1" applyFont="1" applyFill="1" applyAlignment="1">
      <alignment horizontal="center" vertical="center" wrapText="1"/>
    </xf>
    <xf numFmtId="49" fontId="8" fillId="13" borderId="15" xfId="0" applyNumberFormat="1" applyFont="1" applyFill="1" applyBorder="1"/>
    <xf numFmtId="49" fontId="2" fillId="13" borderId="0" xfId="0" applyNumberFormat="1" applyFont="1" applyFill="1"/>
    <xf numFmtId="0" fontId="2" fillId="13" borderId="45" xfId="0" applyFont="1" applyFill="1" applyBorder="1" applyAlignment="1">
      <alignment horizontal="center" vertical="center"/>
    </xf>
    <xf numFmtId="49" fontId="2" fillId="13" borderId="45" xfId="0" applyNumberFormat="1" applyFont="1" applyFill="1" applyBorder="1" applyAlignment="1">
      <alignment horizontal="center" vertical="center" wrapText="1"/>
    </xf>
    <xf numFmtId="0" fontId="34" fillId="0" borderId="0" xfId="0" applyFont="1" applyAlignment="1">
      <alignment vertical="center" wrapText="1"/>
    </xf>
    <xf numFmtId="0" fontId="34" fillId="0" borderId="0" xfId="0" applyFont="1" applyAlignment="1">
      <alignment horizontal="left" vertical="center" wrapText="1"/>
    </xf>
    <xf numFmtId="0" fontId="34" fillId="0" borderId="0" xfId="0" applyFont="1" applyAlignment="1">
      <alignment horizontal="center" vertical="center" wrapText="1"/>
    </xf>
    <xf numFmtId="0" fontId="34" fillId="0" borderId="13" xfId="0" applyFont="1" applyBorder="1" applyAlignment="1">
      <alignment vertical="center" wrapText="1"/>
    </xf>
    <xf numFmtId="49" fontId="34" fillId="0" borderId="0" xfId="0" applyNumberFormat="1" applyFont="1" applyAlignment="1">
      <alignment vertical="center" wrapText="1"/>
    </xf>
    <xf numFmtId="0" fontId="35" fillId="0" borderId="0" xfId="0" applyFont="1" applyAlignment="1">
      <alignment horizontal="center" vertical="center" wrapText="1"/>
    </xf>
    <xf numFmtId="166" fontId="35" fillId="0" borderId="0" xfId="0" applyNumberFormat="1" applyFont="1" applyAlignment="1">
      <alignment horizontal="center" vertical="center" wrapText="1"/>
    </xf>
    <xf numFmtId="0" fontId="37" fillId="0" borderId="20" xfId="0" applyFont="1" applyBorder="1" applyAlignment="1">
      <alignment horizontal="left" vertical="center" wrapText="1"/>
    </xf>
    <xf numFmtId="0" fontId="37" fillId="0" borderId="24" xfId="0" applyFont="1" applyBorder="1" applyAlignment="1">
      <alignment horizontal="left" vertical="center" wrapText="1"/>
    </xf>
    <xf numFmtId="0" fontId="34" fillId="0" borderId="18" xfId="0" applyFont="1" applyBorder="1" applyAlignment="1">
      <alignment horizontal="center" vertical="center" wrapText="1"/>
    </xf>
    <xf numFmtId="0" fontId="35" fillId="0" borderId="18" xfId="0" applyFont="1" applyBorder="1" applyAlignment="1">
      <alignment horizontal="center" vertical="center" wrapText="1"/>
    </xf>
    <xf numFmtId="0" fontId="37" fillId="0" borderId="27" xfId="0" applyFont="1" applyBorder="1" applyAlignment="1">
      <alignment horizontal="left" vertical="center" wrapText="1"/>
    </xf>
    <xf numFmtId="0" fontId="34" fillId="0" borderId="18" xfId="0" applyFont="1" applyBorder="1" applyAlignment="1">
      <alignment vertical="center" wrapText="1"/>
    </xf>
    <xf numFmtId="0" fontId="42" fillId="15" borderId="46" xfId="0" applyFont="1" applyFill="1" applyBorder="1" applyAlignment="1">
      <alignment horizontal="left" vertical="center" wrapText="1"/>
    </xf>
    <xf numFmtId="0" fontId="34" fillId="15" borderId="54" xfId="0" applyFont="1" applyFill="1" applyBorder="1" applyAlignment="1">
      <alignment vertical="center" wrapText="1"/>
    </xf>
    <xf numFmtId="0" fontId="34" fillId="15" borderId="54" xfId="0" applyFont="1" applyFill="1" applyBorder="1" applyAlignment="1">
      <alignment horizontal="left" vertical="center" wrapText="1"/>
    </xf>
    <xf numFmtId="0" fontId="34" fillId="15" borderId="54" xfId="0" applyFont="1" applyFill="1" applyBorder="1" applyAlignment="1">
      <alignment horizontal="center" vertical="center" wrapText="1"/>
    </xf>
    <xf numFmtId="49" fontId="34" fillId="15" borderId="54" xfId="0" applyNumberFormat="1" applyFont="1" applyFill="1" applyBorder="1" applyAlignment="1">
      <alignment horizontal="center" vertical="center" wrapText="1"/>
    </xf>
    <xf numFmtId="166" fontId="34" fillId="15" borderId="53" xfId="0" applyNumberFormat="1" applyFont="1" applyFill="1" applyBorder="1" applyAlignment="1">
      <alignment horizontal="center" vertical="center" wrapText="1"/>
    </xf>
    <xf numFmtId="0" fontId="34" fillId="0" borderId="2" xfId="0" applyFont="1" applyBorder="1" applyAlignment="1">
      <alignment vertical="center" wrapText="1"/>
    </xf>
    <xf numFmtId="0" fontId="34" fillId="0" borderId="2" xfId="0" applyFont="1" applyBorder="1" applyAlignment="1">
      <alignment horizontal="center" vertical="center" wrapText="1"/>
    </xf>
    <xf numFmtId="0" fontId="34" fillId="0" borderId="2" xfId="0" quotePrefix="1" applyFont="1" applyBorder="1" applyAlignment="1">
      <alignment horizontal="center" vertical="center" wrapText="1"/>
    </xf>
    <xf numFmtId="0" fontId="39" fillId="0" borderId="2" xfId="0" applyFont="1" applyBorder="1" applyAlignment="1">
      <alignment horizontal="center" vertical="center" wrapText="1"/>
    </xf>
    <xf numFmtId="49" fontId="39" fillId="0" borderId="2" xfId="0" applyNumberFormat="1" applyFont="1" applyBorder="1" applyAlignment="1">
      <alignment horizontal="center" vertical="center" wrapText="1"/>
    </xf>
    <xf numFmtId="49" fontId="34" fillId="0" borderId="2" xfId="0" applyNumberFormat="1" applyFont="1" applyBorder="1" applyAlignment="1">
      <alignment horizontal="center" vertical="center" wrapText="1"/>
    </xf>
    <xf numFmtId="166" fontId="34" fillId="0" borderId="2" xfId="0" applyNumberFormat="1" applyFont="1" applyBorder="1" applyAlignment="1">
      <alignment horizontal="center" vertical="center" wrapText="1"/>
    </xf>
    <xf numFmtId="0" fontId="34" fillId="0" borderId="5" xfId="0" applyFont="1" applyBorder="1" applyAlignment="1">
      <alignment vertical="center" wrapText="1"/>
    </xf>
    <xf numFmtId="0" fontId="34" fillId="0" borderId="5" xfId="0" applyFont="1" applyBorder="1" applyAlignment="1">
      <alignment horizontal="center" vertical="center" wrapText="1"/>
    </xf>
    <xf numFmtId="0" fontId="34" fillId="0" borderId="5" xfId="0" quotePrefix="1" applyFont="1" applyBorder="1" applyAlignment="1">
      <alignment horizontal="center" vertical="center" wrapText="1"/>
    </xf>
    <xf numFmtId="0" fontId="39" fillId="0" borderId="5" xfId="0" applyFont="1" applyBorder="1" applyAlignment="1">
      <alignment horizontal="center" vertical="center" wrapText="1"/>
    </xf>
    <xf numFmtId="49" fontId="39" fillId="0" borderId="5" xfId="0" applyNumberFormat="1" applyFont="1" applyBorder="1" applyAlignment="1">
      <alignment horizontal="center" vertical="center" wrapText="1"/>
    </xf>
    <xf numFmtId="49" fontId="34" fillId="0" borderId="5" xfId="0" applyNumberFormat="1" applyFont="1" applyBorder="1" applyAlignment="1">
      <alignment horizontal="center" vertical="center" wrapText="1"/>
    </xf>
    <xf numFmtId="166" fontId="34" fillId="0" borderId="5" xfId="0" applyNumberFormat="1" applyFont="1" applyBorder="1" applyAlignment="1">
      <alignment horizontal="center" vertical="center" wrapText="1"/>
    </xf>
    <xf numFmtId="0" fontId="39" fillId="0" borderId="5" xfId="0" applyFont="1" applyBorder="1" applyAlignment="1">
      <alignment horizontal="left" vertical="center" wrapText="1"/>
    </xf>
    <xf numFmtId="0" fontId="39" fillId="0" borderId="45" xfId="0" applyFont="1" applyBorder="1" applyAlignment="1">
      <alignment horizontal="left" vertical="center" wrapText="1"/>
    </xf>
    <xf numFmtId="0" fontId="34" fillId="0" borderId="45" xfId="0" applyFont="1" applyBorder="1" applyAlignment="1">
      <alignment horizontal="center" vertical="center" wrapText="1"/>
    </xf>
    <xf numFmtId="0" fontId="34" fillId="0" borderId="45" xfId="0" quotePrefix="1" applyFont="1" applyBorder="1" applyAlignment="1">
      <alignment horizontal="center" vertical="center" wrapText="1"/>
    </xf>
    <xf numFmtId="0" fontId="39" fillId="0" borderId="45" xfId="0" applyFont="1" applyBorder="1" applyAlignment="1">
      <alignment horizontal="center" vertical="center" wrapText="1"/>
    </xf>
    <xf numFmtId="49" fontId="39" fillId="0" borderId="45" xfId="0" applyNumberFormat="1" applyFont="1" applyBorder="1" applyAlignment="1">
      <alignment horizontal="center" vertical="center" wrapText="1"/>
    </xf>
    <xf numFmtId="49" fontId="34" fillId="0" borderId="45" xfId="0" applyNumberFormat="1" applyFont="1" applyBorder="1" applyAlignment="1">
      <alignment horizontal="center" vertical="center" wrapText="1"/>
    </xf>
    <xf numFmtId="166" fontId="34" fillId="0" borderId="45" xfId="0" applyNumberFormat="1" applyFont="1" applyBorder="1" applyAlignment="1">
      <alignment horizontal="center" vertical="center" wrapText="1"/>
    </xf>
    <xf numFmtId="0" fontId="34" fillId="0" borderId="45" xfId="0" applyFont="1" applyBorder="1" applyAlignment="1">
      <alignment vertical="center" wrapText="1"/>
    </xf>
    <xf numFmtId="49" fontId="39" fillId="0" borderId="45" xfId="0" quotePrefix="1" applyNumberFormat="1" applyFont="1" applyBorder="1" applyAlignment="1">
      <alignment horizontal="center" vertical="center" wrapText="1"/>
    </xf>
    <xf numFmtId="49" fontId="34" fillId="0" borderId="45" xfId="0" quotePrefix="1" applyNumberFormat="1" applyFont="1" applyBorder="1" applyAlignment="1">
      <alignment horizontal="center" vertical="center" wrapText="1"/>
    </xf>
    <xf numFmtId="0" fontId="42" fillId="0" borderId="45" xfId="0" applyFont="1" applyBorder="1" applyAlignment="1">
      <alignment horizontal="left" vertical="center" wrapText="1"/>
    </xf>
    <xf numFmtId="0" fontId="34" fillId="0" borderId="45" xfId="0" applyFont="1" applyBorder="1" applyAlignment="1">
      <alignment horizontal="left" vertical="center" wrapText="1"/>
    </xf>
    <xf numFmtId="166" fontId="34" fillId="0" borderId="0" xfId="0" applyNumberFormat="1" applyFont="1" applyAlignment="1">
      <alignment vertical="center" wrapText="1"/>
    </xf>
    <xf numFmtId="0" fontId="34" fillId="0" borderId="36" xfId="0" applyFont="1" applyBorder="1" applyAlignment="1">
      <alignment horizontal="left" vertical="center" wrapText="1"/>
    </xf>
    <xf numFmtId="0" fontId="39" fillId="0" borderId="18" xfId="0" applyFont="1" applyBorder="1" applyAlignment="1">
      <alignment vertical="center" wrapText="1"/>
    </xf>
    <xf numFmtId="0" fontId="43" fillId="0" borderId="18" xfId="0" applyFont="1" applyBorder="1" applyAlignment="1">
      <alignment horizontal="left" vertical="center" wrapText="1"/>
    </xf>
    <xf numFmtId="0" fontId="43" fillId="0" borderId="18" xfId="0" applyFont="1" applyBorder="1" applyAlignment="1">
      <alignment vertical="center" wrapText="1"/>
    </xf>
    <xf numFmtId="0" fontId="43" fillId="0" borderId="18" xfId="0" applyFont="1" applyBorder="1" applyAlignment="1">
      <alignment horizontal="center" vertical="center" wrapText="1"/>
    </xf>
    <xf numFmtId="49" fontId="43" fillId="0" borderId="18" xfId="0" applyNumberFormat="1" applyFont="1" applyBorder="1" applyAlignment="1">
      <alignment vertical="center" wrapText="1"/>
    </xf>
    <xf numFmtId="0" fontId="34" fillId="0" borderId="2" xfId="0" applyFont="1" applyBorder="1" applyAlignment="1">
      <alignment horizontal="left" vertical="center" wrapText="1"/>
    </xf>
    <xf numFmtId="0" fontId="44" fillId="0" borderId="18" xfId="0" applyFont="1" applyBorder="1" applyAlignment="1">
      <alignment horizontal="center" vertical="center" wrapText="1"/>
    </xf>
    <xf numFmtId="0" fontId="44" fillId="0" borderId="56" xfId="0" applyFont="1" applyBorder="1" applyAlignment="1">
      <alignment horizontal="center" vertical="center" wrapText="1"/>
    </xf>
    <xf numFmtId="0" fontId="34" fillId="0" borderId="18" xfId="0" applyFont="1" applyBorder="1" applyAlignment="1">
      <alignment horizontal="left" vertical="center" wrapText="1"/>
    </xf>
    <xf numFmtId="0" fontId="44" fillId="0" borderId="18" xfId="0" applyFont="1" applyBorder="1" applyAlignment="1">
      <alignment horizontal="left" vertical="center" wrapText="1"/>
    </xf>
    <xf numFmtId="0" fontId="34" fillId="0" borderId="5" xfId="0" applyFont="1" applyBorder="1" applyAlignment="1">
      <alignment horizontal="left" vertical="center" wrapText="1"/>
    </xf>
    <xf numFmtId="0" fontId="0" fillId="0" borderId="0" xfId="0" applyAlignment="1">
      <alignment vertical="center"/>
    </xf>
    <xf numFmtId="0" fontId="46" fillId="17" borderId="45" xfId="0" applyFont="1" applyFill="1" applyBorder="1" applyAlignment="1">
      <alignment horizontal="center" vertical="center"/>
    </xf>
    <xf numFmtId="0" fontId="46" fillId="0" borderId="0" xfId="0" applyFont="1" applyAlignment="1">
      <alignment horizontal="center" vertical="center"/>
    </xf>
    <xf numFmtId="0" fontId="0" fillId="0" borderId="45" xfId="0" applyBorder="1" applyAlignment="1">
      <alignment horizontal="center" vertical="center"/>
    </xf>
    <xf numFmtId="0" fontId="0" fillId="0" borderId="45" xfId="0" applyBorder="1" applyAlignment="1">
      <alignment vertical="center"/>
    </xf>
    <xf numFmtId="0" fontId="0" fillId="0" borderId="0" xfId="0" applyAlignment="1">
      <alignment horizontal="center" vertical="center"/>
    </xf>
    <xf numFmtId="49" fontId="35" fillId="0" borderId="0" xfId="0" applyNumberFormat="1" applyFont="1" applyAlignment="1">
      <alignment horizontal="center" vertical="center" wrapText="1"/>
    </xf>
    <xf numFmtId="49" fontId="34" fillId="15" borderId="53" xfId="0" applyNumberFormat="1" applyFont="1" applyFill="1" applyBorder="1" applyAlignment="1">
      <alignment horizontal="center" vertical="center" wrapText="1"/>
    </xf>
    <xf numFmtId="0" fontId="48" fillId="0" borderId="45" xfId="0" applyFont="1" applyBorder="1" applyAlignment="1">
      <alignment horizontal="center" vertical="center"/>
    </xf>
    <xf numFmtId="0" fontId="48" fillId="0" borderId="45" xfId="0" applyFont="1" applyBorder="1" applyAlignment="1">
      <alignment vertical="center"/>
    </xf>
    <xf numFmtId="0" fontId="48" fillId="0" borderId="0" xfId="0" applyFont="1" applyAlignment="1">
      <alignment vertical="center"/>
    </xf>
    <xf numFmtId="0" fontId="50" fillId="17" borderId="45" xfId="0" applyFont="1" applyFill="1" applyBorder="1" applyAlignment="1">
      <alignment horizontal="center" vertical="center"/>
    </xf>
    <xf numFmtId="0" fontId="50" fillId="0" borderId="0" xfId="0" applyFont="1" applyAlignment="1">
      <alignment horizontal="center" vertical="center"/>
    </xf>
    <xf numFmtId="0" fontId="34" fillId="0" borderId="55" xfId="0" applyFont="1" applyBorder="1" applyAlignment="1">
      <alignment horizontal="left" vertical="center" wrapText="1"/>
    </xf>
    <xf numFmtId="0" fontId="35" fillId="0" borderId="49" xfId="0" applyFont="1" applyBorder="1" applyAlignment="1">
      <alignment horizontal="left" vertical="center" wrapText="1"/>
    </xf>
    <xf numFmtId="0" fontId="34" fillId="0" borderId="47" xfId="0" applyFont="1" applyBorder="1" applyAlignment="1">
      <alignment horizontal="center" vertical="center" wrapText="1"/>
    </xf>
    <xf numFmtId="0" fontId="39" fillId="0" borderId="47" xfId="0" applyFont="1" applyBorder="1" applyAlignment="1">
      <alignment horizontal="center" vertical="center" wrapText="1"/>
    </xf>
    <xf numFmtId="49" fontId="39" fillId="0" borderId="47" xfId="0" applyNumberFormat="1" applyFont="1" applyBorder="1" applyAlignment="1">
      <alignment horizontal="center" vertical="center" wrapText="1"/>
    </xf>
    <xf numFmtId="0" fontId="34" fillId="0" borderId="11" xfId="0" applyFont="1" applyBorder="1" applyAlignment="1">
      <alignment horizontal="left" vertical="center" wrapText="1"/>
    </xf>
    <xf numFmtId="0" fontId="34" fillId="0" borderId="47" xfId="0" applyFont="1" applyBorder="1" applyAlignment="1">
      <alignment horizontal="left" vertical="center" wrapText="1"/>
    </xf>
    <xf numFmtId="49" fontId="34" fillId="0" borderId="47" xfId="0" applyNumberFormat="1" applyFont="1" applyBorder="1" applyAlignment="1">
      <alignment horizontal="center" vertical="center" wrapText="1"/>
    </xf>
    <xf numFmtId="49" fontId="3" fillId="13" borderId="5" xfId="0" applyNumberFormat="1" applyFont="1" applyFill="1" applyBorder="1" applyAlignment="1">
      <alignment horizontal="left" vertical="center" wrapText="1"/>
    </xf>
    <xf numFmtId="49" fontId="2" fillId="13" borderId="5" xfId="0" applyNumberFormat="1" applyFont="1" applyFill="1" applyBorder="1" applyAlignment="1">
      <alignment horizontal="left" vertical="center" wrapText="1"/>
    </xf>
    <xf numFmtId="166" fontId="34" fillId="0" borderId="18" xfId="0" applyNumberFormat="1" applyFont="1" applyBorder="1" applyAlignment="1">
      <alignment horizontal="center" vertical="center" wrapText="1"/>
    </xf>
    <xf numFmtId="0" fontId="39" fillId="0" borderId="11" xfId="0" applyFont="1" applyBorder="1" applyAlignment="1">
      <alignment horizontal="left" vertical="center" wrapText="1"/>
    </xf>
    <xf numFmtId="0" fontId="34" fillId="0" borderId="11" xfId="0" applyFont="1" applyBorder="1" applyAlignment="1">
      <alignment horizontal="center" vertical="center" wrapText="1"/>
    </xf>
    <xf numFmtId="0" fontId="34" fillId="0" borderId="11" xfId="0" quotePrefix="1" applyFont="1" applyBorder="1" applyAlignment="1">
      <alignment horizontal="center" vertical="center" wrapText="1"/>
    </xf>
    <xf numFmtId="0" fontId="39" fillId="0" borderId="11" xfId="0" applyFont="1" applyBorder="1" applyAlignment="1">
      <alignment horizontal="center" vertical="center" wrapText="1"/>
    </xf>
    <xf numFmtId="49" fontId="39" fillId="0" borderId="11" xfId="0" applyNumberFormat="1" applyFont="1" applyBorder="1" applyAlignment="1">
      <alignment horizontal="center" vertical="center" wrapText="1"/>
    </xf>
    <xf numFmtId="49" fontId="34" fillId="0" borderId="11" xfId="0" applyNumberFormat="1" applyFont="1" applyBorder="1" applyAlignment="1">
      <alignment horizontal="center" vertical="center" wrapText="1"/>
    </xf>
    <xf numFmtId="0" fontId="34" fillId="0" borderId="47" xfId="0" applyFont="1" applyBorder="1" applyAlignment="1">
      <alignment horizontal="center" vertical="center" wrapText="1"/>
    </xf>
    <xf numFmtId="0" fontId="34" fillId="0" borderId="51" xfId="0" applyFont="1" applyBorder="1" applyAlignment="1">
      <alignment horizontal="center" vertical="center" wrapText="1"/>
    </xf>
    <xf numFmtId="0" fontId="34" fillId="0" borderId="52" xfId="0" applyFont="1" applyBorder="1" applyAlignment="1">
      <alignment horizontal="center" vertical="center" wrapText="1"/>
    </xf>
    <xf numFmtId="49" fontId="44" fillId="16" borderId="47" xfId="0" applyNumberFormat="1" applyFont="1" applyFill="1" applyBorder="1" applyAlignment="1">
      <alignment horizontal="center" vertical="center" wrapText="1"/>
    </xf>
    <xf numFmtId="49" fontId="44" fillId="16" borderId="52" xfId="0" applyNumberFormat="1" applyFont="1" applyFill="1" applyBorder="1" applyAlignment="1">
      <alignment horizontal="center" vertical="center" wrapText="1"/>
    </xf>
    <xf numFmtId="49" fontId="38" fillId="0" borderId="6" xfId="0" quotePrefix="1" applyNumberFormat="1" applyFont="1" applyBorder="1" applyAlignment="1">
      <alignment horizontal="left" vertical="center" wrapText="1"/>
    </xf>
    <xf numFmtId="0" fontId="39" fillId="0" borderId="25" xfId="0" applyFont="1" applyBorder="1" applyAlignment="1">
      <alignment vertical="center" wrapText="1"/>
    </xf>
    <xf numFmtId="0" fontId="39" fillId="0" borderId="26" xfId="0" applyFont="1" applyBorder="1" applyAlignment="1">
      <alignment vertical="center" wrapText="1"/>
    </xf>
    <xf numFmtId="0" fontId="38" fillId="0" borderId="28" xfId="0" applyFont="1" applyBorder="1" applyAlignment="1">
      <alignment horizontal="left" vertical="center" wrapText="1"/>
    </xf>
    <xf numFmtId="0" fontId="39" fillId="0" borderId="29" xfId="0" applyFont="1" applyBorder="1" applyAlignment="1">
      <alignment horizontal="left" vertical="center" wrapText="1"/>
    </xf>
    <xf numFmtId="0" fontId="39" fillId="0" borderId="30" xfId="0" applyFont="1" applyBorder="1" applyAlignment="1">
      <alignment horizontal="left" vertical="center" wrapText="1"/>
    </xf>
    <xf numFmtId="49" fontId="44" fillId="16" borderId="45" xfId="0" applyNumberFormat="1" applyFont="1" applyFill="1" applyBorder="1" applyAlignment="1">
      <alignment horizontal="center" vertical="center" wrapText="1"/>
    </xf>
    <xf numFmtId="49" fontId="45" fillId="16" borderId="45" xfId="0" applyNumberFormat="1" applyFont="1" applyFill="1" applyBorder="1" applyAlignment="1">
      <alignment vertical="center" wrapText="1"/>
    </xf>
    <xf numFmtId="0" fontId="44" fillId="16" borderId="45" xfId="0" applyFont="1" applyFill="1" applyBorder="1" applyAlignment="1">
      <alignment horizontal="center" vertical="center" wrapText="1"/>
    </xf>
    <xf numFmtId="0" fontId="45" fillId="16" borderId="45" xfId="0" applyFont="1" applyFill="1" applyBorder="1" applyAlignment="1">
      <alignment vertical="center" wrapText="1"/>
    </xf>
    <xf numFmtId="0" fontId="44" fillId="16" borderId="45" xfId="0" applyFont="1" applyFill="1" applyBorder="1" applyAlignment="1">
      <alignment horizontal="left" vertical="center" wrapText="1"/>
    </xf>
    <xf numFmtId="0" fontId="44" fillId="16" borderId="47" xfId="0" applyFont="1" applyFill="1" applyBorder="1" applyAlignment="1">
      <alignment horizontal="center" vertical="center" wrapText="1"/>
    </xf>
    <xf numFmtId="0" fontId="44" fillId="16" borderId="52" xfId="0" applyFont="1" applyFill="1" applyBorder="1" applyAlignment="1">
      <alignment horizontal="center" vertical="center" wrapText="1"/>
    </xf>
    <xf numFmtId="0" fontId="36" fillId="0" borderId="0" xfId="0" applyFont="1" applyAlignment="1">
      <alignment horizontal="center" vertical="center" wrapText="1"/>
    </xf>
    <xf numFmtId="0" fontId="35" fillId="0" borderId="18" xfId="0" applyFont="1" applyBorder="1" applyAlignment="1">
      <alignment horizontal="center" vertical="center" wrapText="1"/>
    </xf>
    <xf numFmtId="0" fontId="34" fillId="0" borderId="18" xfId="0" applyFont="1" applyBorder="1" applyAlignment="1">
      <alignment vertical="center" wrapText="1"/>
    </xf>
    <xf numFmtId="0" fontId="38" fillId="0" borderId="18" xfId="0" applyFont="1" applyBorder="1" applyAlignment="1">
      <alignment horizontal="center" vertical="center" wrapText="1"/>
    </xf>
    <xf numFmtId="0" fontId="41" fillId="0" borderId="18" xfId="0" applyFont="1" applyBorder="1" applyAlignment="1">
      <alignment horizontal="center" vertical="center" wrapText="1"/>
    </xf>
    <xf numFmtId="166" fontId="44" fillId="16" borderId="45" xfId="0" applyNumberFormat="1" applyFont="1" applyFill="1" applyBorder="1" applyAlignment="1">
      <alignment horizontal="center" vertical="center" wrapText="1"/>
    </xf>
    <xf numFmtId="166" fontId="45" fillId="16" borderId="45" xfId="0" applyNumberFormat="1" applyFont="1" applyFill="1" applyBorder="1" applyAlignment="1">
      <alignment vertical="center" wrapText="1"/>
    </xf>
    <xf numFmtId="0" fontId="41" fillId="0" borderId="0" xfId="0" applyFont="1" applyAlignment="1">
      <alignment horizontal="center" vertical="center" wrapText="1"/>
    </xf>
    <xf numFmtId="0" fontId="34" fillId="0" borderId="0" xfId="0" applyFont="1" applyAlignment="1">
      <alignment vertical="center" wrapText="1"/>
    </xf>
    <xf numFmtId="0" fontId="38" fillId="0" borderId="21" xfId="0" applyFont="1" applyBorder="1" applyAlignment="1">
      <alignment horizontal="left" vertical="center" wrapText="1"/>
    </xf>
    <xf numFmtId="0" fontId="39" fillId="0" borderId="22" xfId="0" applyFont="1" applyBorder="1" applyAlignment="1">
      <alignment vertical="center" wrapText="1"/>
    </xf>
    <xf numFmtId="0" fontId="39" fillId="0" borderId="23" xfId="0" applyFont="1" applyBorder="1" applyAlignment="1">
      <alignment vertical="center" wrapText="1"/>
    </xf>
    <xf numFmtId="0" fontId="40" fillId="0" borderId="6" xfId="0" applyFont="1" applyBorder="1" applyAlignment="1">
      <alignment horizontal="left" vertical="center" wrapText="1"/>
    </xf>
    <xf numFmtId="14" fontId="39" fillId="0" borderId="25" xfId="0" applyNumberFormat="1" applyFont="1" applyBorder="1" applyAlignment="1">
      <alignment vertical="center" wrapText="1"/>
    </xf>
    <xf numFmtId="14" fontId="39" fillId="0" borderId="26" xfId="0" applyNumberFormat="1" applyFont="1" applyBorder="1" applyAlignment="1">
      <alignment vertical="center" wrapText="1"/>
    </xf>
    <xf numFmtId="0" fontId="34" fillId="0" borderId="36" xfId="0" applyFont="1" applyBorder="1" applyAlignment="1">
      <alignment horizontal="left" vertical="center" wrapText="1"/>
    </xf>
    <xf numFmtId="0" fontId="34" fillId="0" borderId="2" xfId="0" applyFont="1" applyBorder="1" applyAlignment="1">
      <alignment horizontal="left" vertical="center" wrapText="1"/>
    </xf>
    <xf numFmtId="0" fontId="45" fillId="16" borderId="45" xfId="0" applyFont="1" applyFill="1" applyBorder="1" applyAlignment="1">
      <alignment horizontal="left" vertical="center" wrapText="1"/>
    </xf>
    <xf numFmtId="0" fontId="34" fillId="0" borderId="11" xfId="0" applyFont="1" applyBorder="1" applyAlignment="1">
      <alignment horizontal="left" vertical="center" wrapText="1"/>
    </xf>
    <xf numFmtId="0" fontId="34" fillId="0" borderId="45" xfId="0" applyFont="1" applyBorder="1" applyAlignment="1">
      <alignment horizontal="left" vertical="center" wrapText="1"/>
    </xf>
    <xf numFmtId="0" fontId="24" fillId="0" borderId="0" xfId="0" applyFont="1" applyAlignment="1">
      <alignment horizontal="center"/>
    </xf>
    <xf numFmtId="0" fontId="2" fillId="0" borderId="0" xfId="0" applyFont="1"/>
    <xf numFmtId="0" fontId="2" fillId="14" borderId="6" xfId="0" applyFont="1" applyFill="1" applyBorder="1" applyAlignment="1">
      <alignment horizontal="center" vertical="center" wrapText="1"/>
    </xf>
    <xf numFmtId="0" fontId="27" fillId="13" borderId="4" xfId="0" applyFont="1" applyFill="1" applyBorder="1"/>
    <xf numFmtId="0" fontId="2" fillId="12" borderId="18" xfId="0" applyFont="1" applyFill="1" applyBorder="1" applyAlignment="1">
      <alignment horizontal="center" vertical="center" wrapText="1"/>
    </xf>
    <xf numFmtId="0" fontId="27" fillId="13" borderId="18" xfId="0" applyFont="1" applyFill="1" applyBorder="1"/>
    <xf numFmtId="0" fontId="2" fillId="4" borderId="18" xfId="0" applyFont="1" applyFill="1" applyBorder="1" applyAlignment="1">
      <alignment horizontal="center" vertical="center" wrapText="1"/>
    </xf>
    <xf numFmtId="0" fontId="2" fillId="12" borderId="6" xfId="0" applyFont="1" applyFill="1" applyBorder="1" applyAlignment="1">
      <alignment horizontal="center" vertical="center" wrapText="1"/>
    </xf>
    <xf numFmtId="0" fontId="47" fillId="0" borderId="0" xfId="0" applyFont="1" applyAlignment="1">
      <alignment horizontal="center" vertical="center"/>
    </xf>
    <xf numFmtId="0" fontId="21" fillId="0" borderId="46" xfId="0" applyFont="1" applyBorder="1" applyAlignment="1">
      <alignment horizontal="center" vertical="center"/>
    </xf>
    <xf numFmtId="0" fontId="0" fillId="0" borderId="54" xfId="0" applyBorder="1" applyAlignment="1">
      <alignment horizontal="center" vertical="center"/>
    </xf>
    <xf numFmtId="0" fontId="0" fillId="0" borderId="53" xfId="0" applyBorder="1" applyAlignment="1">
      <alignment horizontal="center" vertical="center"/>
    </xf>
    <xf numFmtId="0" fontId="48" fillId="0" borderId="46" xfId="0" applyFont="1" applyBorder="1" applyAlignment="1">
      <alignment horizontal="center" vertical="center"/>
    </xf>
    <xf numFmtId="0" fontId="48" fillId="0" borderId="54" xfId="0" applyFont="1" applyBorder="1" applyAlignment="1">
      <alignment horizontal="center" vertical="center"/>
    </xf>
    <xf numFmtId="0" fontId="48" fillId="0" borderId="53" xfId="0" applyFont="1" applyBorder="1" applyAlignment="1">
      <alignment horizontal="center" vertical="center"/>
    </xf>
    <xf numFmtId="0" fontId="47" fillId="0" borderId="0" xfId="0" applyFont="1" applyAlignment="1">
      <alignment horizontal="center" vertical="top"/>
    </xf>
    <xf numFmtId="0" fontId="49" fillId="0" borderId="46" xfId="0" applyFont="1" applyBorder="1" applyAlignment="1">
      <alignment horizontal="center" vertical="center"/>
    </xf>
    <xf numFmtId="0" fontId="49" fillId="0" borderId="54" xfId="0" applyFont="1" applyBorder="1" applyAlignment="1">
      <alignment horizontal="center" vertical="center"/>
    </xf>
    <xf numFmtId="0" fontId="49" fillId="0" borderId="53" xfId="0" applyFont="1" applyBorder="1" applyAlignment="1">
      <alignment horizontal="center" vertical="center"/>
    </xf>
    <xf numFmtId="0" fontId="10" fillId="5" borderId="6" xfId="0" applyFont="1" applyFill="1" applyBorder="1" applyAlignment="1">
      <alignment horizontal="left" vertical="top" wrapText="1"/>
    </xf>
    <xf numFmtId="0" fontId="5" fillId="0" borderId="4" xfId="0" applyFont="1" applyBorder="1"/>
    <xf numFmtId="0" fontId="10" fillId="5" borderId="45" xfId="0" applyFont="1" applyFill="1" applyBorder="1" applyAlignment="1">
      <alignment horizontal="left" vertical="top" wrapText="1"/>
    </xf>
    <xf numFmtId="0" fontId="5" fillId="0" borderId="45" xfId="0" applyFont="1" applyBorder="1"/>
    <xf numFmtId="0" fontId="10" fillId="7" borderId="45" xfId="0" applyFont="1" applyFill="1" applyBorder="1" applyAlignment="1">
      <alignment horizontal="left" vertical="top" wrapText="1"/>
    </xf>
    <xf numFmtId="0" fontId="12" fillId="5" borderId="6" xfId="0" applyFont="1" applyFill="1" applyBorder="1" applyAlignment="1">
      <alignment horizontal="left" vertical="top" wrapText="1"/>
    </xf>
    <xf numFmtId="0" fontId="12" fillId="7" borderId="6" xfId="0" applyFont="1" applyFill="1" applyBorder="1" applyAlignment="1">
      <alignment horizontal="left" vertical="top" wrapText="1"/>
    </xf>
    <xf numFmtId="0" fontId="5" fillId="0" borderId="25" xfId="0" applyFont="1" applyBorder="1"/>
    <xf numFmtId="0" fontId="9" fillId="0" borderId="6" xfId="0" applyFont="1" applyBorder="1" applyAlignment="1">
      <alignment horizontal="center" vertical="top" wrapText="1"/>
    </xf>
    <xf numFmtId="0" fontId="13" fillId="6" borderId="6" xfId="0" applyFont="1" applyFill="1" applyBorder="1" applyAlignment="1">
      <alignment horizontal="left" vertical="top" wrapText="1"/>
    </xf>
    <xf numFmtId="0" fontId="6" fillId="0" borderId="39" xfId="0" applyFont="1" applyBorder="1" applyAlignment="1">
      <alignment horizontal="left" vertical="top" wrapText="1"/>
    </xf>
    <xf numFmtId="0" fontId="5" fillId="0" borderId="40" xfId="0" applyFont="1" applyBorder="1"/>
    <xf numFmtId="0" fontId="5" fillId="0" borderId="41" xfId="0" applyFont="1" applyBorder="1"/>
    <xf numFmtId="0" fontId="15" fillId="0" borderId="42" xfId="0" applyFont="1" applyBorder="1" applyAlignment="1">
      <alignment horizontal="left" vertical="center" wrapText="1"/>
    </xf>
    <xf numFmtId="0" fontId="5" fillId="0" borderId="43" xfId="0" applyFont="1" applyBorder="1"/>
    <xf numFmtId="0" fontId="5" fillId="0" borderId="44" xfId="0" applyFont="1" applyBorder="1"/>
    <xf numFmtId="0" fontId="17" fillId="7" borderId="42" xfId="0" applyFont="1" applyFill="1" applyBorder="1" applyAlignment="1">
      <alignment horizontal="center" vertical="top" wrapText="1"/>
    </xf>
    <xf numFmtId="0" fontId="5" fillId="0" borderId="43" xfId="0" applyFont="1" applyBorder="1" applyAlignment="1">
      <alignment horizontal="center"/>
    </xf>
    <xf numFmtId="0" fontId="5" fillId="0" borderId="44" xfId="0" applyFont="1" applyBorder="1" applyAlignment="1">
      <alignment horizontal="center"/>
    </xf>
    <xf numFmtId="0" fontId="12" fillId="5" borderId="45" xfId="0" applyFont="1" applyFill="1" applyBorder="1" applyAlignment="1">
      <alignment horizontal="left" vertical="top" wrapText="1"/>
    </xf>
    <xf numFmtId="0" fontId="10" fillId="7" borderId="6" xfId="0" applyFont="1" applyFill="1" applyBorder="1" applyAlignment="1">
      <alignment horizontal="left" vertical="top"/>
    </xf>
    <xf numFmtId="0" fontId="2" fillId="0" borderId="48" xfId="0" applyFont="1" applyBorder="1" applyAlignment="1">
      <alignment horizontal="center" vertical="center" wrapText="1"/>
    </xf>
    <xf numFmtId="0" fontId="2" fillId="0" borderId="36" xfId="0" applyFont="1" applyBorder="1" applyAlignment="1">
      <alignment horizontal="center" vertical="center" wrapText="1"/>
    </xf>
    <xf numFmtId="0" fontId="2" fillId="0" borderId="8" xfId="0" applyFont="1" applyBorder="1" applyAlignment="1">
      <alignment horizontal="left" vertical="center" wrapText="1"/>
    </xf>
    <xf numFmtId="0" fontId="27" fillId="0" borderId="36" xfId="0" applyFont="1" applyBorder="1"/>
    <xf numFmtId="0" fontId="27" fillId="0" borderId="2" xfId="0" applyFont="1" applyBorder="1"/>
    <xf numFmtId="0" fontId="2" fillId="0" borderId="36" xfId="0" applyFont="1" applyBorder="1" applyAlignment="1">
      <alignment horizontal="left" vertical="center" wrapText="1"/>
    </xf>
    <xf numFmtId="0" fontId="1" fillId="0" borderId="38" xfId="0" applyFont="1" applyBorder="1" applyAlignment="1">
      <alignment horizontal="left" wrapText="1"/>
    </xf>
    <xf numFmtId="0" fontId="1" fillId="0" borderId="25" xfId="0" applyFont="1" applyBorder="1" applyAlignment="1">
      <alignment horizontal="left" wrapText="1"/>
    </xf>
    <xf numFmtId="0" fontId="1" fillId="0" borderId="10" xfId="0" applyFont="1" applyBorder="1" applyAlignment="1">
      <alignment horizontal="left" wrapText="1"/>
    </xf>
    <xf numFmtId="0" fontId="1" fillId="0" borderId="11" xfId="0" applyFont="1" applyBorder="1" applyAlignment="1">
      <alignment horizontal="center" vertical="center" wrapText="1"/>
    </xf>
    <xf numFmtId="0" fontId="1" fillId="0" borderId="36" xfId="0" applyFont="1" applyBorder="1" applyAlignment="1">
      <alignment horizontal="center" vertical="center" wrapText="1"/>
    </xf>
    <xf numFmtId="0" fontId="2" fillId="0" borderId="5" xfId="0" applyFont="1" applyBorder="1" applyAlignment="1">
      <alignment horizontal="center" vertical="center" wrapText="1"/>
    </xf>
    <xf numFmtId="0" fontId="2" fillId="0" borderId="5" xfId="0" applyFont="1" applyBorder="1" applyAlignment="1">
      <alignment horizontal="left" vertical="center" wrapText="1"/>
    </xf>
    <xf numFmtId="0" fontId="27" fillId="0" borderId="5" xfId="0" applyFont="1" applyBorder="1"/>
    <xf numFmtId="0" fontId="2" fillId="0" borderId="45" xfId="0" applyFont="1" applyBorder="1" applyAlignment="1">
      <alignment horizontal="center" vertical="center" wrapText="1"/>
    </xf>
    <xf numFmtId="0" fontId="2" fillId="0" borderId="47" xfId="0" applyFont="1" applyBorder="1" applyAlignment="1">
      <alignment horizontal="center" vertical="center" wrapText="1"/>
    </xf>
    <xf numFmtId="0" fontId="2" fillId="4" borderId="49" xfId="0" applyFont="1" applyFill="1" applyBorder="1" applyAlignment="1">
      <alignment horizontal="left" vertical="center" wrapText="1"/>
    </xf>
    <xf numFmtId="0" fontId="2" fillId="4" borderId="50" xfId="0" applyFont="1" applyFill="1" applyBorder="1" applyAlignment="1">
      <alignment horizontal="left" vertical="center" wrapText="1"/>
    </xf>
    <xf numFmtId="0" fontId="2" fillId="4" borderId="5" xfId="0" applyFont="1" applyFill="1" applyBorder="1" applyAlignment="1">
      <alignment horizontal="left" vertical="center" wrapText="1"/>
    </xf>
    <xf numFmtId="0" fontId="9" fillId="0" borderId="0" xfId="0" applyFont="1" applyAlignment="1">
      <alignment horizontal="center" vertical="center" wrapText="1"/>
    </xf>
    <xf numFmtId="0" fontId="7" fillId="0" borderId="0" xfId="0" applyFont="1" applyAlignment="1">
      <alignment horizontal="center" vertical="center" wrapText="1"/>
    </xf>
    <xf numFmtId="0" fontId="11" fillId="0" borderId="8" xfId="0" applyFont="1" applyBorder="1" applyAlignment="1">
      <alignment horizontal="center" vertical="center" wrapText="1"/>
    </xf>
    <xf numFmtId="0" fontId="11" fillId="0" borderId="9" xfId="0" applyFont="1" applyBorder="1" applyAlignment="1">
      <alignment horizontal="center" vertical="center" wrapText="1"/>
    </xf>
    <xf numFmtId="0" fontId="11" fillId="0" borderId="7" xfId="0" applyFont="1" applyBorder="1" applyAlignment="1">
      <alignment horizontal="center" vertical="center" wrapText="1"/>
    </xf>
    <xf numFmtId="0" fontId="11" fillId="0" borderId="3"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8" xfId="0" applyFont="1" applyBorder="1" applyAlignment="1">
      <alignment horizontal="left" vertical="center" wrapText="1"/>
    </xf>
    <xf numFmtId="0" fontId="11" fillId="3" borderId="8" xfId="0" applyFont="1" applyFill="1" applyBorder="1" applyAlignment="1">
      <alignment horizontal="center" vertical="center" wrapText="1"/>
    </xf>
    <xf numFmtId="0" fontId="11" fillId="0" borderId="8" xfId="0" applyFont="1" applyBorder="1" applyAlignment="1">
      <alignment horizontal="center" vertical="top" wrapText="1"/>
    </xf>
    <xf numFmtId="0" fontId="2" fillId="0" borderId="1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11" xfId="0" applyFont="1" applyBorder="1" applyAlignment="1">
      <alignment horizontal="left" vertical="center" wrapText="1"/>
    </xf>
    <xf numFmtId="0" fontId="2" fillId="0" borderId="2" xfId="0" applyFont="1" applyBorder="1" applyAlignment="1">
      <alignment horizontal="left" vertical="center" wrapText="1"/>
    </xf>
    <xf numFmtId="0" fontId="1" fillId="0" borderId="38" xfId="0" applyFont="1" applyBorder="1" applyAlignment="1">
      <alignment horizontal="center" wrapText="1"/>
    </xf>
    <xf numFmtId="0" fontId="1" fillId="0" borderId="10" xfId="0" applyFont="1" applyBorder="1" applyAlignment="1">
      <alignment horizontal="center" wrapText="1"/>
    </xf>
    <xf numFmtId="0" fontId="9" fillId="0" borderId="8" xfId="0" applyFont="1" applyBorder="1" applyAlignment="1">
      <alignment horizontal="center" vertical="center" wrapText="1"/>
    </xf>
    <xf numFmtId="0" fontId="28" fillId="0" borderId="0" xfId="0" applyFont="1" applyAlignment="1">
      <alignment horizontal="left" wrapText="1"/>
    </xf>
    <xf numFmtId="0" fontId="7" fillId="0" borderId="21" xfId="0" applyFont="1" applyBorder="1" applyAlignment="1">
      <alignment horizontal="left" vertical="center" wrapText="1"/>
    </xf>
    <xf numFmtId="0" fontId="27" fillId="0" borderId="22" xfId="0" applyFont="1" applyBorder="1"/>
    <xf numFmtId="0" fontId="27" fillId="0" borderId="23" xfId="0" applyFont="1" applyBorder="1"/>
    <xf numFmtId="0" fontId="29" fillId="0" borderId="6" xfId="0" applyFont="1" applyBorder="1" applyAlignment="1">
      <alignment horizontal="left" vertical="center" wrapText="1"/>
    </xf>
    <xf numFmtId="0" fontId="27" fillId="0" borderId="25" xfId="0" applyFont="1" applyBorder="1"/>
    <xf numFmtId="0" fontId="27" fillId="0" borderId="26" xfId="0" applyFont="1" applyBorder="1"/>
    <xf numFmtId="0" fontId="7" fillId="0" borderId="6" xfId="0" applyFont="1" applyBorder="1" applyAlignment="1">
      <alignment horizontal="left" vertical="center" wrapText="1"/>
    </xf>
    <xf numFmtId="0" fontId="27" fillId="0" borderId="25" xfId="0" applyFont="1" applyBorder="1" applyAlignment="1">
      <alignment horizontal="left"/>
    </xf>
    <xf numFmtId="0" fontId="27" fillId="0" borderId="26" xfId="0" applyFont="1" applyBorder="1" applyAlignment="1">
      <alignment horizontal="left"/>
    </xf>
    <xf numFmtId="49" fontId="7" fillId="0" borderId="6" xfId="0" quotePrefix="1" applyNumberFormat="1" applyFont="1" applyBorder="1" applyAlignment="1">
      <alignment horizontal="left" vertical="center" wrapText="1"/>
    </xf>
    <xf numFmtId="0" fontId="8" fillId="0" borderId="0" xfId="0" applyFont="1" applyAlignment="1">
      <alignment horizontal="center" vertical="center" wrapText="1"/>
    </xf>
    <xf numFmtId="0" fontId="10" fillId="0" borderId="35" xfId="0" applyFont="1" applyBorder="1" applyAlignment="1">
      <alignment horizontal="center" vertical="center" wrapText="1"/>
    </xf>
    <xf numFmtId="0" fontId="27" fillId="0" borderId="12" xfId="0" applyFont="1" applyBorder="1"/>
    <xf numFmtId="0" fontId="27" fillId="0" borderId="35" xfId="0" applyFont="1" applyBorder="1"/>
    <xf numFmtId="0" fontId="7" fillId="0" borderId="8" xfId="0" applyFont="1" applyBorder="1" applyAlignment="1">
      <alignment horizontal="center" vertical="center" wrapText="1"/>
    </xf>
    <xf numFmtId="0" fontId="7" fillId="0" borderId="9" xfId="0" applyFont="1" applyBorder="1" applyAlignment="1">
      <alignment horizontal="center" vertical="center" wrapText="1"/>
    </xf>
    <xf numFmtId="0" fontId="27" fillId="0" borderId="16" xfId="0" applyFont="1" applyBorder="1"/>
    <xf numFmtId="0" fontId="27" fillId="0" borderId="7" xfId="0" applyFont="1" applyBorder="1"/>
    <xf numFmtId="0" fontId="27" fillId="0" borderId="3" xfId="0" applyFont="1" applyBorder="1"/>
    <xf numFmtId="0" fontId="27" fillId="0" borderId="37" xfId="0" applyFont="1" applyBorder="1"/>
    <xf numFmtId="0" fontId="27" fillId="0" borderId="1" xfId="0" applyFont="1" applyBorder="1"/>
    <xf numFmtId="164" fontId="2" fillId="0" borderId="11" xfId="0" applyNumberFormat="1" applyFont="1" applyBorder="1" applyAlignment="1">
      <alignment horizontal="center" wrapText="1"/>
    </xf>
    <xf numFmtId="164" fontId="2" fillId="0" borderId="36" xfId="0" applyNumberFormat="1" applyFont="1" applyBorder="1" applyAlignment="1">
      <alignment horizontal="center" wrapText="1"/>
    </xf>
    <xf numFmtId="164" fontId="2" fillId="0" borderId="2" xfId="0" applyNumberFormat="1" applyFont="1" applyBorder="1" applyAlignment="1">
      <alignment horizontal="center" wrapText="1"/>
    </xf>
    <xf numFmtId="0" fontId="7" fillId="0" borderId="28" xfId="0" applyFont="1" applyBorder="1" applyAlignment="1">
      <alignment horizontal="center" vertical="center" wrapText="1"/>
    </xf>
    <xf numFmtId="0" fontId="27" fillId="0" borderId="29" xfId="0" applyFont="1" applyBorder="1"/>
    <xf numFmtId="0" fontId="27" fillId="0" borderId="30" xfId="0" applyFont="1" applyBorder="1"/>
    <xf numFmtId="0" fontId="7" fillId="0" borderId="31" xfId="0" applyFont="1" applyBorder="1" applyAlignment="1">
      <alignment horizontal="center" vertical="center" wrapText="1"/>
    </xf>
    <xf numFmtId="0" fontId="27" fillId="0" borderId="32" xfId="0" applyFont="1" applyBorder="1"/>
    <xf numFmtId="0" fontId="27" fillId="0" borderId="33" xfId="0" applyFont="1" applyBorder="1"/>
    <xf numFmtId="0" fontId="8" fillId="0" borderId="21" xfId="0" applyFont="1" applyBorder="1" applyAlignment="1">
      <alignment horizontal="center" vertical="center" wrapText="1"/>
    </xf>
    <xf numFmtId="0" fontId="8" fillId="0" borderId="22" xfId="0" applyFont="1" applyBorder="1" applyAlignment="1">
      <alignment horizontal="center" vertical="center" wrapText="1"/>
    </xf>
    <xf numFmtId="0" fontId="8" fillId="0" borderId="34" xfId="0" applyFont="1" applyBorder="1" applyAlignment="1">
      <alignment horizontal="center" vertical="center" wrapText="1"/>
    </xf>
    <xf numFmtId="0" fontId="9" fillId="0" borderId="21" xfId="0" applyFont="1" applyBorder="1" applyAlignment="1">
      <alignment horizontal="center" vertical="center" wrapText="1"/>
    </xf>
    <xf numFmtId="0" fontId="27" fillId="0" borderId="34" xfId="0" applyFont="1" applyBorder="1"/>
    <xf numFmtId="0" fontId="1" fillId="0" borderId="48" xfId="0" applyFont="1" applyBorder="1" applyAlignment="1">
      <alignment horizontal="center" vertical="center" wrapText="1"/>
    </xf>
    <xf numFmtId="49" fontId="11" fillId="0" borderId="8" xfId="0" applyNumberFormat="1" applyFont="1" applyBorder="1" applyAlignment="1">
      <alignment horizontal="center" vertical="top" wrapText="1"/>
    </xf>
    <xf numFmtId="0" fontId="11" fillId="3" borderId="8" xfId="0" applyFont="1" applyFill="1" applyBorder="1" applyAlignment="1">
      <alignment horizontal="center" vertical="top" wrapText="1"/>
    </xf>
    <xf numFmtId="3" fontId="7" fillId="0" borderId="0" xfId="0" applyNumberFormat="1" applyFont="1" applyAlignment="1">
      <alignment horizontal="center" vertical="center" wrapText="1"/>
    </xf>
    <xf numFmtId="0" fontId="8" fillId="0" borderId="45" xfId="0" applyFont="1" applyBorder="1" applyAlignment="1">
      <alignment horizontal="center" vertical="center" wrapText="1"/>
    </xf>
    <xf numFmtId="0" fontId="27" fillId="0" borderId="45" xfId="0" applyFont="1" applyBorder="1"/>
    <xf numFmtId="0" fontId="9" fillId="0" borderId="45" xfId="0" applyFont="1" applyBorder="1" applyAlignment="1">
      <alignment horizontal="center" vertical="center" wrapText="1"/>
    </xf>
    <xf numFmtId="0" fontId="7" fillId="0" borderId="36" xfId="0" applyFont="1" applyBorder="1" applyAlignment="1">
      <alignment horizontal="center" vertical="center" wrapText="1"/>
    </xf>
    <xf numFmtId="0" fontId="7" fillId="0" borderId="19" xfId="0" applyFont="1" applyBorder="1" applyAlignment="1">
      <alignment horizontal="center" vertical="center" wrapText="1"/>
    </xf>
    <xf numFmtId="0" fontId="27" fillId="0" borderId="18" xfId="0" applyFont="1" applyBorder="1"/>
    <xf numFmtId="0" fontId="27" fillId="0" borderId="17" xfId="0" applyFont="1" applyBorder="1"/>
    <xf numFmtId="0" fontId="34" fillId="0" borderId="56" xfId="0" applyFont="1" applyBorder="1" applyAlignment="1">
      <alignment vertical="center" wrapText="1"/>
    </xf>
  </cellXfs>
  <cellStyles count="1">
    <cellStyle name="Normal" xfId="0" builtinId="0"/>
  </cellStyles>
  <dxfs count="11">
    <dxf>
      <font>
        <strike val="0"/>
        <outline val="0"/>
        <shadow val="0"/>
        <u val="none"/>
        <vertAlign val="baseline"/>
        <name val="Calibri"/>
        <scheme val="none"/>
      </font>
    </dxf>
    <dxf>
      <font>
        <strike val="0"/>
        <outline val="0"/>
        <shadow val="0"/>
        <u val="none"/>
        <vertAlign val="baseline"/>
        <name val="Calibri"/>
        <scheme val="none"/>
      </font>
    </dxf>
    <dxf>
      <font>
        <strike val="0"/>
        <outline val="0"/>
        <shadow val="0"/>
        <u val="none"/>
        <vertAlign val="baseline"/>
        <name val="Calibri"/>
        <scheme val="none"/>
      </font>
    </dxf>
    <dxf>
      <font>
        <strike val="0"/>
        <outline val="0"/>
        <shadow val="0"/>
        <u val="none"/>
        <vertAlign val="baseline"/>
        <name val="Calibri"/>
        <scheme val="none"/>
      </font>
    </dxf>
    <dxf>
      <font>
        <strike val="0"/>
        <outline val="0"/>
        <shadow val="0"/>
        <u val="none"/>
        <vertAlign val="baseline"/>
        <name val="Calibri"/>
        <scheme val="none"/>
      </font>
    </dxf>
    <dxf>
      <font>
        <strike val="0"/>
        <outline val="0"/>
        <shadow val="0"/>
        <u val="none"/>
        <vertAlign val="baseline"/>
        <name val="Calibri"/>
        <scheme val="none"/>
      </font>
    </dxf>
    <dxf>
      <font>
        <strike val="0"/>
        <outline val="0"/>
        <shadow val="0"/>
        <u val="none"/>
        <vertAlign val="baseline"/>
        <name val="Calibri"/>
        <scheme val="none"/>
      </font>
    </dxf>
    <dxf>
      <font>
        <strike val="0"/>
        <outline val="0"/>
        <shadow val="0"/>
        <u val="none"/>
        <vertAlign val="baseline"/>
        <name val="Calibri"/>
        <scheme val="none"/>
      </font>
    </dxf>
    <dxf>
      <fill>
        <patternFill patternType="solid">
          <fgColor rgb="FFD9E2F3"/>
          <bgColor rgb="FFD9E2F3"/>
        </patternFill>
      </fill>
    </dxf>
    <dxf>
      <fill>
        <patternFill patternType="solid">
          <fgColor rgb="FFD8D8D8"/>
          <bgColor rgb="FFD8D8D8"/>
        </patternFill>
      </fill>
    </dxf>
    <dxf>
      <fill>
        <patternFill patternType="solid">
          <fgColor theme="0"/>
          <bgColor theme="0"/>
        </patternFill>
      </fill>
    </dxf>
  </dxfs>
  <tableStyles count="1">
    <tableStyle name="Cover-style" pivot="0" count="3" xr9:uid="{00000000-0011-0000-FFFF-FFFF00000000}">
      <tableStyleElement type="headerRow" dxfId="10"/>
      <tableStyleElement type="firstRowStripe" dxfId="9"/>
      <tableStyleElement type="secondRowStripe" dxfId="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E:\OneDrive\Works\XV-NT\24.03.07_NV%20DT%20BIM\2.2.%20Du%20toan_G&#272;%20Thiet%20ke_Tu%20van%20lap%20mo%20hinh%20BIM_2024.03.0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ổng hợp-BIM"/>
      <sheetName val="foxz"/>
      <sheetName val="foxz_2"/>
      <sheetName val="foxz_3"/>
      <sheetName val="TK_TV-Tổng hợp Chi phí"/>
      <sheetName val="TK_TV_Chi phí Chuyên gia"/>
      <sheetName val="CP-Khac"/>
      <sheetName val="Phụ lục A-TV04"/>
      <sheetName val="TK_TV_Bảng lương chuyên gia"/>
      <sheetName val="TK_TV_Hao phí công CGia"/>
      <sheetName val="Phụ lục A"/>
      <sheetName val="Phụ lục A-TV06"/>
      <sheetName val="Phụ lục A-TV07"/>
      <sheetName val="Nhom NS"/>
      <sheetName val="Phụ lục D"/>
      <sheetName val="TK_Nhan Su"/>
      <sheetName val="Nhan su"/>
      <sheetName val="00000000"/>
      <sheetName val="10000000"/>
      <sheetName val="20000000"/>
      <sheetName val="30000000"/>
      <sheetName val="40000000"/>
      <sheetName val="50000000"/>
      <sheetName val="60000000"/>
      <sheetName val="XXXXXXXX"/>
      <sheetName val="XXXXXXX0"/>
      <sheetName val="XXXXXXX1"/>
      <sheetName val="XXXXXXX2"/>
      <sheetName val="XXXXXXX3"/>
      <sheetName val="XXXXXXX4"/>
      <sheetName val="XXXXXXX5"/>
      <sheetName val="70000000"/>
      <sheetName val="TK_TV_Chi phí khác"/>
      <sheetName val="TK_TV_Phân tích khấu hao"/>
      <sheetName val="Tiến độ"/>
      <sheetName val="Công nhân sự giai đoạn thi công"/>
      <sheetName val="Công nhân sự giai đoạn thẩm tra"/>
    </sheetNames>
    <sheetDataSet>
      <sheetData sheetId="0"/>
      <sheetData sheetId="1"/>
      <sheetData sheetId="2"/>
      <sheetData sheetId="3"/>
      <sheetData sheetId="4">
        <row r="6">
          <cell r="D6">
            <v>696740000</v>
          </cell>
        </row>
        <row r="7">
          <cell r="D7">
            <v>383207000.00000006</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7:F16" headerRowDxfId="7" dataDxfId="6" totalsRowDxfId="5">
  <tableColumns count="5">
    <tableColumn id="1" xr3:uid="{00000000-0010-0000-0000-000001000000}" name="Phiên bản" dataDxfId="4"/>
    <tableColumn id="2" xr3:uid="{00000000-0010-0000-0000-000002000000}" name="Ngày" dataDxfId="3"/>
    <tableColumn id="4" xr3:uid="{00000000-0010-0000-0000-000004000000}" name="Người lập" dataDxfId="2"/>
    <tableColumn id="5" xr3:uid="{00000000-0010-0000-0000-000005000000}" name="Người phê duyệt" dataDxfId="1"/>
    <tableColumn id="6" xr3:uid="{00000000-0010-0000-0000-000006000000}" name="Mô tả" dataDxfId="0"/>
  </tableColumns>
  <tableStyleInfo name="Cover-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
  <sheetViews>
    <sheetView workbookViewId="0">
      <selection activeCell="C9" sqref="C9"/>
    </sheetView>
  </sheetViews>
  <sheetFormatPr defaultColWidth="12.5703125" defaultRowHeight="15" customHeight="1" x14ac:dyDescent="0.2"/>
  <cols>
    <col min="1" max="1" width="9.140625" style="16" customWidth="1"/>
    <col min="2" max="2" width="16.85546875" style="16" customWidth="1"/>
    <col min="3" max="3" width="15.42578125" style="16" customWidth="1"/>
    <col min="4" max="5" width="20.7109375" style="16" customWidth="1"/>
    <col min="6" max="6" width="17" style="16" customWidth="1"/>
    <col min="7" max="25" width="8.5703125" style="16" customWidth="1"/>
    <col min="26" max="16384" width="12.5703125" style="16"/>
  </cols>
  <sheetData>
    <row r="1" spans="1:25" ht="16.5" customHeight="1" x14ac:dyDescent="0.3">
      <c r="A1" s="82"/>
      <c r="B1" s="82"/>
      <c r="C1" s="83"/>
      <c r="D1" s="82"/>
      <c r="E1" s="82"/>
      <c r="F1" s="82"/>
      <c r="G1" s="82"/>
      <c r="H1" s="82"/>
      <c r="I1" s="82"/>
      <c r="J1" s="82"/>
      <c r="K1" s="82"/>
      <c r="L1" s="82"/>
      <c r="M1" s="82"/>
      <c r="N1" s="82"/>
      <c r="O1" s="82"/>
      <c r="P1" s="82"/>
      <c r="Q1" s="82"/>
      <c r="R1" s="82"/>
      <c r="S1" s="82"/>
      <c r="T1" s="82"/>
      <c r="U1" s="82"/>
      <c r="V1" s="82"/>
      <c r="W1" s="82"/>
      <c r="X1" s="82"/>
      <c r="Y1" s="82"/>
    </row>
    <row r="2" spans="1:25" ht="16.5" customHeight="1" x14ac:dyDescent="0.3">
      <c r="A2" s="82"/>
      <c r="B2" s="82"/>
      <c r="C2" s="83"/>
      <c r="D2" s="82"/>
      <c r="E2" s="82"/>
      <c r="F2" s="84"/>
      <c r="G2" s="82"/>
      <c r="H2" s="82"/>
      <c r="I2" s="82"/>
      <c r="J2" s="82"/>
      <c r="K2" s="82"/>
      <c r="L2" s="82"/>
      <c r="M2" s="82"/>
      <c r="N2" s="82"/>
      <c r="O2" s="82"/>
      <c r="P2" s="82"/>
      <c r="Q2" s="82"/>
      <c r="R2" s="82"/>
      <c r="S2" s="82"/>
      <c r="T2" s="82"/>
      <c r="U2" s="82"/>
      <c r="V2" s="82"/>
      <c r="W2" s="82"/>
      <c r="X2" s="82"/>
      <c r="Y2" s="82"/>
    </row>
    <row r="3" spans="1:25" ht="16.5" customHeight="1" x14ac:dyDescent="0.3">
      <c r="A3" s="82"/>
      <c r="B3" s="82"/>
      <c r="C3" s="83"/>
      <c r="D3" s="82"/>
      <c r="E3" s="82"/>
      <c r="F3" s="82"/>
      <c r="G3" s="82"/>
      <c r="H3" s="82"/>
      <c r="I3" s="82"/>
      <c r="J3" s="82"/>
      <c r="K3" s="82"/>
      <c r="L3" s="82"/>
      <c r="M3" s="82"/>
      <c r="N3" s="82"/>
      <c r="O3" s="82"/>
      <c r="P3" s="82"/>
      <c r="Q3" s="82"/>
      <c r="R3" s="82"/>
      <c r="S3" s="82"/>
      <c r="T3" s="82"/>
      <c r="U3" s="82"/>
      <c r="V3" s="82"/>
      <c r="W3" s="82"/>
      <c r="X3" s="82"/>
      <c r="Y3" s="82"/>
    </row>
    <row r="4" spans="1:25" ht="27" customHeight="1" x14ac:dyDescent="0.35">
      <c r="A4" s="82"/>
      <c r="B4" s="297" t="s">
        <v>0</v>
      </c>
      <c r="C4" s="298"/>
      <c r="D4" s="298"/>
      <c r="E4" s="298"/>
      <c r="F4" s="298"/>
      <c r="G4" s="82"/>
      <c r="H4" s="82"/>
      <c r="I4" s="82"/>
      <c r="J4" s="82"/>
      <c r="K4" s="82"/>
      <c r="L4" s="82"/>
      <c r="M4" s="82"/>
      <c r="N4" s="82"/>
      <c r="O4" s="82"/>
      <c r="P4" s="82"/>
      <c r="Q4" s="82"/>
      <c r="R4" s="82"/>
      <c r="S4" s="82"/>
      <c r="T4" s="82"/>
      <c r="U4" s="82"/>
      <c r="V4" s="82"/>
      <c r="W4" s="82"/>
      <c r="X4" s="82"/>
      <c r="Y4" s="82"/>
    </row>
    <row r="5" spans="1:25" ht="16.5" customHeight="1" x14ac:dyDescent="0.3">
      <c r="A5" s="82"/>
      <c r="B5" s="82"/>
      <c r="C5" s="83"/>
      <c r="D5" s="82"/>
      <c r="E5" s="82"/>
      <c r="F5" s="82"/>
      <c r="G5" s="82"/>
      <c r="H5" s="82"/>
      <c r="I5" s="82"/>
      <c r="J5" s="82"/>
      <c r="K5" s="82"/>
      <c r="L5" s="82"/>
      <c r="M5" s="82"/>
      <c r="N5" s="82"/>
      <c r="O5" s="82"/>
      <c r="P5" s="82"/>
      <c r="Q5" s="82"/>
      <c r="R5" s="82"/>
      <c r="S5" s="82"/>
      <c r="T5" s="82"/>
      <c r="U5" s="82"/>
      <c r="V5" s="82"/>
      <c r="W5" s="82"/>
      <c r="X5" s="82"/>
      <c r="Y5" s="82"/>
    </row>
    <row r="6" spans="1:25" ht="16.5" customHeight="1" x14ac:dyDescent="0.3">
      <c r="A6" s="82"/>
      <c r="G6" s="82"/>
      <c r="H6" s="82"/>
      <c r="I6" s="82"/>
      <c r="J6" s="82"/>
      <c r="K6" s="82"/>
      <c r="L6" s="82"/>
      <c r="M6" s="82"/>
      <c r="N6" s="82"/>
      <c r="O6" s="82"/>
      <c r="P6" s="82"/>
      <c r="Q6" s="82"/>
      <c r="R6" s="82"/>
      <c r="S6" s="82"/>
      <c r="T6" s="82"/>
      <c r="U6" s="82"/>
      <c r="V6" s="82"/>
      <c r="W6" s="82"/>
      <c r="X6" s="82"/>
      <c r="Y6" s="82"/>
    </row>
    <row r="7" spans="1:25" ht="16.5" customHeight="1" x14ac:dyDescent="0.3">
      <c r="A7" s="82"/>
      <c r="B7" s="85" t="s">
        <v>1</v>
      </c>
      <c r="C7" s="86" t="s">
        <v>2</v>
      </c>
      <c r="D7" s="86" t="s">
        <v>423</v>
      </c>
      <c r="E7" s="86" t="s">
        <v>3</v>
      </c>
      <c r="F7" s="87" t="s">
        <v>4</v>
      </c>
      <c r="G7" s="82"/>
      <c r="H7" s="82"/>
      <c r="I7" s="82"/>
      <c r="J7" s="82"/>
      <c r="K7" s="82"/>
      <c r="L7" s="82"/>
      <c r="M7" s="82"/>
      <c r="N7" s="82"/>
      <c r="O7" s="82"/>
      <c r="P7" s="82"/>
      <c r="Q7" s="82"/>
      <c r="R7" s="82"/>
      <c r="S7" s="82"/>
      <c r="T7" s="82"/>
      <c r="U7" s="82"/>
      <c r="V7" s="82"/>
      <c r="W7" s="82"/>
      <c r="X7" s="82"/>
      <c r="Y7" s="82"/>
    </row>
    <row r="8" spans="1:25" ht="16.5" customHeight="1" x14ac:dyDescent="0.3">
      <c r="A8" s="82"/>
      <c r="B8" s="88" t="s">
        <v>5</v>
      </c>
      <c r="C8" s="89" t="s">
        <v>550</v>
      </c>
      <c r="D8" s="89" t="s">
        <v>551</v>
      </c>
      <c r="E8" s="89"/>
      <c r="F8" s="90"/>
      <c r="G8" s="82"/>
      <c r="H8" s="82"/>
      <c r="I8" s="82"/>
      <c r="J8" s="82"/>
      <c r="K8" s="82"/>
      <c r="L8" s="82"/>
      <c r="M8" s="82"/>
      <c r="N8" s="82"/>
      <c r="O8" s="82"/>
      <c r="P8" s="82"/>
      <c r="Q8" s="82"/>
      <c r="R8" s="82"/>
      <c r="S8" s="82"/>
      <c r="T8" s="82"/>
      <c r="U8" s="82"/>
      <c r="V8" s="82"/>
      <c r="W8" s="82"/>
      <c r="X8" s="82"/>
      <c r="Y8" s="82"/>
    </row>
    <row r="9" spans="1:25" ht="16.5" customHeight="1" x14ac:dyDescent="0.3">
      <c r="A9" s="82"/>
      <c r="B9" s="88"/>
      <c r="C9" s="89"/>
      <c r="D9" s="89"/>
      <c r="E9" s="89"/>
      <c r="F9" s="90"/>
      <c r="G9" s="82"/>
      <c r="H9" s="82"/>
      <c r="I9" s="82"/>
      <c r="J9" s="82"/>
      <c r="K9" s="82"/>
      <c r="L9" s="82"/>
      <c r="M9" s="82"/>
      <c r="N9" s="82"/>
      <c r="O9" s="82"/>
      <c r="P9" s="82"/>
      <c r="Q9" s="82"/>
      <c r="R9" s="82"/>
      <c r="S9" s="82"/>
      <c r="T9" s="82"/>
      <c r="U9" s="82"/>
      <c r="V9" s="82"/>
      <c r="W9" s="82"/>
      <c r="X9" s="82"/>
      <c r="Y9" s="82"/>
    </row>
    <row r="10" spans="1:25" ht="16.5" customHeight="1" x14ac:dyDescent="0.3">
      <c r="A10" s="82"/>
      <c r="B10" s="88"/>
      <c r="C10" s="89"/>
      <c r="D10" s="89"/>
      <c r="E10" s="89"/>
      <c r="F10" s="90"/>
      <c r="G10" s="82"/>
      <c r="H10" s="82"/>
      <c r="I10" s="82"/>
      <c r="J10" s="82"/>
      <c r="K10" s="82"/>
      <c r="L10" s="82"/>
      <c r="M10" s="82"/>
      <c r="N10" s="82"/>
      <c r="O10" s="82"/>
      <c r="P10" s="82"/>
      <c r="Q10" s="82"/>
      <c r="R10" s="82"/>
      <c r="S10" s="82"/>
      <c r="T10" s="82"/>
      <c r="U10" s="82"/>
      <c r="V10" s="82"/>
      <c r="W10" s="82"/>
      <c r="X10" s="82"/>
      <c r="Y10" s="82"/>
    </row>
    <row r="11" spans="1:25" ht="16.5" customHeight="1" x14ac:dyDescent="0.3">
      <c r="A11" s="82"/>
      <c r="B11" s="88"/>
      <c r="C11" s="89"/>
      <c r="D11" s="89"/>
      <c r="E11" s="89"/>
      <c r="F11" s="90"/>
      <c r="G11" s="82"/>
      <c r="H11" s="82"/>
      <c r="I11" s="82"/>
      <c r="J11" s="82"/>
      <c r="K11" s="82"/>
      <c r="L11" s="82"/>
      <c r="M11" s="82"/>
      <c r="N11" s="82"/>
      <c r="O11" s="82"/>
      <c r="P11" s="82"/>
      <c r="Q11" s="82"/>
      <c r="R11" s="82"/>
      <c r="S11" s="82"/>
      <c r="T11" s="82"/>
      <c r="U11" s="82"/>
      <c r="V11" s="82"/>
      <c r="W11" s="82"/>
      <c r="X11" s="82"/>
      <c r="Y11" s="82"/>
    </row>
    <row r="12" spans="1:25" ht="16.5" customHeight="1" x14ac:dyDescent="0.3">
      <c r="A12" s="82"/>
      <c r="B12" s="88"/>
      <c r="C12" s="89"/>
      <c r="D12" s="89"/>
      <c r="E12" s="89"/>
      <c r="F12" s="90"/>
      <c r="G12" s="82"/>
      <c r="H12" s="82"/>
      <c r="I12" s="82"/>
      <c r="J12" s="82"/>
      <c r="K12" s="82"/>
      <c r="L12" s="82"/>
      <c r="M12" s="82"/>
      <c r="N12" s="82"/>
      <c r="O12" s="82"/>
      <c r="P12" s="82"/>
      <c r="Q12" s="82"/>
      <c r="R12" s="82"/>
      <c r="S12" s="82"/>
      <c r="T12" s="82"/>
      <c r="U12" s="82"/>
      <c r="V12" s="82"/>
      <c r="W12" s="82"/>
      <c r="X12" s="82"/>
      <c r="Y12" s="82"/>
    </row>
    <row r="13" spans="1:25" ht="16.5" customHeight="1" x14ac:dyDescent="0.3">
      <c r="A13" s="82"/>
      <c r="B13" s="88"/>
      <c r="C13" s="89"/>
      <c r="D13" s="89"/>
      <c r="E13" s="89"/>
      <c r="F13" s="90"/>
      <c r="G13" s="82"/>
      <c r="H13" s="82"/>
      <c r="I13" s="82"/>
      <c r="J13" s="82"/>
      <c r="K13" s="82"/>
      <c r="L13" s="82"/>
      <c r="M13" s="82"/>
      <c r="N13" s="82"/>
      <c r="O13" s="82"/>
      <c r="P13" s="82"/>
      <c r="Q13" s="82"/>
      <c r="R13" s="82"/>
      <c r="S13" s="82"/>
      <c r="T13" s="82"/>
      <c r="U13" s="82"/>
      <c r="V13" s="82"/>
      <c r="W13" s="82"/>
      <c r="X13" s="82"/>
      <c r="Y13" s="82"/>
    </row>
    <row r="14" spans="1:25" ht="16.5" customHeight="1" x14ac:dyDescent="0.3">
      <c r="A14" s="82"/>
      <c r="B14" s="88"/>
      <c r="C14" s="89"/>
      <c r="D14" s="89"/>
      <c r="E14" s="89"/>
      <c r="F14" s="90"/>
      <c r="G14" s="82"/>
      <c r="H14" s="82"/>
      <c r="I14" s="82"/>
      <c r="J14" s="82"/>
      <c r="K14" s="82"/>
      <c r="L14" s="82"/>
      <c r="M14" s="82"/>
      <c r="N14" s="82"/>
      <c r="O14" s="82"/>
      <c r="P14" s="82"/>
      <c r="Q14" s="82"/>
      <c r="R14" s="82"/>
      <c r="S14" s="82"/>
      <c r="T14" s="82"/>
      <c r="U14" s="82"/>
      <c r="V14" s="82"/>
      <c r="W14" s="82"/>
      <c r="X14" s="82"/>
      <c r="Y14" s="82"/>
    </row>
    <row r="15" spans="1:25" ht="16.5" customHeight="1" x14ac:dyDescent="0.3">
      <c r="A15" s="82"/>
      <c r="B15" s="88"/>
      <c r="C15" s="89"/>
      <c r="D15" s="89"/>
      <c r="E15" s="89"/>
      <c r="F15" s="90"/>
      <c r="G15" s="82"/>
      <c r="H15" s="82"/>
      <c r="I15" s="82"/>
      <c r="J15" s="82"/>
      <c r="K15" s="82"/>
      <c r="L15" s="82"/>
      <c r="M15" s="82"/>
      <c r="N15" s="82"/>
      <c r="O15" s="82"/>
      <c r="P15" s="82"/>
      <c r="Q15" s="82"/>
      <c r="R15" s="82"/>
      <c r="S15" s="82"/>
      <c r="T15" s="82"/>
      <c r="U15" s="82"/>
      <c r="V15" s="82"/>
      <c r="W15" s="82"/>
      <c r="X15" s="82"/>
      <c r="Y15" s="82"/>
    </row>
    <row r="16" spans="1:25" ht="16.5" customHeight="1" x14ac:dyDescent="0.3">
      <c r="A16" s="82"/>
      <c r="B16" s="91"/>
      <c r="C16" s="92"/>
      <c r="D16" s="92"/>
      <c r="E16" s="92"/>
      <c r="F16" s="93"/>
      <c r="G16" s="82"/>
      <c r="H16" s="82"/>
      <c r="I16" s="82"/>
      <c r="J16" s="82"/>
      <c r="K16" s="82"/>
      <c r="L16" s="82"/>
      <c r="M16" s="82"/>
      <c r="N16" s="82"/>
      <c r="O16" s="82"/>
      <c r="P16" s="82"/>
      <c r="Q16" s="82"/>
      <c r="R16" s="82"/>
      <c r="S16" s="82"/>
      <c r="T16" s="82"/>
      <c r="U16" s="82"/>
      <c r="V16" s="82"/>
      <c r="W16" s="82"/>
      <c r="X16" s="82"/>
      <c r="Y16" s="82"/>
    </row>
    <row r="17" spans="1:25" ht="16.5" customHeight="1" x14ac:dyDescent="0.3">
      <c r="A17" s="82"/>
      <c r="B17" s="82"/>
      <c r="C17" s="83"/>
      <c r="D17" s="82"/>
      <c r="E17" s="82"/>
      <c r="F17" s="82"/>
      <c r="G17" s="82"/>
      <c r="H17" s="82"/>
      <c r="I17" s="82"/>
      <c r="J17" s="82"/>
      <c r="K17" s="82"/>
      <c r="L17" s="82"/>
      <c r="M17" s="82"/>
      <c r="N17" s="82"/>
      <c r="O17" s="82"/>
      <c r="P17" s="82"/>
      <c r="Q17" s="82"/>
      <c r="R17" s="82"/>
      <c r="S17" s="82"/>
      <c r="T17" s="82"/>
      <c r="U17" s="82"/>
      <c r="V17" s="82"/>
      <c r="W17" s="82"/>
      <c r="X17" s="82"/>
      <c r="Y17" s="82"/>
    </row>
    <row r="18" spans="1:25" ht="16.5" customHeight="1" x14ac:dyDescent="0.3">
      <c r="A18" s="82"/>
      <c r="B18" s="82"/>
      <c r="C18" s="83"/>
      <c r="D18" s="82"/>
      <c r="E18" s="82"/>
      <c r="F18" s="82"/>
      <c r="G18" s="82"/>
      <c r="H18" s="82"/>
      <c r="I18" s="82"/>
      <c r="J18" s="82"/>
      <c r="K18" s="82"/>
      <c r="L18" s="82"/>
      <c r="M18" s="82"/>
      <c r="N18" s="82"/>
      <c r="O18" s="82"/>
      <c r="P18" s="82"/>
      <c r="Q18" s="82"/>
      <c r="R18" s="82"/>
      <c r="S18" s="82"/>
      <c r="T18" s="82"/>
      <c r="U18" s="82"/>
      <c r="V18" s="82"/>
      <c r="W18" s="82"/>
      <c r="X18" s="82"/>
      <c r="Y18" s="82"/>
    </row>
    <row r="19" spans="1:25" ht="16.5" customHeight="1" x14ac:dyDescent="0.3">
      <c r="A19" s="82"/>
      <c r="B19" s="82"/>
      <c r="C19" s="83"/>
      <c r="D19" s="82"/>
      <c r="E19" s="82"/>
      <c r="F19" s="82"/>
      <c r="G19" s="82"/>
      <c r="H19" s="82"/>
      <c r="I19" s="82"/>
      <c r="J19" s="82"/>
      <c r="K19" s="82"/>
      <c r="L19" s="82"/>
      <c r="M19" s="82"/>
      <c r="N19" s="82"/>
      <c r="O19" s="82"/>
      <c r="P19" s="82"/>
      <c r="Q19" s="82"/>
      <c r="R19" s="82"/>
      <c r="S19" s="82"/>
      <c r="T19" s="82"/>
      <c r="U19" s="82"/>
      <c r="V19" s="82"/>
      <c r="W19" s="82"/>
      <c r="X19" s="82"/>
      <c r="Y19" s="82"/>
    </row>
    <row r="20" spans="1:25" ht="16.5" customHeight="1" x14ac:dyDescent="0.3">
      <c r="A20" s="82"/>
      <c r="B20" s="82"/>
      <c r="C20" s="83"/>
      <c r="D20" s="82"/>
      <c r="E20" s="82"/>
      <c r="F20" s="82"/>
      <c r="G20" s="82"/>
      <c r="H20" s="82"/>
      <c r="I20" s="82"/>
      <c r="J20" s="82"/>
      <c r="K20" s="82"/>
      <c r="L20" s="82"/>
      <c r="M20" s="82"/>
      <c r="N20" s="82"/>
      <c r="O20" s="82"/>
      <c r="P20" s="82"/>
      <c r="Q20" s="82"/>
      <c r="R20" s="82"/>
      <c r="S20" s="82"/>
      <c r="T20" s="82"/>
      <c r="U20" s="82"/>
      <c r="V20" s="82"/>
      <c r="W20" s="82"/>
      <c r="X20" s="82"/>
      <c r="Y20" s="82"/>
    </row>
    <row r="21" spans="1:25" ht="16.5" customHeight="1" x14ac:dyDescent="0.3">
      <c r="A21" s="82"/>
      <c r="B21" s="82"/>
      <c r="C21" s="83"/>
      <c r="D21" s="82"/>
      <c r="E21" s="82"/>
      <c r="F21" s="82"/>
      <c r="G21" s="82"/>
      <c r="H21" s="82"/>
      <c r="I21" s="82"/>
      <c r="J21" s="82"/>
      <c r="K21" s="82"/>
      <c r="L21" s="82"/>
      <c r="M21" s="82"/>
      <c r="N21" s="82"/>
      <c r="O21" s="82"/>
      <c r="P21" s="82"/>
      <c r="Q21" s="82"/>
      <c r="R21" s="82"/>
      <c r="S21" s="82"/>
      <c r="T21" s="82"/>
      <c r="U21" s="82"/>
      <c r="V21" s="82"/>
      <c r="W21" s="82"/>
      <c r="X21" s="82"/>
      <c r="Y21" s="82"/>
    </row>
    <row r="22" spans="1:25" ht="16.5" customHeight="1" x14ac:dyDescent="0.3">
      <c r="A22" s="82"/>
      <c r="B22" s="82"/>
      <c r="C22" s="83"/>
      <c r="D22" s="82"/>
      <c r="E22" s="82"/>
      <c r="F22" s="82"/>
      <c r="G22" s="82"/>
      <c r="H22" s="82"/>
      <c r="I22" s="82"/>
      <c r="J22" s="82"/>
      <c r="K22" s="82"/>
      <c r="L22" s="82"/>
      <c r="M22" s="82"/>
      <c r="N22" s="82"/>
      <c r="O22" s="82"/>
      <c r="P22" s="82"/>
      <c r="Q22" s="82"/>
      <c r="R22" s="82"/>
      <c r="S22" s="82"/>
      <c r="T22" s="82"/>
      <c r="U22" s="82"/>
      <c r="V22" s="82"/>
      <c r="W22" s="82"/>
      <c r="X22" s="82"/>
      <c r="Y22" s="82"/>
    </row>
    <row r="23" spans="1:25" ht="16.5" customHeight="1" x14ac:dyDescent="0.3">
      <c r="A23" s="82"/>
      <c r="B23" s="82"/>
      <c r="C23" s="83"/>
      <c r="D23" s="82"/>
      <c r="E23" s="82"/>
      <c r="F23" s="82"/>
      <c r="G23" s="82"/>
      <c r="H23" s="82"/>
      <c r="I23" s="82"/>
      <c r="J23" s="82"/>
      <c r="K23" s="82"/>
      <c r="L23" s="82"/>
      <c r="M23" s="82"/>
      <c r="N23" s="82"/>
      <c r="O23" s="82"/>
      <c r="P23" s="82"/>
      <c r="Q23" s="82"/>
      <c r="R23" s="82"/>
      <c r="S23" s="82"/>
      <c r="T23" s="82"/>
      <c r="U23" s="82"/>
      <c r="V23" s="82"/>
      <c r="W23" s="82"/>
      <c r="X23" s="82"/>
      <c r="Y23" s="82"/>
    </row>
    <row r="24" spans="1:25" ht="16.5" customHeight="1" x14ac:dyDescent="0.3">
      <c r="A24" s="82"/>
      <c r="B24" s="82"/>
      <c r="C24" s="83"/>
      <c r="D24" s="82"/>
      <c r="E24" s="82"/>
      <c r="F24" s="82"/>
      <c r="G24" s="82"/>
      <c r="H24" s="82"/>
      <c r="I24" s="82"/>
      <c r="J24" s="82"/>
      <c r="K24" s="82"/>
      <c r="L24" s="82"/>
      <c r="M24" s="82"/>
      <c r="N24" s="82"/>
      <c r="O24" s="82"/>
      <c r="P24" s="82"/>
      <c r="Q24" s="82"/>
      <c r="R24" s="82"/>
      <c r="S24" s="82"/>
      <c r="T24" s="82"/>
      <c r="U24" s="82"/>
      <c r="V24" s="82"/>
      <c r="W24" s="82"/>
      <c r="X24" s="82"/>
      <c r="Y24" s="82"/>
    </row>
    <row r="25" spans="1:25" ht="16.5" customHeight="1" x14ac:dyDescent="0.3">
      <c r="A25" s="82"/>
      <c r="B25" s="82"/>
      <c r="C25" s="83"/>
      <c r="D25" s="82"/>
      <c r="E25" s="82"/>
      <c r="F25" s="82"/>
      <c r="G25" s="82"/>
      <c r="H25" s="82"/>
      <c r="I25" s="82"/>
      <c r="J25" s="82"/>
      <c r="K25" s="82"/>
      <c r="L25" s="82"/>
      <c r="M25" s="82"/>
      <c r="N25" s="82"/>
      <c r="O25" s="82"/>
      <c r="P25" s="82"/>
      <c r="Q25" s="82"/>
      <c r="R25" s="82"/>
      <c r="S25" s="82"/>
      <c r="T25" s="82"/>
      <c r="U25" s="82"/>
      <c r="V25" s="82"/>
      <c r="W25" s="82"/>
      <c r="X25" s="82"/>
      <c r="Y25" s="82"/>
    </row>
    <row r="26" spans="1:25" ht="16.5" customHeight="1" x14ac:dyDescent="0.3">
      <c r="A26" s="82"/>
      <c r="B26" s="82"/>
      <c r="C26" s="83"/>
      <c r="D26" s="82"/>
      <c r="E26" s="82"/>
      <c r="F26" s="82"/>
      <c r="G26" s="82"/>
      <c r="H26" s="82"/>
      <c r="I26" s="82"/>
      <c r="J26" s="82"/>
      <c r="K26" s="82"/>
      <c r="L26" s="82"/>
      <c r="M26" s="82"/>
      <c r="N26" s="82"/>
      <c r="O26" s="82"/>
      <c r="P26" s="82"/>
      <c r="Q26" s="82"/>
      <c r="R26" s="82"/>
      <c r="S26" s="82"/>
      <c r="T26" s="82"/>
      <c r="U26" s="82"/>
      <c r="V26" s="82"/>
      <c r="W26" s="82"/>
      <c r="X26" s="82"/>
      <c r="Y26" s="82"/>
    </row>
    <row r="27" spans="1:25" ht="16.5" customHeight="1" x14ac:dyDescent="0.3">
      <c r="A27" s="82"/>
      <c r="B27" s="82"/>
      <c r="C27" s="83"/>
      <c r="D27" s="82"/>
      <c r="E27" s="82"/>
      <c r="F27" s="82"/>
      <c r="G27" s="82"/>
      <c r="H27" s="82"/>
      <c r="I27" s="82"/>
      <c r="J27" s="82"/>
      <c r="K27" s="82"/>
      <c r="L27" s="82"/>
      <c r="M27" s="82"/>
      <c r="N27" s="82"/>
      <c r="O27" s="82"/>
      <c r="P27" s="82"/>
      <c r="Q27" s="82"/>
      <c r="R27" s="82"/>
      <c r="S27" s="82"/>
      <c r="T27" s="82"/>
      <c r="U27" s="82"/>
      <c r="V27" s="82"/>
      <c r="W27" s="82"/>
      <c r="X27" s="82"/>
      <c r="Y27" s="82"/>
    </row>
    <row r="28" spans="1:25" ht="16.5" customHeight="1" x14ac:dyDescent="0.3">
      <c r="A28" s="82"/>
      <c r="B28" s="82"/>
      <c r="C28" s="83"/>
      <c r="D28" s="82"/>
      <c r="E28" s="82"/>
      <c r="F28" s="82"/>
      <c r="G28" s="82"/>
      <c r="H28" s="82"/>
      <c r="I28" s="82"/>
      <c r="J28" s="82"/>
      <c r="K28" s="82"/>
      <c r="L28" s="82"/>
      <c r="M28" s="82"/>
      <c r="N28" s="82"/>
      <c r="O28" s="82"/>
      <c r="P28" s="82"/>
      <c r="Q28" s="82"/>
      <c r="R28" s="82"/>
      <c r="S28" s="82"/>
      <c r="T28" s="82"/>
      <c r="U28" s="82"/>
      <c r="V28" s="82"/>
      <c r="W28" s="82"/>
      <c r="X28" s="82"/>
      <c r="Y28" s="82"/>
    </row>
    <row r="29" spans="1:25" ht="16.5" customHeight="1" x14ac:dyDescent="0.3">
      <c r="A29" s="82"/>
      <c r="B29" s="82"/>
      <c r="C29" s="83"/>
      <c r="D29" s="82"/>
      <c r="E29" s="82"/>
      <c r="F29" s="82"/>
      <c r="G29" s="82"/>
      <c r="H29" s="82"/>
      <c r="I29" s="82"/>
      <c r="J29" s="82"/>
      <c r="K29" s="82"/>
      <c r="L29" s="82"/>
      <c r="M29" s="82"/>
      <c r="N29" s="82"/>
      <c r="O29" s="82"/>
      <c r="P29" s="82"/>
      <c r="Q29" s="82"/>
      <c r="R29" s="82"/>
      <c r="S29" s="82"/>
      <c r="T29" s="82"/>
      <c r="U29" s="82"/>
      <c r="V29" s="82"/>
      <c r="W29" s="82"/>
      <c r="X29" s="82"/>
      <c r="Y29" s="82"/>
    </row>
    <row r="30" spans="1:25" ht="16.5" customHeight="1" x14ac:dyDescent="0.3">
      <c r="A30" s="82"/>
      <c r="B30" s="82"/>
      <c r="C30" s="83"/>
      <c r="D30" s="82"/>
      <c r="E30" s="82"/>
      <c r="F30" s="82"/>
      <c r="G30" s="82"/>
      <c r="H30" s="82"/>
      <c r="I30" s="82"/>
      <c r="J30" s="82"/>
      <c r="K30" s="82"/>
      <c r="L30" s="82"/>
      <c r="M30" s="82"/>
      <c r="N30" s="82"/>
      <c r="O30" s="82"/>
      <c r="P30" s="82"/>
      <c r="Q30" s="82"/>
      <c r="R30" s="82"/>
      <c r="S30" s="82"/>
      <c r="T30" s="82"/>
      <c r="U30" s="82"/>
      <c r="V30" s="82"/>
      <c r="W30" s="82"/>
      <c r="X30" s="82"/>
      <c r="Y30" s="82"/>
    </row>
    <row r="31" spans="1:25" ht="16.5" customHeight="1" x14ac:dyDescent="0.3">
      <c r="A31" s="82"/>
      <c r="B31" s="82"/>
      <c r="C31" s="83"/>
      <c r="D31" s="82"/>
      <c r="E31" s="82"/>
      <c r="F31" s="82"/>
      <c r="G31" s="82"/>
      <c r="H31" s="82"/>
      <c r="I31" s="82"/>
      <c r="J31" s="82"/>
      <c r="K31" s="82"/>
      <c r="L31" s="82"/>
      <c r="M31" s="82"/>
      <c r="N31" s="82"/>
      <c r="O31" s="82"/>
      <c r="P31" s="82"/>
      <c r="Q31" s="82"/>
      <c r="R31" s="82"/>
      <c r="S31" s="82"/>
      <c r="T31" s="82"/>
      <c r="U31" s="82"/>
      <c r="V31" s="82"/>
      <c r="W31" s="82"/>
      <c r="X31" s="82"/>
      <c r="Y31" s="82"/>
    </row>
    <row r="32" spans="1:25" ht="16.5" customHeight="1" x14ac:dyDescent="0.3">
      <c r="A32" s="82"/>
      <c r="B32" s="82"/>
      <c r="C32" s="83"/>
      <c r="D32" s="82"/>
      <c r="E32" s="82"/>
      <c r="F32" s="82"/>
      <c r="G32" s="82"/>
      <c r="H32" s="82"/>
      <c r="I32" s="82"/>
      <c r="J32" s="82"/>
      <c r="K32" s="82"/>
      <c r="L32" s="82"/>
      <c r="M32" s="82"/>
      <c r="N32" s="82"/>
      <c r="O32" s="82"/>
      <c r="P32" s="82"/>
      <c r="Q32" s="82"/>
      <c r="R32" s="82"/>
      <c r="S32" s="82"/>
      <c r="T32" s="82"/>
      <c r="U32" s="82"/>
      <c r="V32" s="82"/>
      <c r="W32" s="82"/>
      <c r="X32" s="82"/>
      <c r="Y32" s="82"/>
    </row>
    <row r="33" spans="1:25" ht="16.5" customHeight="1" x14ac:dyDescent="0.3">
      <c r="A33" s="82"/>
      <c r="B33" s="82"/>
      <c r="C33" s="83"/>
      <c r="D33" s="82"/>
      <c r="E33" s="82"/>
      <c r="F33" s="82"/>
      <c r="G33" s="82"/>
      <c r="H33" s="82"/>
      <c r="I33" s="82"/>
      <c r="J33" s="82"/>
      <c r="K33" s="82"/>
      <c r="L33" s="82"/>
      <c r="M33" s="82"/>
      <c r="N33" s="82"/>
      <c r="O33" s="82"/>
      <c r="P33" s="82"/>
      <c r="Q33" s="82"/>
      <c r="R33" s="82"/>
      <c r="S33" s="82"/>
      <c r="T33" s="82"/>
      <c r="U33" s="82"/>
      <c r="V33" s="82"/>
      <c r="W33" s="82"/>
      <c r="X33" s="82"/>
      <c r="Y33" s="82"/>
    </row>
    <row r="34" spans="1:25" ht="16.5" customHeight="1" x14ac:dyDescent="0.3">
      <c r="A34" s="82"/>
      <c r="B34" s="82"/>
      <c r="C34" s="83"/>
      <c r="D34" s="82"/>
      <c r="E34" s="82"/>
      <c r="F34" s="82"/>
      <c r="G34" s="82"/>
      <c r="H34" s="82"/>
      <c r="I34" s="82"/>
      <c r="J34" s="82"/>
      <c r="K34" s="82"/>
      <c r="L34" s="82"/>
      <c r="M34" s="82"/>
      <c r="N34" s="82"/>
      <c r="O34" s="82"/>
      <c r="P34" s="82"/>
      <c r="Q34" s="82"/>
      <c r="R34" s="82"/>
      <c r="S34" s="82"/>
      <c r="T34" s="82"/>
      <c r="U34" s="82"/>
      <c r="V34" s="82"/>
      <c r="W34" s="82"/>
      <c r="X34" s="82"/>
      <c r="Y34" s="82"/>
    </row>
    <row r="35" spans="1:25" ht="16.5" customHeight="1" x14ac:dyDescent="0.3">
      <c r="A35" s="82"/>
      <c r="B35" s="82"/>
      <c r="C35" s="83"/>
      <c r="D35" s="82"/>
      <c r="E35" s="82"/>
      <c r="F35" s="82"/>
      <c r="G35" s="82"/>
      <c r="H35" s="82"/>
      <c r="I35" s="82"/>
      <c r="J35" s="82"/>
      <c r="K35" s="82"/>
      <c r="L35" s="82"/>
      <c r="M35" s="82"/>
      <c r="N35" s="82"/>
      <c r="O35" s="82"/>
      <c r="P35" s="82"/>
      <c r="Q35" s="82"/>
      <c r="R35" s="82"/>
      <c r="S35" s="82"/>
      <c r="T35" s="82"/>
      <c r="U35" s="82"/>
      <c r="V35" s="82"/>
      <c r="W35" s="82"/>
      <c r="X35" s="82"/>
      <c r="Y35" s="82"/>
    </row>
    <row r="36" spans="1:25" ht="16.5" customHeight="1" x14ac:dyDescent="0.3">
      <c r="A36" s="82"/>
      <c r="B36" s="82"/>
      <c r="C36" s="83"/>
      <c r="D36" s="82"/>
      <c r="E36" s="82"/>
      <c r="F36" s="82"/>
      <c r="G36" s="82"/>
      <c r="H36" s="82"/>
      <c r="I36" s="82"/>
      <c r="J36" s="82"/>
      <c r="K36" s="82"/>
      <c r="L36" s="82"/>
      <c r="M36" s="82"/>
      <c r="N36" s="82"/>
      <c r="O36" s="82"/>
      <c r="P36" s="82"/>
      <c r="Q36" s="82"/>
      <c r="R36" s="82"/>
      <c r="S36" s="82"/>
      <c r="T36" s="82"/>
      <c r="U36" s="82"/>
      <c r="V36" s="82"/>
      <c r="W36" s="82"/>
      <c r="X36" s="82"/>
      <c r="Y36" s="82"/>
    </row>
    <row r="37" spans="1:25" ht="16.5" customHeight="1" x14ac:dyDescent="0.3">
      <c r="A37" s="82"/>
      <c r="B37" s="82"/>
      <c r="C37" s="83"/>
      <c r="D37" s="82"/>
      <c r="E37" s="82"/>
      <c r="F37" s="82"/>
      <c r="G37" s="82"/>
      <c r="H37" s="82"/>
      <c r="I37" s="82"/>
      <c r="J37" s="82"/>
      <c r="K37" s="82"/>
      <c r="L37" s="82"/>
      <c r="M37" s="82"/>
      <c r="N37" s="82"/>
      <c r="O37" s="82"/>
      <c r="P37" s="82"/>
      <c r="Q37" s="82"/>
      <c r="R37" s="82"/>
      <c r="S37" s="82"/>
      <c r="T37" s="82"/>
      <c r="U37" s="82"/>
      <c r="V37" s="82"/>
      <c r="W37" s="82"/>
      <c r="X37" s="82"/>
      <c r="Y37" s="82"/>
    </row>
    <row r="38" spans="1:25" ht="16.5" customHeight="1" x14ac:dyDescent="0.3">
      <c r="A38" s="82"/>
      <c r="B38" s="82"/>
      <c r="C38" s="83"/>
      <c r="D38" s="82"/>
      <c r="E38" s="82"/>
      <c r="F38" s="82"/>
      <c r="G38" s="82"/>
      <c r="H38" s="82"/>
      <c r="I38" s="82"/>
      <c r="J38" s="82"/>
      <c r="K38" s="82"/>
      <c r="L38" s="82"/>
      <c r="M38" s="82"/>
      <c r="N38" s="82"/>
      <c r="O38" s="82"/>
      <c r="P38" s="82"/>
      <c r="Q38" s="82"/>
      <c r="R38" s="82"/>
      <c r="S38" s="82"/>
      <c r="T38" s="82"/>
      <c r="U38" s="82"/>
      <c r="V38" s="82"/>
      <c r="W38" s="82"/>
      <c r="X38" s="82"/>
      <c r="Y38" s="82"/>
    </row>
    <row r="39" spans="1:25" ht="16.5" customHeight="1" x14ac:dyDescent="0.3">
      <c r="A39" s="82"/>
      <c r="B39" s="82"/>
      <c r="C39" s="83"/>
      <c r="D39" s="82"/>
      <c r="E39" s="82"/>
      <c r="F39" s="82"/>
      <c r="G39" s="82"/>
      <c r="H39" s="82"/>
      <c r="I39" s="82"/>
      <c r="J39" s="82"/>
      <c r="K39" s="82"/>
      <c r="L39" s="82"/>
      <c r="M39" s="82"/>
      <c r="N39" s="82"/>
      <c r="O39" s="82"/>
      <c r="P39" s="82"/>
      <c r="Q39" s="82"/>
      <c r="R39" s="82"/>
      <c r="S39" s="82"/>
      <c r="T39" s="82"/>
      <c r="U39" s="82"/>
      <c r="V39" s="82"/>
      <c r="W39" s="82"/>
      <c r="X39" s="82"/>
      <c r="Y39" s="82"/>
    </row>
    <row r="40" spans="1:25" ht="16.5" customHeight="1" x14ac:dyDescent="0.3">
      <c r="A40" s="82"/>
      <c r="B40" s="82"/>
      <c r="C40" s="83"/>
      <c r="D40" s="82"/>
      <c r="E40" s="82"/>
      <c r="F40" s="82"/>
      <c r="G40" s="82"/>
      <c r="H40" s="82"/>
      <c r="I40" s="82"/>
      <c r="J40" s="82"/>
      <c r="K40" s="82"/>
      <c r="L40" s="82"/>
      <c r="M40" s="82"/>
      <c r="N40" s="82"/>
      <c r="O40" s="82"/>
      <c r="P40" s="82"/>
      <c r="Q40" s="82"/>
      <c r="R40" s="82"/>
      <c r="S40" s="82"/>
      <c r="T40" s="82"/>
      <c r="U40" s="82"/>
      <c r="V40" s="82"/>
      <c r="W40" s="82"/>
      <c r="X40" s="82"/>
      <c r="Y40" s="82"/>
    </row>
    <row r="41" spans="1:25" ht="16.5" customHeight="1" x14ac:dyDescent="0.3">
      <c r="A41" s="82"/>
      <c r="B41" s="82"/>
      <c r="C41" s="83"/>
      <c r="D41" s="82"/>
      <c r="E41" s="82"/>
      <c r="F41" s="82"/>
      <c r="G41" s="82"/>
      <c r="H41" s="82"/>
      <c r="I41" s="82"/>
      <c r="J41" s="82"/>
      <c r="K41" s="82"/>
      <c r="L41" s="82"/>
      <c r="M41" s="82"/>
      <c r="N41" s="82"/>
      <c r="O41" s="82"/>
      <c r="P41" s="82"/>
      <c r="Q41" s="82"/>
      <c r="R41" s="82"/>
      <c r="S41" s="82"/>
      <c r="T41" s="82"/>
      <c r="U41" s="82"/>
      <c r="V41" s="82"/>
      <c r="W41" s="82"/>
      <c r="X41" s="82"/>
      <c r="Y41" s="82"/>
    </row>
    <row r="42" spans="1:25" ht="16.5" customHeight="1" x14ac:dyDescent="0.3">
      <c r="A42" s="82"/>
      <c r="B42" s="82"/>
      <c r="C42" s="83"/>
      <c r="D42" s="82"/>
      <c r="E42" s="82"/>
      <c r="F42" s="82"/>
      <c r="G42" s="82"/>
      <c r="H42" s="82"/>
      <c r="I42" s="82"/>
      <c r="J42" s="82"/>
      <c r="K42" s="82"/>
      <c r="L42" s="82"/>
      <c r="M42" s="82"/>
      <c r="N42" s="82"/>
      <c r="O42" s="82"/>
      <c r="P42" s="82"/>
      <c r="Q42" s="82"/>
      <c r="R42" s="82"/>
      <c r="S42" s="82"/>
      <c r="T42" s="82"/>
      <c r="U42" s="82"/>
      <c r="V42" s="82"/>
      <c r="W42" s="82"/>
      <c r="X42" s="82"/>
      <c r="Y42" s="82"/>
    </row>
    <row r="43" spans="1:25" ht="16.5" customHeight="1" x14ac:dyDescent="0.3">
      <c r="A43" s="82"/>
      <c r="B43" s="82"/>
      <c r="C43" s="83"/>
      <c r="D43" s="82"/>
      <c r="E43" s="82"/>
      <c r="F43" s="82"/>
      <c r="G43" s="82"/>
      <c r="H43" s="82"/>
      <c r="I43" s="82"/>
      <c r="J43" s="82"/>
      <c r="K43" s="82"/>
      <c r="L43" s="82"/>
      <c r="M43" s="82"/>
      <c r="N43" s="82"/>
      <c r="O43" s="82"/>
      <c r="P43" s="82"/>
      <c r="Q43" s="82"/>
      <c r="R43" s="82"/>
      <c r="S43" s="82"/>
      <c r="T43" s="82"/>
      <c r="U43" s="82"/>
      <c r="V43" s="82"/>
      <c r="W43" s="82"/>
      <c r="X43" s="82"/>
      <c r="Y43" s="82"/>
    </row>
    <row r="44" spans="1:25" ht="16.5" customHeight="1" x14ac:dyDescent="0.3">
      <c r="A44" s="82"/>
      <c r="B44" s="82"/>
      <c r="C44" s="83"/>
      <c r="D44" s="82"/>
      <c r="E44" s="82"/>
      <c r="F44" s="82"/>
      <c r="G44" s="82"/>
      <c r="H44" s="82"/>
      <c r="I44" s="82"/>
      <c r="J44" s="82"/>
      <c r="K44" s="82"/>
      <c r="L44" s="82"/>
      <c r="M44" s="82"/>
      <c r="N44" s="82"/>
      <c r="O44" s="82"/>
      <c r="P44" s="82"/>
      <c r="Q44" s="82"/>
      <c r="R44" s="82"/>
      <c r="S44" s="82"/>
      <c r="T44" s="82"/>
      <c r="U44" s="82"/>
      <c r="V44" s="82"/>
      <c r="W44" s="82"/>
      <c r="X44" s="82"/>
      <c r="Y44" s="82"/>
    </row>
    <row r="45" spans="1:25" ht="16.5" customHeight="1" x14ac:dyDescent="0.3">
      <c r="A45" s="82"/>
      <c r="B45" s="82"/>
      <c r="C45" s="83"/>
      <c r="D45" s="82"/>
      <c r="E45" s="82"/>
      <c r="F45" s="82"/>
      <c r="G45" s="82"/>
      <c r="H45" s="82"/>
      <c r="I45" s="82"/>
      <c r="J45" s="82"/>
      <c r="K45" s="82"/>
      <c r="L45" s="82"/>
      <c r="M45" s="82"/>
      <c r="N45" s="82"/>
      <c r="O45" s="82"/>
      <c r="P45" s="82"/>
      <c r="Q45" s="82"/>
      <c r="R45" s="82"/>
      <c r="S45" s="82"/>
      <c r="T45" s="82"/>
      <c r="U45" s="82"/>
      <c r="V45" s="82"/>
      <c r="W45" s="82"/>
      <c r="X45" s="82"/>
      <c r="Y45" s="82"/>
    </row>
    <row r="46" spans="1:25" ht="16.5" customHeight="1" x14ac:dyDescent="0.3">
      <c r="A46" s="82"/>
      <c r="B46" s="82"/>
      <c r="C46" s="83"/>
      <c r="D46" s="82"/>
      <c r="E46" s="82"/>
      <c r="F46" s="82"/>
      <c r="G46" s="82"/>
      <c r="H46" s="82"/>
      <c r="I46" s="82"/>
      <c r="J46" s="82"/>
      <c r="K46" s="82"/>
      <c r="L46" s="82"/>
      <c r="M46" s="82"/>
      <c r="N46" s="82"/>
      <c r="O46" s="82"/>
      <c r="P46" s="82"/>
      <c r="Q46" s="82"/>
      <c r="R46" s="82"/>
      <c r="S46" s="82"/>
      <c r="T46" s="82"/>
      <c r="U46" s="82"/>
      <c r="V46" s="82"/>
      <c r="W46" s="82"/>
      <c r="X46" s="82"/>
      <c r="Y46" s="82"/>
    </row>
    <row r="47" spans="1:25" ht="16.5" customHeight="1" x14ac:dyDescent="0.3">
      <c r="A47" s="82"/>
      <c r="B47" s="82"/>
      <c r="C47" s="83"/>
      <c r="D47" s="82"/>
      <c r="E47" s="82"/>
      <c r="F47" s="82"/>
      <c r="G47" s="82"/>
      <c r="H47" s="82"/>
      <c r="I47" s="82"/>
      <c r="J47" s="82"/>
      <c r="K47" s="82"/>
      <c r="L47" s="82"/>
      <c r="M47" s="82"/>
      <c r="N47" s="82"/>
      <c r="O47" s="82"/>
      <c r="P47" s="82"/>
      <c r="Q47" s="82"/>
      <c r="R47" s="82"/>
      <c r="S47" s="82"/>
      <c r="T47" s="82"/>
      <c r="U47" s="82"/>
      <c r="V47" s="82"/>
      <c r="W47" s="82"/>
      <c r="X47" s="82"/>
      <c r="Y47" s="82"/>
    </row>
    <row r="48" spans="1:25" ht="16.5" customHeight="1" x14ac:dyDescent="0.3">
      <c r="A48" s="82"/>
      <c r="B48" s="82"/>
      <c r="C48" s="83"/>
      <c r="D48" s="82"/>
      <c r="E48" s="82"/>
      <c r="F48" s="82"/>
      <c r="G48" s="82"/>
      <c r="H48" s="82"/>
      <c r="I48" s="82"/>
      <c r="J48" s="82"/>
      <c r="K48" s="82"/>
      <c r="L48" s="82"/>
      <c r="M48" s="82"/>
      <c r="N48" s="82"/>
      <c r="O48" s="82"/>
      <c r="P48" s="82"/>
      <c r="Q48" s="82"/>
      <c r="R48" s="82"/>
      <c r="S48" s="82"/>
      <c r="T48" s="82"/>
      <c r="U48" s="82"/>
      <c r="V48" s="82"/>
      <c r="W48" s="82"/>
      <c r="X48" s="82"/>
      <c r="Y48" s="82"/>
    </row>
    <row r="49" spans="1:25" ht="16.5" customHeight="1" x14ac:dyDescent="0.3">
      <c r="A49" s="82"/>
      <c r="B49" s="82"/>
      <c r="C49" s="83"/>
      <c r="D49" s="82"/>
      <c r="E49" s="82"/>
      <c r="F49" s="82"/>
      <c r="G49" s="82"/>
      <c r="H49" s="82"/>
      <c r="I49" s="82"/>
      <c r="J49" s="82"/>
      <c r="K49" s="82"/>
      <c r="L49" s="82"/>
      <c r="M49" s="82"/>
      <c r="N49" s="82"/>
      <c r="O49" s="82"/>
      <c r="P49" s="82"/>
      <c r="Q49" s="82"/>
      <c r="R49" s="82"/>
      <c r="S49" s="82"/>
      <c r="T49" s="82"/>
      <c r="U49" s="82"/>
      <c r="V49" s="82"/>
      <c r="W49" s="82"/>
      <c r="X49" s="82"/>
      <c r="Y49" s="82"/>
    </row>
    <row r="50" spans="1:25" ht="16.5" customHeight="1" x14ac:dyDescent="0.3">
      <c r="A50" s="82"/>
      <c r="B50" s="82"/>
      <c r="C50" s="83"/>
      <c r="D50" s="82"/>
      <c r="E50" s="82"/>
      <c r="F50" s="82"/>
      <c r="G50" s="82"/>
      <c r="H50" s="82"/>
      <c r="I50" s="82"/>
      <c r="J50" s="82"/>
      <c r="K50" s="82"/>
      <c r="L50" s="82"/>
      <c r="M50" s="82"/>
      <c r="N50" s="82"/>
      <c r="O50" s="82"/>
      <c r="P50" s="82"/>
      <c r="Q50" s="82"/>
      <c r="R50" s="82"/>
      <c r="S50" s="82"/>
      <c r="T50" s="82"/>
      <c r="U50" s="82"/>
      <c r="V50" s="82"/>
      <c r="W50" s="82"/>
      <c r="X50" s="82"/>
      <c r="Y50" s="82"/>
    </row>
    <row r="51" spans="1:25" ht="16.5" customHeight="1" x14ac:dyDescent="0.3">
      <c r="A51" s="82"/>
      <c r="B51" s="82"/>
      <c r="C51" s="83"/>
      <c r="D51" s="82"/>
      <c r="E51" s="82"/>
      <c r="F51" s="82"/>
      <c r="G51" s="82"/>
      <c r="H51" s="82"/>
      <c r="I51" s="82"/>
      <c r="J51" s="82"/>
      <c r="K51" s="82"/>
      <c r="L51" s="82"/>
      <c r="M51" s="82"/>
      <c r="N51" s="82"/>
      <c r="O51" s="82"/>
      <c r="P51" s="82"/>
      <c r="Q51" s="82"/>
      <c r="R51" s="82"/>
      <c r="S51" s="82"/>
      <c r="T51" s="82"/>
      <c r="U51" s="82"/>
      <c r="V51" s="82"/>
      <c r="W51" s="82"/>
      <c r="X51" s="82"/>
      <c r="Y51" s="82"/>
    </row>
    <row r="52" spans="1:25" ht="16.5" customHeight="1" x14ac:dyDescent="0.3">
      <c r="A52" s="82"/>
      <c r="B52" s="82"/>
      <c r="C52" s="83"/>
      <c r="D52" s="82"/>
      <c r="E52" s="82"/>
      <c r="F52" s="82"/>
      <c r="G52" s="82"/>
      <c r="H52" s="82"/>
      <c r="I52" s="82"/>
      <c r="J52" s="82"/>
      <c r="K52" s="82"/>
      <c r="L52" s="82"/>
      <c r="M52" s="82"/>
      <c r="N52" s="82"/>
      <c r="O52" s="82"/>
      <c r="P52" s="82"/>
      <c r="Q52" s="82"/>
      <c r="R52" s="82"/>
      <c r="S52" s="82"/>
      <c r="T52" s="82"/>
      <c r="U52" s="82"/>
      <c r="V52" s="82"/>
      <c r="W52" s="82"/>
      <c r="X52" s="82"/>
      <c r="Y52" s="82"/>
    </row>
    <row r="53" spans="1:25" ht="16.5" customHeight="1" x14ac:dyDescent="0.3">
      <c r="A53" s="82"/>
      <c r="B53" s="82"/>
      <c r="C53" s="83"/>
      <c r="D53" s="82"/>
      <c r="E53" s="82"/>
      <c r="F53" s="82"/>
      <c r="G53" s="82"/>
      <c r="H53" s="82"/>
      <c r="I53" s="82"/>
      <c r="J53" s="82"/>
      <c r="K53" s="82"/>
      <c r="L53" s="82"/>
      <c r="M53" s="82"/>
      <c r="N53" s="82"/>
      <c r="O53" s="82"/>
      <c r="P53" s="82"/>
      <c r="Q53" s="82"/>
      <c r="R53" s="82"/>
      <c r="S53" s="82"/>
      <c r="T53" s="82"/>
      <c r="U53" s="82"/>
      <c r="V53" s="82"/>
      <c r="W53" s="82"/>
      <c r="X53" s="82"/>
      <c r="Y53" s="82"/>
    </row>
    <row r="54" spans="1:25" ht="16.5" customHeight="1" x14ac:dyDescent="0.3">
      <c r="A54" s="82"/>
      <c r="B54" s="82"/>
      <c r="C54" s="83"/>
      <c r="D54" s="82"/>
      <c r="E54" s="82"/>
      <c r="F54" s="82"/>
      <c r="G54" s="82"/>
      <c r="H54" s="82"/>
      <c r="I54" s="82"/>
      <c r="J54" s="82"/>
      <c r="K54" s="82"/>
      <c r="L54" s="82"/>
      <c r="M54" s="82"/>
      <c r="N54" s="82"/>
      <c r="O54" s="82"/>
      <c r="P54" s="82"/>
      <c r="Q54" s="82"/>
      <c r="R54" s="82"/>
      <c r="S54" s="82"/>
      <c r="T54" s="82"/>
      <c r="U54" s="82"/>
      <c r="V54" s="82"/>
      <c r="W54" s="82"/>
      <c r="X54" s="82"/>
      <c r="Y54" s="82"/>
    </row>
    <row r="55" spans="1:25" ht="16.5" customHeight="1" x14ac:dyDescent="0.3">
      <c r="A55" s="82"/>
      <c r="B55" s="82"/>
      <c r="C55" s="83"/>
      <c r="D55" s="82"/>
      <c r="E55" s="82"/>
      <c r="F55" s="82"/>
      <c r="G55" s="82"/>
      <c r="H55" s="82"/>
      <c r="I55" s="82"/>
      <c r="J55" s="82"/>
      <c r="K55" s="82"/>
      <c r="L55" s="82"/>
      <c r="M55" s="82"/>
      <c r="N55" s="82"/>
      <c r="O55" s="82"/>
      <c r="P55" s="82"/>
      <c r="Q55" s="82"/>
      <c r="R55" s="82"/>
      <c r="S55" s="82"/>
      <c r="T55" s="82"/>
      <c r="U55" s="82"/>
      <c r="V55" s="82"/>
      <c r="W55" s="82"/>
      <c r="X55" s="82"/>
      <c r="Y55" s="82"/>
    </row>
    <row r="56" spans="1:25" ht="16.5" customHeight="1" x14ac:dyDescent="0.3">
      <c r="A56" s="82"/>
      <c r="B56" s="82"/>
      <c r="C56" s="83"/>
      <c r="D56" s="82"/>
      <c r="E56" s="82"/>
      <c r="F56" s="82"/>
      <c r="G56" s="82"/>
      <c r="H56" s="82"/>
      <c r="I56" s="82"/>
      <c r="J56" s="82"/>
      <c r="K56" s="82"/>
      <c r="L56" s="82"/>
      <c r="M56" s="82"/>
      <c r="N56" s="82"/>
      <c r="O56" s="82"/>
      <c r="P56" s="82"/>
      <c r="Q56" s="82"/>
      <c r="R56" s="82"/>
      <c r="S56" s="82"/>
      <c r="T56" s="82"/>
      <c r="U56" s="82"/>
      <c r="V56" s="82"/>
      <c r="W56" s="82"/>
      <c r="X56" s="82"/>
      <c r="Y56" s="82"/>
    </row>
    <row r="57" spans="1:25" ht="16.5" customHeight="1" x14ac:dyDescent="0.3">
      <c r="A57" s="82"/>
      <c r="B57" s="82"/>
      <c r="C57" s="83"/>
      <c r="D57" s="82"/>
      <c r="E57" s="82"/>
      <c r="F57" s="82"/>
      <c r="G57" s="82"/>
      <c r="H57" s="82"/>
      <c r="I57" s="82"/>
      <c r="J57" s="82"/>
      <c r="K57" s="82"/>
      <c r="L57" s="82"/>
      <c r="M57" s="82"/>
      <c r="N57" s="82"/>
      <c r="O57" s="82"/>
      <c r="P57" s="82"/>
      <c r="Q57" s="82"/>
      <c r="R57" s="82"/>
      <c r="S57" s="82"/>
      <c r="T57" s="82"/>
      <c r="U57" s="82"/>
      <c r="V57" s="82"/>
      <c r="W57" s="82"/>
      <c r="X57" s="82"/>
      <c r="Y57" s="82"/>
    </row>
    <row r="58" spans="1:25" ht="16.5" customHeight="1" x14ac:dyDescent="0.3">
      <c r="A58" s="82"/>
      <c r="B58" s="82"/>
      <c r="C58" s="83"/>
      <c r="D58" s="82"/>
      <c r="E58" s="82"/>
      <c r="F58" s="82"/>
      <c r="G58" s="82"/>
      <c r="H58" s="82"/>
      <c r="I58" s="82"/>
      <c r="J58" s="82"/>
      <c r="K58" s="82"/>
      <c r="L58" s="82"/>
      <c r="M58" s="82"/>
      <c r="N58" s="82"/>
      <c r="O58" s="82"/>
      <c r="P58" s="82"/>
      <c r="Q58" s="82"/>
      <c r="R58" s="82"/>
      <c r="S58" s="82"/>
      <c r="T58" s="82"/>
      <c r="U58" s="82"/>
      <c r="V58" s="82"/>
      <c r="W58" s="82"/>
      <c r="X58" s="82"/>
      <c r="Y58" s="82"/>
    </row>
    <row r="59" spans="1:25" ht="16.5" customHeight="1" x14ac:dyDescent="0.3">
      <c r="A59" s="82"/>
      <c r="B59" s="82"/>
      <c r="C59" s="83"/>
      <c r="D59" s="82"/>
      <c r="E59" s="82"/>
      <c r="F59" s="82"/>
      <c r="G59" s="82"/>
      <c r="H59" s="82"/>
      <c r="I59" s="82"/>
      <c r="J59" s="82"/>
      <c r="K59" s="82"/>
      <c r="L59" s="82"/>
      <c r="M59" s="82"/>
      <c r="N59" s="82"/>
      <c r="O59" s="82"/>
      <c r="P59" s="82"/>
      <c r="Q59" s="82"/>
      <c r="R59" s="82"/>
      <c r="S59" s="82"/>
      <c r="T59" s="82"/>
      <c r="U59" s="82"/>
      <c r="V59" s="82"/>
      <c r="W59" s="82"/>
      <c r="X59" s="82"/>
      <c r="Y59" s="82"/>
    </row>
    <row r="60" spans="1:25" ht="16.5" customHeight="1" x14ac:dyDescent="0.3">
      <c r="A60" s="82"/>
      <c r="B60" s="82"/>
      <c r="C60" s="83"/>
      <c r="D60" s="82"/>
      <c r="E60" s="82"/>
      <c r="F60" s="82"/>
      <c r="G60" s="82"/>
      <c r="H60" s="82"/>
      <c r="I60" s="82"/>
      <c r="J60" s="82"/>
      <c r="K60" s="82"/>
      <c r="L60" s="82"/>
      <c r="M60" s="82"/>
      <c r="N60" s="82"/>
      <c r="O60" s="82"/>
      <c r="P60" s="82"/>
      <c r="Q60" s="82"/>
      <c r="R60" s="82"/>
      <c r="S60" s="82"/>
      <c r="T60" s="82"/>
      <c r="U60" s="82"/>
      <c r="V60" s="82"/>
      <c r="W60" s="82"/>
      <c r="X60" s="82"/>
      <c r="Y60" s="82"/>
    </row>
    <row r="61" spans="1:25" ht="16.5" customHeight="1" x14ac:dyDescent="0.3">
      <c r="A61" s="82"/>
      <c r="B61" s="82"/>
      <c r="C61" s="83"/>
      <c r="D61" s="82"/>
      <c r="E61" s="82"/>
      <c r="F61" s="82"/>
      <c r="G61" s="82"/>
      <c r="H61" s="82"/>
      <c r="I61" s="82"/>
      <c r="J61" s="82"/>
      <c r="K61" s="82"/>
      <c r="L61" s="82"/>
      <c r="M61" s="82"/>
      <c r="N61" s="82"/>
      <c r="O61" s="82"/>
      <c r="P61" s="82"/>
      <c r="Q61" s="82"/>
      <c r="R61" s="82"/>
      <c r="S61" s="82"/>
      <c r="T61" s="82"/>
      <c r="U61" s="82"/>
      <c r="V61" s="82"/>
      <c r="W61" s="82"/>
      <c r="X61" s="82"/>
      <c r="Y61" s="82"/>
    </row>
    <row r="62" spans="1:25" ht="16.5" customHeight="1" x14ac:dyDescent="0.3">
      <c r="A62" s="82"/>
      <c r="B62" s="82"/>
      <c r="C62" s="83"/>
      <c r="D62" s="82"/>
      <c r="E62" s="82"/>
      <c r="F62" s="82"/>
      <c r="G62" s="82"/>
      <c r="H62" s="82"/>
      <c r="I62" s="82"/>
      <c r="J62" s="82"/>
      <c r="K62" s="82"/>
      <c r="L62" s="82"/>
      <c r="M62" s="82"/>
      <c r="N62" s="82"/>
      <c r="O62" s="82"/>
      <c r="P62" s="82"/>
      <c r="Q62" s="82"/>
      <c r="R62" s="82"/>
      <c r="S62" s="82"/>
      <c r="T62" s="82"/>
      <c r="U62" s="82"/>
      <c r="V62" s="82"/>
      <c r="W62" s="82"/>
      <c r="X62" s="82"/>
      <c r="Y62" s="82"/>
    </row>
    <row r="63" spans="1:25" ht="16.5" customHeight="1" x14ac:dyDescent="0.3">
      <c r="A63" s="82"/>
      <c r="B63" s="82"/>
      <c r="C63" s="83"/>
      <c r="D63" s="82"/>
      <c r="E63" s="82"/>
      <c r="F63" s="82"/>
      <c r="G63" s="82"/>
      <c r="H63" s="82"/>
      <c r="I63" s="82"/>
      <c r="J63" s="82"/>
      <c r="K63" s="82"/>
      <c r="L63" s="82"/>
      <c r="M63" s="82"/>
      <c r="N63" s="82"/>
      <c r="O63" s="82"/>
      <c r="P63" s="82"/>
      <c r="Q63" s="82"/>
      <c r="R63" s="82"/>
      <c r="S63" s="82"/>
      <c r="T63" s="82"/>
      <c r="U63" s="82"/>
      <c r="V63" s="82"/>
      <c r="W63" s="82"/>
      <c r="X63" s="82"/>
      <c r="Y63" s="82"/>
    </row>
    <row r="64" spans="1:25" ht="16.5" customHeight="1" x14ac:dyDescent="0.3">
      <c r="A64" s="82"/>
      <c r="B64" s="82"/>
      <c r="C64" s="83"/>
      <c r="D64" s="82"/>
      <c r="E64" s="82"/>
      <c r="F64" s="82"/>
      <c r="G64" s="82"/>
      <c r="H64" s="82"/>
      <c r="I64" s="82"/>
      <c r="J64" s="82"/>
      <c r="K64" s="82"/>
      <c r="L64" s="82"/>
      <c r="M64" s="82"/>
      <c r="N64" s="82"/>
      <c r="O64" s="82"/>
      <c r="P64" s="82"/>
      <c r="Q64" s="82"/>
      <c r="R64" s="82"/>
      <c r="S64" s="82"/>
      <c r="T64" s="82"/>
      <c r="U64" s="82"/>
      <c r="V64" s="82"/>
      <c r="W64" s="82"/>
      <c r="X64" s="82"/>
      <c r="Y64" s="82"/>
    </row>
    <row r="65" spans="1:25" ht="16.5" customHeight="1" x14ac:dyDescent="0.3">
      <c r="A65" s="82"/>
      <c r="B65" s="82"/>
      <c r="C65" s="83"/>
      <c r="D65" s="82"/>
      <c r="E65" s="82"/>
      <c r="F65" s="82"/>
      <c r="G65" s="82"/>
      <c r="H65" s="82"/>
      <c r="I65" s="82"/>
      <c r="J65" s="82"/>
      <c r="K65" s="82"/>
      <c r="L65" s="82"/>
      <c r="M65" s="82"/>
      <c r="N65" s="82"/>
      <c r="O65" s="82"/>
      <c r="P65" s="82"/>
      <c r="Q65" s="82"/>
      <c r="R65" s="82"/>
      <c r="S65" s="82"/>
      <c r="T65" s="82"/>
      <c r="U65" s="82"/>
      <c r="V65" s="82"/>
      <c r="W65" s="82"/>
      <c r="X65" s="82"/>
      <c r="Y65" s="82"/>
    </row>
    <row r="66" spans="1:25" ht="16.5" customHeight="1" x14ac:dyDescent="0.3">
      <c r="A66" s="82"/>
      <c r="B66" s="82"/>
      <c r="C66" s="83"/>
      <c r="D66" s="82"/>
      <c r="E66" s="82"/>
      <c r="F66" s="82"/>
      <c r="G66" s="82"/>
      <c r="H66" s="82"/>
      <c r="I66" s="82"/>
      <c r="J66" s="82"/>
      <c r="K66" s="82"/>
      <c r="L66" s="82"/>
      <c r="M66" s="82"/>
      <c r="N66" s="82"/>
      <c r="O66" s="82"/>
      <c r="P66" s="82"/>
      <c r="Q66" s="82"/>
      <c r="R66" s="82"/>
      <c r="S66" s="82"/>
      <c r="T66" s="82"/>
      <c r="U66" s="82"/>
      <c r="V66" s="82"/>
      <c r="W66" s="82"/>
      <c r="X66" s="82"/>
      <c r="Y66" s="82"/>
    </row>
    <row r="67" spans="1:25" ht="16.5" customHeight="1" x14ac:dyDescent="0.3">
      <c r="A67" s="82"/>
      <c r="B67" s="82"/>
      <c r="C67" s="83"/>
      <c r="D67" s="82"/>
      <c r="E67" s="82"/>
      <c r="F67" s="82"/>
      <c r="G67" s="82"/>
      <c r="H67" s="82"/>
      <c r="I67" s="82"/>
      <c r="J67" s="82"/>
      <c r="K67" s="82"/>
      <c r="L67" s="82"/>
      <c r="M67" s="82"/>
      <c r="N67" s="82"/>
      <c r="O67" s="82"/>
      <c r="P67" s="82"/>
      <c r="Q67" s="82"/>
      <c r="R67" s="82"/>
      <c r="S67" s="82"/>
      <c r="T67" s="82"/>
      <c r="U67" s="82"/>
      <c r="V67" s="82"/>
      <c r="W67" s="82"/>
      <c r="X67" s="82"/>
      <c r="Y67" s="82"/>
    </row>
    <row r="68" spans="1:25" ht="16.5" customHeight="1" x14ac:dyDescent="0.3">
      <c r="A68" s="82"/>
      <c r="B68" s="82"/>
      <c r="C68" s="83"/>
      <c r="D68" s="82"/>
      <c r="E68" s="82"/>
      <c r="F68" s="82"/>
      <c r="G68" s="82"/>
      <c r="H68" s="82"/>
      <c r="I68" s="82"/>
      <c r="J68" s="82"/>
      <c r="K68" s="82"/>
      <c r="L68" s="82"/>
      <c r="M68" s="82"/>
      <c r="N68" s="82"/>
      <c r="O68" s="82"/>
      <c r="P68" s="82"/>
      <c r="Q68" s="82"/>
      <c r="R68" s="82"/>
      <c r="S68" s="82"/>
      <c r="T68" s="82"/>
      <c r="U68" s="82"/>
      <c r="V68" s="82"/>
      <c r="W68" s="82"/>
      <c r="X68" s="82"/>
      <c r="Y68" s="82"/>
    </row>
    <row r="69" spans="1:25" ht="16.5" customHeight="1" x14ac:dyDescent="0.3">
      <c r="A69" s="82"/>
      <c r="B69" s="82"/>
      <c r="C69" s="83"/>
      <c r="D69" s="82"/>
      <c r="E69" s="82"/>
      <c r="F69" s="82"/>
      <c r="G69" s="82"/>
      <c r="H69" s="82"/>
      <c r="I69" s="82"/>
      <c r="J69" s="82"/>
      <c r="K69" s="82"/>
      <c r="L69" s="82"/>
      <c r="M69" s="82"/>
      <c r="N69" s="82"/>
      <c r="O69" s="82"/>
      <c r="P69" s="82"/>
      <c r="Q69" s="82"/>
      <c r="R69" s="82"/>
      <c r="S69" s="82"/>
      <c r="T69" s="82"/>
      <c r="U69" s="82"/>
      <c r="V69" s="82"/>
      <c r="W69" s="82"/>
      <c r="X69" s="82"/>
      <c r="Y69" s="82"/>
    </row>
    <row r="70" spans="1:25" ht="16.5" customHeight="1" x14ac:dyDescent="0.3">
      <c r="A70" s="82"/>
      <c r="B70" s="82"/>
      <c r="C70" s="83"/>
      <c r="D70" s="82"/>
      <c r="E70" s="82"/>
      <c r="F70" s="82"/>
      <c r="G70" s="82"/>
      <c r="H70" s="82"/>
      <c r="I70" s="82"/>
      <c r="J70" s="82"/>
      <c r="K70" s="82"/>
      <c r="L70" s="82"/>
      <c r="M70" s="82"/>
      <c r="N70" s="82"/>
      <c r="O70" s="82"/>
      <c r="P70" s="82"/>
      <c r="Q70" s="82"/>
      <c r="R70" s="82"/>
      <c r="S70" s="82"/>
      <c r="T70" s="82"/>
      <c r="U70" s="82"/>
      <c r="V70" s="82"/>
      <c r="W70" s="82"/>
      <c r="X70" s="82"/>
      <c r="Y70" s="82"/>
    </row>
    <row r="71" spans="1:25" ht="16.5" customHeight="1" x14ac:dyDescent="0.3">
      <c r="A71" s="82"/>
      <c r="B71" s="82"/>
      <c r="C71" s="83"/>
      <c r="D71" s="82"/>
      <c r="E71" s="82"/>
      <c r="F71" s="82"/>
      <c r="G71" s="82"/>
      <c r="H71" s="82"/>
      <c r="I71" s="82"/>
      <c r="J71" s="82"/>
      <c r="K71" s="82"/>
      <c r="L71" s="82"/>
      <c r="M71" s="82"/>
      <c r="N71" s="82"/>
      <c r="O71" s="82"/>
      <c r="P71" s="82"/>
      <c r="Q71" s="82"/>
      <c r="R71" s="82"/>
      <c r="S71" s="82"/>
      <c r="T71" s="82"/>
      <c r="U71" s="82"/>
      <c r="V71" s="82"/>
      <c r="W71" s="82"/>
      <c r="X71" s="82"/>
      <c r="Y71" s="82"/>
    </row>
    <row r="72" spans="1:25" ht="16.5" customHeight="1" x14ac:dyDescent="0.3">
      <c r="A72" s="82"/>
      <c r="B72" s="82"/>
      <c r="C72" s="83"/>
      <c r="D72" s="82"/>
      <c r="E72" s="82"/>
      <c r="F72" s="82"/>
      <c r="G72" s="82"/>
      <c r="H72" s="82"/>
      <c r="I72" s="82"/>
      <c r="J72" s="82"/>
      <c r="K72" s="82"/>
      <c r="L72" s="82"/>
      <c r="M72" s="82"/>
      <c r="N72" s="82"/>
      <c r="O72" s="82"/>
      <c r="P72" s="82"/>
      <c r="Q72" s="82"/>
      <c r="R72" s="82"/>
      <c r="S72" s="82"/>
      <c r="T72" s="82"/>
      <c r="U72" s="82"/>
      <c r="V72" s="82"/>
      <c r="W72" s="82"/>
      <c r="X72" s="82"/>
      <c r="Y72" s="82"/>
    </row>
    <row r="73" spans="1:25" ht="16.5" customHeight="1" x14ac:dyDescent="0.3">
      <c r="A73" s="82"/>
      <c r="B73" s="82"/>
      <c r="C73" s="83"/>
      <c r="D73" s="82"/>
      <c r="E73" s="82"/>
      <c r="F73" s="82"/>
      <c r="G73" s="82"/>
      <c r="H73" s="82"/>
      <c r="I73" s="82"/>
      <c r="J73" s="82"/>
      <c r="K73" s="82"/>
      <c r="L73" s="82"/>
      <c r="M73" s="82"/>
      <c r="N73" s="82"/>
      <c r="O73" s="82"/>
      <c r="P73" s="82"/>
      <c r="Q73" s="82"/>
      <c r="R73" s="82"/>
      <c r="S73" s="82"/>
      <c r="T73" s="82"/>
      <c r="U73" s="82"/>
      <c r="V73" s="82"/>
      <c r="W73" s="82"/>
      <c r="X73" s="82"/>
      <c r="Y73" s="82"/>
    </row>
    <row r="74" spans="1:25" ht="16.5" customHeight="1" x14ac:dyDescent="0.3">
      <c r="A74" s="82"/>
      <c r="B74" s="82"/>
      <c r="C74" s="83"/>
      <c r="D74" s="82"/>
      <c r="E74" s="82"/>
      <c r="F74" s="82"/>
      <c r="G74" s="82"/>
      <c r="H74" s="82"/>
      <c r="I74" s="82"/>
      <c r="J74" s="82"/>
      <c r="K74" s="82"/>
      <c r="L74" s="82"/>
      <c r="M74" s="82"/>
      <c r="N74" s="82"/>
      <c r="O74" s="82"/>
      <c r="P74" s="82"/>
      <c r="Q74" s="82"/>
      <c r="R74" s="82"/>
      <c r="S74" s="82"/>
      <c r="T74" s="82"/>
      <c r="U74" s="82"/>
      <c r="V74" s="82"/>
      <c r="W74" s="82"/>
      <c r="X74" s="82"/>
      <c r="Y74" s="82"/>
    </row>
    <row r="75" spans="1:25" ht="16.5" customHeight="1" x14ac:dyDescent="0.3">
      <c r="A75" s="82"/>
      <c r="B75" s="82"/>
      <c r="C75" s="83"/>
      <c r="D75" s="82"/>
      <c r="E75" s="82"/>
      <c r="F75" s="82"/>
      <c r="G75" s="82"/>
      <c r="H75" s="82"/>
      <c r="I75" s="82"/>
      <c r="J75" s="82"/>
      <c r="K75" s="82"/>
      <c r="L75" s="82"/>
      <c r="M75" s="82"/>
      <c r="N75" s="82"/>
      <c r="O75" s="82"/>
      <c r="P75" s="82"/>
      <c r="Q75" s="82"/>
      <c r="R75" s="82"/>
      <c r="S75" s="82"/>
      <c r="T75" s="82"/>
      <c r="U75" s="82"/>
      <c r="V75" s="82"/>
      <c r="W75" s="82"/>
      <c r="X75" s="82"/>
      <c r="Y75" s="82"/>
    </row>
    <row r="76" spans="1:25" ht="16.5" customHeight="1" x14ac:dyDescent="0.3">
      <c r="A76" s="82"/>
      <c r="B76" s="82"/>
      <c r="C76" s="83"/>
      <c r="D76" s="82"/>
      <c r="E76" s="82"/>
      <c r="F76" s="82"/>
      <c r="G76" s="82"/>
      <c r="H76" s="82"/>
      <c r="I76" s="82"/>
      <c r="J76" s="82"/>
      <c r="K76" s="82"/>
      <c r="L76" s="82"/>
      <c r="M76" s="82"/>
      <c r="N76" s="82"/>
      <c r="O76" s="82"/>
      <c r="P76" s="82"/>
      <c r="Q76" s="82"/>
      <c r="R76" s="82"/>
      <c r="S76" s="82"/>
      <c r="T76" s="82"/>
      <c r="U76" s="82"/>
      <c r="V76" s="82"/>
      <c r="W76" s="82"/>
      <c r="X76" s="82"/>
      <c r="Y76" s="82"/>
    </row>
    <row r="77" spans="1:25" ht="16.5" customHeight="1" x14ac:dyDescent="0.3">
      <c r="A77" s="82"/>
      <c r="B77" s="82"/>
      <c r="C77" s="83"/>
      <c r="D77" s="82"/>
      <c r="E77" s="82"/>
      <c r="F77" s="82"/>
      <c r="G77" s="82"/>
      <c r="H77" s="82"/>
      <c r="I77" s="82"/>
      <c r="J77" s="82"/>
      <c r="K77" s="82"/>
      <c r="L77" s="82"/>
      <c r="M77" s="82"/>
      <c r="N77" s="82"/>
      <c r="O77" s="82"/>
      <c r="P77" s="82"/>
      <c r="Q77" s="82"/>
      <c r="R77" s="82"/>
      <c r="S77" s="82"/>
      <c r="T77" s="82"/>
      <c r="U77" s="82"/>
      <c r="V77" s="82"/>
      <c r="W77" s="82"/>
      <c r="X77" s="82"/>
      <c r="Y77" s="82"/>
    </row>
    <row r="78" spans="1:25" ht="16.5" customHeight="1" x14ac:dyDescent="0.3">
      <c r="A78" s="82"/>
      <c r="B78" s="82"/>
      <c r="C78" s="83"/>
      <c r="D78" s="82"/>
      <c r="E78" s="82"/>
      <c r="F78" s="82"/>
      <c r="G78" s="82"/>
      <c r="H78" s="82"/>
      <c r="I78" s="82"/>
      <c r="J78" s="82"/>
      <c r="K78" s="82"/>
      <c r="L78" s="82"/>
      <c r="M78" s="82"/>
      <c r="N78" s="82"/>
      <c r="O78" s="82"/>
      <c r="P78" s="82"/>
      <c r="Q78" s="82"/>
      <c r="R78" s="82"/>
      <c r="S78" s="82"/>
      <c r="T78" s="82"/>
      <c r="U78" s="82"/>
      <c r="V78" s="82"/>
      <c r="W78" s="82"/>
      <c r="X78" s="82"/>
      <c r="Y78" s="82"/>
    </row>
    <row r="79" spans="1:25" ht="16.5" customHeight="1" x14ac:dyDescent="0.3">
      <c r="A79" s="82"/>
      <c r="B79" s="82"/>
      <c r="C79" s="83"/>
      <c r="D79" s="82"/>
      <c r="E79" s="82"/>
      <c r="F79" s="82"/>
      <c r="G79" s="82"/>
      <c r="H79" s="82"/>
      <c r="I79" s="82"/>
      <c r="J79" s="82"/>
      <c r="K79" s="82"/>
      <c r="L79" s="82"/>
      <c r="M79" s="82"/>
      <c r="N79" s="82"/>
      <c r="O79" s="82"/>
      <c r="P79" s="82"/>
      <c r="Q79" s="82"/>
      <c r="R79" s="82"/>
      <c r="S79" s="82"/>
      <c r="T79" s="82"/>
      <c r="U79" s="82"/>
      <c r="V79" s="82"/>
      <c r="W79" s="82"/>
      <c r="X79" s="82"/>
      <c r="Y79" s="82"/>
    </row>
    <row r="80" spans="1:25" ht="16.5" customHeight="1" x14ac:dyDescent="0.3">
      <c r="A80" s="82"/>
      <c r="B80" s="82"/>
      <c r="C80" s="83"/>
      <c r="D80" s="82"/>
      <c r="E80" s="82"/>
      <c r="F80" s="82"/>
      <c r="G80" s="82"/>
      <c r="H80" s="82"/>
      <c r="I80" s="82"/>
      <c r="J80" s="82"/>
      <c r="K80" s="82"/>
      <c r="L80" s="82"/>
      <c r="M80" s="82"/>
      <c r="N80" s="82"/>
      <c r="O80" s="82"/>
      <c r="P80" s="82"/>
      <c r="Q80" s="82"/>
      <c r="R80" s="82"/>
      <c r="S80" s="82"/>
      <c r="T80" s="82"/>
      <c r="U80" s="82"/>
      <c r="V80" s="82"/>
      <c r="W80" s="82"/>
      <c r="X80" s="82"/>
      <c r="Y80" s="82"/>
    </row>
    <row r="81" spans="1:25" ht="16.5" customHeight="1" x14ac:dyDescent="0.3">
      <c r="A81" s="82"/>
      <c r="B81" s="82"/>
      <c r="C81" s="83"/>
      <c r="D81" s="82"/>
      <c r="E81" s="82"/>
      <c r="F81" s="82"/>
      <c r="G81" s="82"/>
      <c r="H81" s="82"/>
      <c r="I81" s="82"/>
      <c r="J81" s="82"/>
      <c r="K81" s="82"/>
      <c r="L81" s="82"/>
      <c r="M81" s="82"/>
      <c r="N81" s="82"/>
      <c r="O81" s="82"/>
      <c r="P81" s="82"/>
      <c r="Q81" s="82"/>
      <c r="R81" s="82"/>
      <c r="S81" s="82"/>
      <c r="T81" s="82"/>
      <c r="U81" s="82"/>
      <c r="V81" s="82"/>
      <c r="W81" s="82"/>
      <c r="X81" s="82"/>
      <c r="Y81" s="82"/>
    </row>
    <row r="82" spans="1:25" ht="16.5" customHeight="1" x14ac:dyDescent="0.3">
      <c r="A82" s="82"/>
      <c r="B82" s="82"/>
      <c r="C82" s="83"/>
      <c r="D82" s="82"/>
      <c r="E82" s="82"/>
      <c r="F82" s="82"/>
      <c r="G82" s="82"/>
      <c r="H82" s="82"/>
      <c r="I82" s="82"/>
      <c r="J82" s="82"/>
      <c r="K82" s="82"/>
      <c r="L82" s="82"/>
      <c r="M82" s="82"/>
      <c r="N82" s="82"/>
      <c r="O82" s="82"/>
      <c r="P82" s="82"/>
      <c r="Q82" s="82"/>
      <c r="R82" s="82"/>
      <c r="S82" s="82"/>
      <c r="T82" s="82"/>
      <c r="U82" s="82"/>
      <c r="V82" s="82"/>
      <c r="W82" s="82"/>
      <c r="X82" s="82"/>
      <c r="Y82" s="82"/>
    </row>
    <row r="83" spans="1:25" ht="16.5" customHeight="1" x14ac:dyDescent="0.3">
      <c r="A83" s="82"/>
      <c r="B83" s="82"/>
      <c r="C83" s="83"/>
      <c r="D83" s="82"/>
      <c r="E83" s="82"/>
      <c r="F83" s="82"/>
      <c r="G83" s="82"/>
      <c r="H83" s="82"/>
      <c r="I83" s="82"/>
      <c r="J83" s="82"/>
      <c r="K83" s="82"/>
      <c r="L83" s="82"/>
      <c r="M83" s="82"/>
      <c r="N83" s="82"/>
      <c r="O83" s="82"/>
      <c r="P83" s="82"/>
      <c r="Q83" s="82"/>
      <c r="R83" s="82"/>
      <c r="S83" s="82"/>
      <c r="T83" s="82"/>
      <c r="U83" s="82"/>
      <c r="V83" s="82"/>
      <c r="W83" s="82"/>
      <c r="X83" s="82"/>
      <c r="Y83" s="82"/>
    </row>
    <row r="84" spans="1:25" ht="16.5" customHeight="1" x14ac:dyDescent="0.3">
      <c r="A84" s="82"/>
      <c r="B84" s="82"/>
      <c r="C84" s="83"/>
      <c r="D84" s="82"/>
      <c r="E84" s="82"/>
      <c r="F84" s="82"/>
      <c r="G84" s="82"/>
      <c r="H84" s="82"/>
      <c r="I84" s="82"/>
      <c r="J84" s="82"/>
      <c r="K84" s="82"/>
      <c r="L84" s="82"/>
      <c r="M84" s="82"/>
      <c r="N84" s="82"/>
      <c r="O84" s="82"/>
      <c r="P84" s="82"/>
      <c r="Q84" s="82"/>
      <c r="R84" s="82"/>
      <c r="S84" s="82"/>
      <c r="T84" s="82"/>
      <c r="U84" s="82"/>
      <c r="V84" s="82"/>
      <c r="W84" s="82"/>
      <c r="X84" s="82"/>
      <c r="Y84" s="82"/>
    </row>
    <row r="85" spans="1:25" ht="16.5" customHeight="1" x14ac:dyDescent="0.3">
      <c r="A85" s="82"/>
      <c r="B85" s="82"/>
      <c r="C85" s="83"/>
      <c r="D85" s="82"/>
      <c r="E85" s="82"/>
      <c r="F85" s="82"/>
      <c r="G85" s="82"/>
      <c r="H85" s="82"/>
      <c r="I85" s="82"/>
      <c r="J85" s="82"/>
      <c r="K85" s="82"/>
      <c r="L85" s="82"/>
      <c r="M85" s="82"/>
      <c r="N85" s="82"/>
      <c r="O85" s="82"/>
      <c r="P85" s="82"/>
      <c r="Q85" s="82"/>
      <c r="R85" s="82"/>
      <c r="S85" s="82"/>
      <c r="T85" s="82"/>
      <c r="U85" s="82"/>
      <c r="V85" s="82"/>
      <c r="W85" s="82"/>
      <c r="X85" s="82"/>
      <c r="Y85" s="82"/>
    </row>
    <row r="86" spans="1:25" ht="16.5" customHeight="1" x14ac:dyDescent="0.3">
      <c r="A86" s="82"/>
      <c r="B86" s="82"/>
      <c r="C86" s="83"/>
      <c r="D86" s="82"/>
      <c r="E86" s="82"/>
      <c r="F86" s="82"/>
      <c r="G86" s="82"/>
      <c r="H86" s="82"/>
      <c r="I86" s="82"/>
      <c r="J86" s="82"/>
      <c r="K86" s="82"/>
      <c r="L86" s="82"/>
      <c r="M86" s="82"/>
      <c r="N86" s="82"/>
      <c r="O86" s="82"/>
      <c r="P86" s="82"/>
      <c r="Q86" s="82"/>
      <c r="R86" s="82"/>
      <c r="S86" s="82"/>
      <c r="T86" s="82"/>
      <c r="U86" s="82"/>
      <c r="V86" s="82"/>
      <c r="W86" s="82"/>
      <c r="X86" s="82"/>
      <c r="Y86" s="82"/>
    </row>
    <row r="87" spans="1:25" ht="16.5" customHeight="1" x14ac:dyDescent="0.3">
      <c r="A87" s="82"/>
      <c r="B87" s="82"/>
      <c r="C87" s="83"/>
      <c r="D87" s="82"/>
      <c r="E87" s="82"/>
      <c r="F87" s="82"/>
      <c r="G87" s="82"/>
      <c r="H87" s="82"/>
      <c r="I87" s="82"/>
      <c r="J87" s="82"/>
      <c r="K87" s="82"/>
      <c r="L87" s="82"/>
      <c r="M87" s="82"/>
      <c r="N87" s="82"/>
      <c r="O87" s="82"/>
      <c r="P87" s="82"/>
      <c r="Q87" s="82"/>
      <c r="R87" s="82"/>
      <c r="S87" s="82"/>
      <c r="T87" s="82"/>
      <c r="U87" s="82"/>
      <c r="V87" s="82"/>
      <c r="W87" s="82"/>
      <c r="X87" s="82"/>
      <c r="Y87" s="82"/>
    </row>
    <row r="88" spans="1:25" ht="16.5" customHeight="1" x14ac:dyDescent="0.3">
      <c r="A88" s="82"/>
      <c r="B88" s="82"/>
      <c r="C88" s="83"/>
      <c r="D88" s="82"/>
      <c r="E88" s="82"/>
      <c r="F88" s="82"/>
      <c r="G88" s="82"/>
      <c r="H88" s="82"/>
      <c r="I88" s="82"/>
      <c r="J88" s="82"/>
      <c r="K88" s="82"/>
      <c r="L88" s="82"/>
      <c r="M88" s="82"/>
      <c r="N88" s="82"/>
      <c r="O88" s="82"/>
      <c r="P88" s="82"/>
      <c r="Q88" s="82"/>
      <c r="R88" s="82"/>
      <c r="S88" s="82"/>
      <c r="T88" s="82"/>
      <c r="U88" s="82"/>
      <c r="V88" s="82"/>
      <c r="W88" s="82"/>
      <c r="X88" s="82"/>
      <c r="Y88" s="82"/>
    </row>
    <row r="89" spans="1:25" ht="16.5" customHeight="1" x14ac:dyDescent="0.3">
      <c r="A89" s="82"/>
      <c r="B89" s="82"/>
      <c r="C89" s="83"/>
      <c r="D89" s="82"/>
      <c r="E89" s="82"/>
      <c r="F89" s="82"/>
      <c r="G89" s="82"/>
      <c r="H89" s="82"/>
      <c r="I89" s="82"/>
      <c r="J89" s="82"/>
      <c r="K89" s="82"/>
      <c r="L89" s="82"/>
      <c r="M89" s="82"/>
      <c r="N89" s="82"/>
      <c r="O89" s="82"/>
      <c r="P89" s="82"/>
      <c r="Q89" s="82"/>
      <c r="R89" s="82"/>
      <c r="S89" s="82"/>
      <c r="T89" s="82"/>
      <c r="U89" s="82"/>
      <c r="V89" s="82"/>
      <c r="W89" s="82"/>
      <c r="X89" s="82"/>
      <c r="Y89" s="82"/>
    </row>
    <row r="90" spans="1:25" ht="16.5" customHeight="1" x14ac:dyDescent="0.3">
      <c r="A90" s="82"/>
      <c r="B90" s="82"/>
      <c r="C90" s="83"/>
      <c r="D90" s="82"/>
      <c r="E90" s="82"/>
      <c r="F90" s="82"/>
      <c r="G90" s="82"/>
      <c r="H90" s="82"/>
      <c r="I90" s="82"/>
      <c r="J90" s="82"/>
      <c r="K90" s="82"/>
      <c r="L90" s="82"/>
      <c r="M90" s="82"/>
      <c r="N90" s="82"/>
      <c r="O90" s="82"/>
      <c r="P90" s="82"/>
      <c r="Q90" s="82"/>
      <c r="R90" s="82"/>
      <c r="S90" s="82"/>
      <c r="T90" s="82"/>
      <c r="U90" s="82"/>
      <c r="V90" s="82"/>
      <c r="W90" s="82"/>
      <c r="X90" s="82"/>
      <c r="Y90" s="82"/>
    </row>
    <row r="91" spans="1:25" ht="16.5" customHeight="1" x14ac:dyDescent="0.3">
      <c r="A91" s="82"/>
      <c r="B91" s="82"/>
      <c r="C91" s="83"/>
      <c r="D91" s="82"/>
      <c r="E91" s="82"/>
      <c r="F91" s="82"/>
      <c r="G91" s="82"/>
      <c r="H91" s="82"/>
      <c r="I91" s="82"/>
      <c r="J91" s="82"/>
      <c r="K91" s="82"/>
      <c r="L91" s="82"/>
      <c r="M91" s="82"/>
      <c r="N91" s="82"/>
      <c r="O91" s="82"/>
      <c r="P91" s="82"/>
      <c r="Q91" s="82"/>
      <c r="R91" s="82"/>
      <c r="S91" s="82"/>
      <c r="T91" s="82"/>
      <c r="U91" s="82"/>
      <c r="V91" s="82"/>
      <c r="W91" s="82"/>
      <c r="X91" s="82"/>
      <c r="Y91" s="82"/>
    </row>
    <row r="92" spans="1:25" ht="16.5" customHeight="1" x14ac:dyDescent="0.3">
      <c r="A92" s="82"/>
      <c r="B92" s="82"/>
      <c r="C92" s="83"/>
      <c r="D92" s="82"/>
      <c r="E92" s="82"/>
      <c r="F92" s="82"/>
      <c r="G92" s="82"/>
      <c r="H92" s="82"/>
      <c r="I92" s="82"/>
      <c r="J92" s="82"/>
      <c r="K92" s="82"/>
      <c r="L92" s="82"/>
      <c r="M92" s="82"/>
      <c r="N92" s="82"/>
      <c r="O92" s="82"/>
      <c r="P92" s="82"/>
      <c r="Q92" s="82"/>
      <c r="R92" s="82"/>
      <c r="S92" s="82"/>
      <c r="T92" s="82"/>
      <c r="U92" s="82"/>
      <c r="V92" s="82"/>
      <c r="W92" s="82"/>
      <c r="X92" s="82"/>
      <c r="Y92" s="82"/>
    </row>
    <row r="93" spans="1:25" ht="16.5" customHeight="1" x14ac:dyDescent="0.3">
      <c r="A93" s="82"/>
      <c r="B93" s="82"/>
      <c r="C93" s="83"/>
      <c r="D93" s="82"/>
      <c r="E93" s="82"/>
      <c r="F93" s="82"/>
      <c r="G93" s="82"/>
      <c r="H93" s="82"/>
      <c r="I93" s="82"/>
      <c r="J93" s="82"/>
      <c r="K93" s="82"/>
      <c r="L93" s="82"/>
      <c r="M93" s="82"/>
      <c r="N93" s="82"/>
      <c r="O93" s="82"/>
      <c r="P93" s="82"/>
      <c r="Q93" s="82"/>
      <c r="R93" s="82"/>
      <c r="S93" s="82"/>
      <c r="T93" s="82"/>
      <c r="U93" s="82"/>
      <c r="V93" s="82"/>
      <c r="W93" s="82"/>
      <c r="X93" s="82"/>
      <c r="Y93" s="82"/>
    </row>
    <row r="94" spans="1:25" ht="16.5" customHeight="1" x14ac:dyDescent="0.3">
      <c r="A94" s="82"/>
      <c r="B94" s="82"/>
      <c r="C94" s="83"/>
      <c r="D94" s="82"/>
      <c r="E94" s="82"/>
      <c r="F94" s="82"/>
      <c r="G94" s="82"/>
      <c r="H94" s="82"/>
      <c r="I94" s="82"/>
      <c r="J94" s="82"/>
      <c r="K94" s="82"/>
      <c r="L94" s="82"/>
      <c r="M94" s="82"/>
      <c r="N94" s="82"/>
      <c r="O94" s="82"/>
      <c r="P94" s="82"/>
      <c r="Q94" s="82"/>
      <c r="R94" s="82"/>
      <c r="S94" s="82"/>
      <c r="T94" s="82"/>
      <c r="U94" s="82"/>
      <c r="V94" s="82"/>
      <c r="W94" s="82"/>
      <c r="X94" s="82"/>
      <c r="Y94" s="82"/>
    </row>
    <row r="95" spans="1:25" ht="16.5" customHeight="1" x14ac:dyDescent="0.3">
      <c r="A95" s="82"/>
      <c r="B95" s="82"/>
      <c r="C95" s="83"/>
      <c r="D95" s="82"/>
      <c r="E95" s="82"/>
      <c r="F95" s="82"/>
      <c r="G95" s="82"/>
      <c r="H95" s="82"/>
      <c r="I95" s="82"/>
      <c r="J95" s="82"/>
      <c r="K95" s="82"/>
      <c r="L95" s="82"/>
      <c r="M95" s="82"/>
      <c r="N95" s="82"/>
      <c r="O95" s="82"/>
      <c r="P95" s="82"/>
      <c r="Q95" s="82"/>
      <c r="R95" s="82"/>
      <c r="S95" s="82"/>
      <c r="T95" s="82"/>
      <c r="U95" s="82"/>
      <c r="V95" s="82"/>
      <c r="W95" s="82"/>
      <c r="X95" s="82"/>
      <c r="Y95" s="82"/>
    </row>
    <row r="96" spans="1:25" ht="16.5" customHeight="1" x14ac:dyDescent="0.3">
      <c r="A96" s="82"/>
      <c r="B96" s="82"/>
      <c r="C96" s="83"/>
      <c r="D96" s="82"/>
      <c r="E96" s="82"/>
      <c r="F96" s="82"/>
      <c r="G96" s="82"/>
      <c r="H96" s="82"/>
      <c r="I96" s="82"/>
      <c r="J96" s="82"/>
      <c r="K96" s="82"/>
      <c r="L96" s="82"/>
      <c r="M96" s="82"/>
      <c r="N96" s="82"/>
      <c r="O96" s="82"/>
      <c r="P96" s="82"/>
      <c r="Q96" s="82"/>
      <c r="R96" s="82"/>
      <c r="S96" s="82"/>
      <c r="T96" s="82"/>
      <c r="U96" s="82"/>
      <c r="V96" s="82"/>
      <c r="W96" s="82"/>
      <c r="X96" s="82"/>
      <c r="Y96" s="82"/>
    </row>
    <row r="97" spans="1:25" ht="16.5" customHeight="1" x14ac:dyDescent="0.3">
      <c r="A97" s="82"/>
      <c r="B97" s="82"/>
      <c r="C97" s="83"/>
      <c r="D97" s="82"/>
      <c r="E97" s="82"/>
      <c r="F97" s="82"/>
      <c r="G97" s="82"/>
      <c r="H97" s="82"/>
      <c r="I97" s="82"/>
      <c r="J97" s="82"/>
      <c r="K97" s="82"/>
      <c r="L97" s="82"/>
      <c r="M97" s="82"/>
      <c r="N97" s="82"/>
      <c r="O97" s="82"/>
      <c r="P97" s="82"/>
      <c r="Q97" s="82"/>
      <c r="R97" s="82"/>
      <c r="S97" s="82"/>
      <c r="T97" s="82"/>
      <c r="U97" s="82"/>
      <c r="V97" s="82"/>
      <c r="W97" s="82"/>
      <c r="X97" s="82"/>
      <c r="Y97" s="82"/>
    </row>
    <row r="98" spans="1:25" ht="16.5" customHeight="1" x14ac:dyDescent="0.3">
      <c r="A98" s="82"/>
      <c r="B98" s="82"/>
      <c r="C98" s="83"/>
      <c r="D98" s="82"/>
      <c r="E98" s="82"/>
      <c r="F98" s="82"/>
      <c r="G98" s="82"/>
      <c r="H98" s="82"/>
      <c r="I98" s="82"/>
      <c r="J98" s="82"/>
      <c r="K98" s="82"/>
      <c r="L98" s="82"/>
      <c r="M98" s="82"/>
      <c r="N98" s="82"/>
      <c r="O98" s="82"/>
      <c r="P98" s="82"/>
      <c r="Q98" s="82"/>
      <c r="R98" s="82"/>
      <c r="S98" s="82"/>
      <c r="T98" s="82"/>
      <c r="U98" s="82"/>
      <c r="V98" s="82"/>
      <c r="W98" s="82"/>
      <c r="X98" s="82"/>
      <c r="Y98" s="82"/>
    </row>
    <row r="99" spans="1:25" ht="16.5" customHeight="1" x14ac:dyDescent="0.3">
      <c r="A99" s="82"/>
      <c r="B99" s="82"/>
      <c r="C99" s="83"/>
      <c r="D99" s="82"/>
      <c r="E99" s="82"/>
      <c r="F99" s="82"/>
      <c r="G99" s="82"/>
      <c r="H99" s="82"/>
      <c r="I99" s="82"/>
      <c r="J99" s="82"/>
      <c r="K99" s="82"/>
      <c r="L99" s="82"/>
      <c r="M99" s="82"/>
      <c r="N99" s="82"/>
      <c r="O99" s="82"/>
      <c r="P99" s="82"/>
      <c r="Q99" s="82"/>
      <c r="R99" s="82"/>
      <c r="S99" s="82"/>
      <c r="T99" s="82"/>
      <c r="U99" s="82"/>
      <c r="V99" s="82"/>
      <c r="W99" s="82"/>
      <c r="X99" s="82"/>
      <c r="Y99" s="82"/>
    </row>
    <row r="100" spans="1:25" ht="16.5" customHeight="1" x14ac:dyDescent="0.3">
      <c r="A100" s="82"/>
      <c r="B100" s="82"/>
      <c r="C100" s="83"/>
      <c r="D100" s="82"/>
      <c r="E100" s="82"/>
      <c r="F100" s="82"/>
      <c r="G100" s="82"/>
      <c r="H100" s="82"/>
      <c r="I100" s="82"/>
      <c r="J100" s="82"/>
      <c r="K100" s="82"/>
      <c r="L100" s="82"/>
      <c r="M100" s="82"/>
      <c r="N100" s="82"/>
      <c r="O100" s="82"/>
      <c r="P100" s="82"/>
      <c r="Q100" s="82"/>
      <c r="R100" s="82"/>
      <c r="S100" s="82"/>
      <c r="T100" s="82"/>
      <c r="U100" s="82"/>
      <c r="V100" s="82"/>
      <c r="W100" s="82"/>
      <c r="X100" s="82"/>
      <c r="Y100" s="82"/>
    </row>
    <row r="101" spans="1:25" ht="16.5" customHeight="1" x14ac:dyDescent="0.3">
      <c r="A101" s="82"/>
      <c r="B101" s="82"/>
      <c r="C101" s="83"/>
      <c r="D101" s="82"/>
      <c r="E101" s="82"/>
      <c r="F101" s="82"/>
      <c r="G101" s="82"/>
      <c r="H101" s="82"/>
      <c r="I101" s="82"/>
      <c r="J101" s="82"/>
      <c r="K101" s="82"/>
      <c r="L101" s="82"/>
      <c r="M101" s="82"/>
      <c r="N101" s="82"/>
      <c r="O101" s="82"/>
      <c r="P101" s="82"/>
      <c r="Q101" s="82"/>
      <c r="R101" s="82"/>
      <c r="S101" s="82"/>
      <c r="T101" s="82"/>
      <c r="U101" s="82"/>
      <c r="V101" s="82"/>
      <c r="W101" s="82"/>
      <c r="X101" s="82"/>
      <c r="Y101" s="82"/>
    </row>
    <row r="102" spans="1:25" ht="16.5" customHeight="1" x14ac:dyDescent="0.3">
      <c r="A102" s="82"/>
      <c r="B102" s="82"/>
      <c r="C102" s="83"/>
      <c r="D102" s="82"/>
      <c r="E102" s="82"/>
      <c r="F102" s="82"/>
      <c r="G102" s="82"/>
      <c r="H102" s="82"/>
      <c r="I102" s="82"/>
      <c r="J102" s="82"/>
      <c r="K102" s="82"/>
      <c r="L102" s="82"/>
      <c r="M102" s="82"/>
      <c r="N102" s="82"/>
      <c r="O102" s="82"/>
      <c r="P102" s="82"/>
      <c r="Q102" s="82"/>
      <c r="R102" s="82"/>
      <c r="S102" s="82"/>
      <c r="T102" s="82"/>
      <c r="U102" s="82"/>
      <c r="V102" s="82"/>
      <c r="W102" s="82"/>
      <c r="X102" s="82"/>
      <c r="Y102" s="82"/>
    </row>
    <row r="103" spans="1:25" ht="16.5" customHeight="1" x14ac:dyDescent="0.3">
      <c r="A103" s="82"/>
      <c r="B103" s="82"/>
      <c r="C103" s="83"/>
      <c r="D103" s="82"/>
      <c r="E103" s="82"/>
      <c r="F103" s="82"/>
      <c r="G103" s="82"/>
      <c r="H103" s="82"/>
      <c r="I103" s="82"/>
      <c r="J103" s="82"/>
      <c r="K103" s="82"/>
      <c r="L103" s="82"/>
      <c r="M103" s="82"/>
      <c r="N103" s="82"/>
      <c r="O103" s="82"/>
      <c r="P103" s="82"/>
      <c r="Q103" s="82"/>
      <c r="R103" s="82"/>
      <c r="S103" s="82"/>
      <c r="T103" s="82"/>
      <c r="U103" s="82"/>
      <c r="V103" s="82"/>
      <c r="W103" s="82"/>
      <c r="X103" s="82"/>
      <c r="Y103" s="82"/>
    </row>
    <row r="104" spans="1:25" ht="16.5" customHeight="1" x14ac:dyDescent="0.3">
      <c r="A104" s="82"/>
      <c r="B104" s="82"/>
      <c r="C104" s="83"/>
      <c r="D104" s="82"/>
      <c r="E104" s="82"/>
      <c r="F104" s="82"/>
      <c r="G104" s="82"/>
      <c r="H104" s="82"/>
      <c r="I104" s="82"/>
      <c r="J104" s="82"/>
      <c r="K104" s="82"/>
      <c r="L104" s="82"/>
      <c r="M104" s="82"/>
      <c r="N104" s="82"/>
      <c r="O104" s="82"/>
      <c r="P104" s="82"/>
      <c r="Q104" s="82"/>
      <c r="R104" s="82"/>
      <c r="S104" s="82"/>
      <c r="T104" s="82"/>
      <c r="U104" s="82"/>
      <c r="V104" s="82"/>
      <c r="W104" s="82"/>
      <c r="X104" s="82"/>
      <c r="Y104" s="82"/>
    </row>
    <row r="105" spans="1:25" ht="16.5" customHeight="1" x14ac:dyDescent="0.3">
      <c r="A105" s="82"/>
      <c r="B105" s="82"/>
      <c r="C105" s="83"/>
      <c r="D105" s="82"/>
      <c r="E105" s="82"/>
      <c r="F105" s="82"/>
      <c r="G105" s="82"/>
      <c r="H105" s="82"/>
      <c r="I105" s="82"/>
      <c r="J105" s="82"/>
      <c r="K105" s="82"/>
      <c r="L105" s="82"/>
      <c r="M105" s="82"/>
      <c r="N105" s="82"/>
      <c r="O105" s="82"/>
      <c r="P105" s="82"/>
      <c r="Q105" s="82"/>
      <c r="R105" s="82"/>
      <c r="S105" s="82"/>
      <c r="T105" s="82"/>
      <c r="U105" s="82"/>
      <c r="V105" s="82"/>
      <c r="W105" s="82"/>
      <c r="X105" s="82"/>
      <c r="Y105" s="82"/>
    </row>
    <row r="106" spans="1:25" ht="16.5" customHeight="1" x14ac:dyDescent="0.3">
      <c r="A106" s="82"/>
      <c r="B106" s="82"/>
      <c r="C106" s="83"/>
      <c r="D106" s="82"/>
      <c r="E106" s="82"/>
      <c r="F106" s="82"/>
      <c r="G106" s="82"/>
      <c r="H106" s="82"/>
      <c r="I106" s="82"/>
      <c r="J106" s="82"/>
      <c r="K106" s="82"/>
      <c r="L106" s="82"/>
      <c r="M106" s="82"/>
      <c r="N106" s="82"/>
      <c r="O106" s="82"/>
      <c r="P106" s="82"/>
      <c r="Q106" s="82"/>
      <c r="R106" s="82"/>
      <c r="S106" s="82"/>
      <c r="T106" s="82"/>
      <c r="U106" s="82"/>
      <c r="V106" s="82"/>
      <c r="W106" s="82"/>
      <c r="X106" s="82"/>
      <c r="Y106" s="82"/>
    </row>
    <row r="107" spans="1:25" ht="16.5" customHeight="1" x14ac:dyDescent="0.3">
      <c r="A107" s="82"/>
      <c r="B107" s="82"/>
      <c r="C107" s="83"/>
      <c r="D107" s="82"/>
      <c r="E107" s="82"/>
      <c r="F107" s="82"/>
      <c r="G107" s="82"/>
      <c r="H107" s="82"/>
      <c r="I107" s="82"/>
      <c r="J107" s="82"/>
      <c r="K107" s="82"/>
      <c r="L107" s="82"/>
      <c r="M107" s="82"/>
      <c r="N107" s="82"/>
      <c r="O107" s="82"/>
      <c r="P107" s="82"/>
      <c r="Q107" s="82"/>
      <c r="R107" s="82"/>
      <c r="S107" s="82"/>
      <c r="T107" s="82"/>
      <c r="U107" s="82"/>
      <c r="V107" s="82"/>
      <c r="W107" s="82"/>
      <c r="X107" s="82"/>
      <c r="Y107" s="82"/>
    </row>
    <row r="108" spans="1:25" ht="16.5" customHeight="1" x14ac:dyDescent="0.3">
      <c r="A108" s="82"/>
      <c r="B108" s="82"/>
      <c r="C108" s="83"/>
      <c r="D108" s="82"/>
      <c r="E108" s="82"/>
      <c r="F108" s="82"/>
      <c r="G108" s="82"/>
      <c r="H108" s="82"/>
      <c r="I108" s="82"/>
      <c r="J108" s="82"/>
      <c r="K108" s="82"/>
      <c r="L108" s="82"/>
      <c r="M108" s="82"/>
      <c r="N108" s="82"/>
      <c r="O108" s="82"/>
      <c r="P108" s="82"/>
      <c r="Q108" s="82"/>
      <c r="R108" s="82"/>
      <c r="S108" s="82"/>
      <c r="T108" s="82"/>
      <c r="U108" s="82"/>
      <c r="V108" s="82"/>
      <c r="W108" s="82"/>
      <c r="X108" s="82"/>
      <c r="Y108" s="82"/>
    </row>
    <row r="109" spans="1:25" ht="16.5" customHeight="1" x14ac:dyDescent="0.3">
      <c r="A109" s="82"/>
      <c r="B109" s="82"/>
      <c r="C109" s="83"/>
      <c r="D109" s="82"/>
      <c r="E109" s="82"/>
      <c r="F109" s="82"/>
      <c r="G109" s="82"/>
      <c r="H109" s="82"/>
      <c r="I109" s="82"/>
      <c r="J109" s="82"/>
      <c r="K109" s="82"/>
      <c r="L109" s="82"/>
      <c r="M109" s="82"/>
      <c r="N109" s="82"/>
      <c r="O109" s="82"/>
      <c r="P109" s="82"/>
      <c r="Q109" s="82"/>
      <c r="R109" s="82"/>
      <c r="S109" s="82"/>
      <c r="T109" s="82"/>
      <c r="U109" s="82"/>
      <c r="V109" s="82"/>
      <c r="W109" s="82"/>
      <c r="X109" s="82"/>
      <c r="Y109" s="82"/>
    </row>
    <row r="110" spans="1:25" ht="16.5" customHeight="1" x14ac:dyDescent="0.3">
      <c r="A110" s="82"/>
      <c r="B110" s="82"/>
      <c r="C110" s="83"/>
      <c r="D110" s="82"/>
      <c r="E110" s="82"/>
      <c r="F110" s="82"/>
      <c r="G110" s="82"/>
      <c r="H110" s="82"/>
      <c r="I110" s="82"/>
      <c r="J110" s="82"/>
      <c r="K110" s="82"/>
      <c r="L110" s="82"/>
      <c r="M110" s="82"/>
      <c r="N110" s="82"/>
      <c r="O110" s="82"/>
      <c r="P110" s="82"/>
      <c r="Q110" s="82"/>
      <c r="R110" s="82"/>
      <c r="S110" s="82"/>
      <c r="T110" s="82"/>
      <c r="U110" s="82"/>
      <c r="V110" s="82"/>
      <c r="W110" s="82"/>
      <c r="X110" s="82"/>
      <c r="Y110" s="82"/>
    </row>
    <row r="111" spans="1:25" ht="16.5" customHeight="1" x14ac:dyDescent="0.3">
      <c r="A111" s="82"/>
      <c r="B111" s="82"/>
      <c r="C111" s="83"/>
      <c r="D111" s="82"/>
      <c r="E111" s="82"/>
      <c r="F111" s="82"/>
      <c r="G111" s="82"/>
      <c r="H111" s="82"/>
      <c r="I111" s="82"/>
      <c r="J111" s="82"/>
      <c r="K111" s="82"/>
      <c r="L111" s="82"/>
      <c r="M111" s="82"/>
      <c r="N111" s="82"/>
      <c r="O111" s="82"/>
      <c r="P111" s="82"/>
      <c r="Q111" s="82"/>
      <c r="R111" s="82"/>
      <c r="S111" s="82"/>
      <c r="T111" s="82"/>
      <c r="U111" s="82"/>
      <c r="V111" s="82"/>
      <c r="W111" s="82"/>
      <c r="X111" s="82"/>
      <c r="Y111" s="82"/>
    </row>
    <row r="112" spans="1:25" ht="16.5" customHeight="1" x14ac:dyDescent="0.3">
      <c r="A112" s="82"/>
      <c r="B112" s="82"/>
      <c r="C112" s="83"/>
      <c r="D112" s="82"/>
      <c r="E112" s="82"/>
      <c r="F112" s="82"/>
      <c r="G112" s="82"/>
      <c r="H112" s="82"/>
      <c r="I112" s="82"/>
      <c r="J112" s="82"/>
      <c r="K112" s="82"/>
      <c r="L112" s="82"/>
      <c r="M112" s="82"/>
      <c r="N112" s="82"/>
      <c r="O112" s="82"/>
      <c r="P112" s="82"/>
      <c r="Q112" s="82"/>
      <c r="R112" s="82"/>
      <c r="S112" s="82"/>
      <c r="T112" s="82"/>
      <c r="U112" s="82"/>
      <c r="V112" s="82"/>
      <c r="W112" s="82"/>
      <c r="X112" s="82"/>
      <c r="Y112" s="82"/>
    </row>
    <row r="113" spans="1:25" ht="16.5" customHeight="1" x14ac:dyDescent="0.3">
      <c r="A113" s="82"/>
      <c r="B113" s="82"/>
      <c r="C113" s="83"/>
      <c r="D113" s="82"/>
      <c r="E113" s="82"/>
      <c r="F113" s="82"/>
      <c r="G113" s="82"/>
      <c r="H113" s="82"/>
      <c r="I113" s="82"/>
      <c r="J113" s="82"/>
      <c r="K113" s="82"/>
      <c r="L113" s="82"/>
      <c r="M113" s="82"/>
      <c r="N113" s="82"/>
      <c r="O113" s="82"/>
      <c r="P113" s="82"/>
      <c r="Q113" s="82"/>
      <c r="R113" s="82"/>
      <c r="S113" s="82"/>
      <c r="T113" s="82"/>
      <c r="U113" s="82"/>
      <c r="V113" s="82"/>
      <c r="W113" s="82"/>
      <c r="X113" s="82"/>
      <c r="Y113" s="82"/>
    </row>
    <row r="114" spans="1:25" ht="16.5" customHeight="1" x14ac:dyDescent="0.3">
      <c r="A114" s="82"/>
      <c r="B114" s="82"/>
      <c r="C114" s="83"/>
      <c r="D114" s="82"/>
      <c r="E114" s="82"/>
      <c r="F114" s="82"/>
      <c r="G114" s="82"/>
      <c r="H114" s="82"/>
      <c r="I114" s="82"/>
      <c r="J114" s="82"/>
      <c r="K114" s="82"/>
      <c r="L114" s="82"/>
      <c r="M114" s="82"/>
      <c r="N114" s="82"/>
      <c r="O114" s="82"/>
      <c r="P114" s="82"/>
      <c r="Q114" s="82"/>
      <c r="R114" s="82"/>
      <c r="S114" s="82"/>
      <c r="T114" s="82"/>
      <c r="U114" s="82"/>
      <c r="V114" s="82"/>
      <c r="W114" s="82"/>
      <c r="X114" s="82"/>
      <c r="Y114" s="82"/>
    </row>
    <row r="115" spans="1:25" ht="16.5" customHeight="1" x14ac:dyDescent="0.3">
      <c r="A115" s="82"/>
      <c r="B115" s="82"/>
      <c r="C115" s="83"/>
      <c r="D115" s="82"/>
      <c r="E115" s="82"/>
      <c r="F115" s="82"/>
      <c r="G115" s="82"/>
      <c r="H115" s="82"/>
      <c r="I115" s="82"/>
      <c r="J115" s="82"/>
      <c r="K115" s="82"/>
      <c r="L115" s="82"/>
      <c r="M115" s="82"/>
      <c r="N115" s="82"/>
      <c r="O115" s="82"/>
      <c r="P115" s="82"/>
      <c r="Q115" s="82"/>
      <c r="R115" s="82"/>
      <c r="S115" s="82"/>
      <c r="T115" s="82"/>
      <c r="U115" s="82"/>
      <c r="V115" s="82"/>
      <c r="W115" s="82"/>
      <c r="X115" s="82"/>
      <c r="Y115" s="82"/>
    </row>
    <row r="116" spans="1:25" ht="16.5" customHeight="1" x14ac:dyDescent="0.3">
      <c r="A116" s="82"/>
      <c r="B116" s="82"/>
      <c r="C116" s="83"/>
      <c r="D116" s="82"/>
      <c r="E116" s="82"/>
      <c r="F116" s="82"/>
      <c r="G116" s="82"/>
      <c r="H116" s="82"/>
      <c r="I116" s="82"/>
      <c r="J116" s="82"/>
      <c r="K116" s="82"/>
      <c r="L116" s="82"/>
      <c r="M116" s="82"/>
      <c r="N116" s="82"/>
      <c r="O116" s="82"/>
      <c r="P116" s="82"/>
      <c r="Q116" s="82"/>
      <c r="R116" s="82"/>
      <c r="S116" s="82"/>
      <c r="T116" s="82"/>
      <c r="U116" s="82"/>
      <c r="V116" s="82"/>
      <c r="W116" s="82"/>
      <c r="X116" s="82"/>
      <c r="Y116" s="82"/>
    </row>
    <row r="117" spans="1:25" ht="16.5" customHeight="1" x14ac:dyDescent="0.3">
      <c r="A117" s="82"/>
      <c r="B117" s="82"/>
      <c r="C117" s="83"/>
      <c r="D117" s="82"/>
      <c r="E117" s="82"/>
      <c r="F117" s="82"/>
      <c r="G117" s="82"/>
      <c r="H117" s="82"/>
      <c r="I117" s="82"/>
      <c r="J117" s="82"/>
      <c r="K117" s="82"/>
      <c r="L117" s="82"/>
      <c r="M117" s="82"/>
      <c r="N117" s="82"/>
      <c r="O117" s="82"/>
      <c r="P117" s="82"/>
      <c r="Q117" s="82"/>
      <c r="R117" s="82"/>
      <c r="S117" s="82"/>
      <c r="T117" s="82"/>
      <c r="U117" s="82"/>
      <c r="V117" s="82"/>
      <c r="W117" s="82"/>
      <c r="X117" s="82"/>
      <c r="Y117" s="82"/>
    </row>
    <row r="118" spans="1:25" ht="16.5" customHeight="1" x14ac:dyDescent="0.3">
      <c r="A118" s="82"/>
      <c r="B118" s="82"/>
      <c r="C118" s="83"/>
      <c r="D118" s="82"/>
      <c r="E118" s="82"/>
      <c r="F118" s="82"/>
      <c r="G118" s="82"/>
      <c r="H118" s="82"/>
      <c r="I118" s="82"/>
      <c r="J118" s="82"/>
      <c r="K118" s="82"/>
      <c r="L118" s="82"/>
      <c r="M118" s="82"/>
      <c r="N118" s="82"/>
      <c r="O118" s="82"/>
      <c r="P118" s="82"/>
      <c r="Q118" s="82"/>
      <c r="R118" s="82"/>
      <c r="S118" s="82"/>
      <c r="T118" s="82"/>
      <c r="U118" s="82"/>
      <c r="V118" s="82"/>
      <c r="W118" s="82"/>
      <c r="X118" s="82"/>
      <c r="Y118" s="82"/>
    </row>
    <row r="119" spans="1:25" ht="16.5" customHeight="1" x14ac:dyDescent="0.3">
      <c r="A119" s="82"/>
      <c r="B119" s="82"/>
      <c r="C119" s="83"/>
      <c r="D119" s="82"/>
      <c r="E119" s="82"/>
      <c r="F119" s="82"/>
      <c r="G119" s="82"/>
      <c r="H119" s="82"/>
      <c r="I119" s="82"/>
      <c r="J119" s="82"/>
      <c r="K119" s="82"/>
      <c r="L119" s="82"/>
      <c r="M119" s="82"/>
      <c r="N119" s="82"/>
      <c r="O119" s="82"/>
      <c r="P119" s="82"/>
      <c r="Q119" s="82"/>
      <c r="R119" s="82"/>
      <c r="S119" s="82"/>
      <c r="T119" s="82"/>
      <c r="U119" s="82"/>
      <c r="V119" s="82"/>
      <c r="W119" s="82"/>
      <c r="X119" s="82"/>
      <c r="Y119" s="82"/>
    </row>
    <row r="120" spans="1:25" ht="16.5" customHeight="1" x14ac:dyDescent="0.3">
      <c r="A120" s="82"/>
      <c r="B120" s="82"/>
      <c r="C120" s="83"/>
      <c r="D120" s="82"/>
      <c r="E120" s="82"/>
      <c r="F120" s="82"/>
      <c r="G120" s="82"/>
      <c r="H120" s="82"/>
      <c r="I120" s="82"/>
      <c r="J120" s="82"/>
      <c r="K120" s="82"/>
      <c r="L120" s="82"/>
      <c r="M120" s="82"/>
      <c r="N120" s="82"/>
      <c r="O120" s="82"/>
      <c r="P120" s="82"/>
      <c r="Q120" s="82"/>
      <c r="R120" s="82"/>
      <c r="S120" s="82"/>
      <c r="T120" s="82"/>
      <c r="U120" s="82"/>
      <c r="V120" s="82"/>
      <c r="W120" s="82"/>
      <c r="X120" s="82"/>
      <c r="Y120" s="82"/>
    </row>
    <row r="121" spans="1:25" ht="16.5" customHeight="1" x14ac:dyDescent="0.3">
      <c r="A121" s="82"/>
      <c r="B121" s="82"/>
      <c r="C121" s="83"/>
      <c r="D121" s="82"/>
      <c r="E121" s="82"/>
      <c r="F121" s="82"/>
      <c r="G121" s="82"/>
      <c r="H121" s="82"/>
      <c r="I121" s="82"/>
      <c r="J121" s="82"/>
      <c r="K121" s="82"/>
      <c r="L121" s="82"/>
      <c r="M121" s="82"/>
      <c r="N121" s="82"/>
      <c r="O121" s="82"/>
      <c r="P121" s="82"/>
      <c r="Q121" s="82"/>
      <c r="R121" s="82"/>
      <c r="S121" s="82"/>
      <c r="T121" s="82"/>
      <c r="U121" s="82"/>
      <c r="V121" s="82"/>
      <c r="W121" s="82"/>
      <c r="X121" s="82"/>
      <c r="Y121" s="82"/>
    </row>
    <row r="122" spans="1:25" ht="16.5" customHeight="1" x14ac:dyDescent="0.3">
      <c r="A122" s="82"/>
      <c r="B122" s="82"/>
      <c r="C122" s="83"/>
      <c r="D122" s="82"/>
      <c r="E122" s="82"/>
      <c r="F122" s="82"/>
      <c r="G122" s="82"/>
      <c r="H122" s="82"/>
      <c r="I122" s="82"/>
      <c r="J122" s="82"/>
      <c r="K122" s="82"/>
      <c r="L122" s="82"/>
      <c r="M122" s="82"/>
      <c r="N122" s="82"/>
      <c r="O122" s="82"/>
      <c r="P122" s="82"/>
      <c r="Q122" s="82"/>
      <c r="R122" s="82"/>
      <c r="S122" s="82"/>
      <c r="T122" s="82"/>
      <c r="U122" s="82"/>
      <c r="V122" s="82"/>
      <c r="W122" s="82"/>
      <c r="X122" s="82"/>
      <c r="Y122" s="82"/>
    </row>
    <row r="123" spans="1:25" ht="16.5" customHeight="1" x14ac:dyDescent="0.3">
      <c r="A123" s="82"/>
      <c r="B123" s="82"/>
      <c r="C123" s="83"/>
      <c r="D123" s="82"/>
      <c r="E123" s="82"/>
      <c r="F123" s="82"/>
      <c r="G123" s="82"/>
      <c r="H123" s="82"/>
      <c r="I123" s="82"/>
      <c r="J123" s="82"/>
      <c r="K123" s="82"/>
      <c r="L123" s="82"/>
      <c r="M123" s="82"/>
      <c r="N123" s="82"/>
      <c r="O123" s="82"/>
      <c r="P123" s="82"/>
      <c r="Q123" s="82"/>
      <c r="R123" s="82"/>
      <c r="S123" s="82"/>
      <c r="T123" s="82"/>
      <c r="U123" s="82"/>
      <c r="V123" s="82"/>
      <c r="W123" s="82"/>
      <c r="X123" s="82"/>
      <c r="Y123" s="82"/>
    </row>
    <row r="124" spans="1:25" ht="16.5" customHeight="1" x14ac:dyDescent="0.3">
      <c r="A124" s="82"/>
      <c r="B124" s="82"/>
      <c r="C124" s="83"/>
      <c r="D124" s="82"/>
      <c r="E124" s="82"/>
      <c r="F124" s="82"/>
      <c r="G124" s="82"/>
      <c r="H124" s="82"/>
      <c r="I124" s="82"/>
      <c r="J124" s="82"/>
      <c r="K124" s="82"/>
      <c r="L124" s="82"/>
      <c r="M124" s="82"/>
      <c r="N124" s="82"/>
      <c r="O124" s="82"/>
      <c r="P124" s="82"/>
      <c r="Q124" s="82"/>
      <c r="R124" s="82"/>
      <c r="S124" s="82"/>
      <c r="T124" s="82"/>
      <c r="U124" s="82"/>
      <c r="V124" s="82"/>
      <c r="W124" s="82"/>
      <c r="X124" s="82"/>
      <c r="Y124" s="82"/>
    </row>
    <row r="125" spans="1:25" ht="16.5" customHeight="1" x14ac:dyDescent="0.3">
      <c r="A125" s="82"/>
      <c r="B125" s="82"/>
      <c r="C125" s="83"/>
      <c r="D125" s="82"/>
      <c r="E125" s="82"/>
      <c r="F125" s="82"/>
      <c r="G125" s="82"/>
      <c r="H125" s="82"/>
      <c r="I125" s="82"/>
      <c r="J125" s="82"/>
      <c r="K125" s="82"/>
      <c r="L125" s="82"/>
      <c r="M125" s="82"/>
      <c r="N125" s="82"/>
      <c r="O125" s="82"/>
      <c r="P125" s="82"/>
      <c r="Q125" s="82"/>
      <c r="R125" s="82"/>
      <c r="S125" s="82"/>
      <c r="T125" s="82"/>
      <c r="U125" s="82"/>
      <c r="V125" s="82"/>
      <c r="W125" s="82"/>
      <c r="X125" s="82"/>
      <c r="Y125" s="82"/>
    </row>
    <row r="126" spans="1:25" ht="16.5" customHeight="1" x14ac:dyDescent="0.3">
      <c r="A126" s="82"/>
      <c r="B126" s="82"/>
      <c r="C126" s="83"/>
      <c r="D126" s="82"/>
      <c r="E126" s="82"/>
      <c r="F126" s="82"/>
      <c r="G126" s="82"/>
      <c r="H126" s="82"/>
      <c r="I126" s="82"/>
      <c r="J126" s="82"/>
      <c r="K126" s="82"/>
      <c r="L126" s="82"/>
      <c r="M126" s="82"/>
      <c r="N126" s="82"/>
      <c r="O126" s="82"/>
      <c r="P126" s="82"/>
      <c r="Q126" s="82"/>
      <c r="R126" s="82"/>
      <c r="S126" s="82"/>
      <c r="T126" s="82"/>
      <c r="U126" s="82"/>
      <c r="V126" s="82"/>
      <c r="W126" s="82"/>
      <c r="X126" s="82"/>
      <c r="Y126" s="82"/>
    </row>
    <row r="127" spans="1:25" ht="16.5" customHeight="1" x14ac:dyDescent="0.3">
      <c r="A127" s="82"/>
      <c r="B127" s="82"/>
      <c r="C127" s="83"/>
      <c r="D127" s="82"/>
      <c r="E127" s="82"/>
      <c r="F127" s="82"/>
      <c r="G127" s="82"/>
      <c r="H127" s="82"/>
      <c r="I127" s="82"/>
      <c r="J127" s="82"/>
      <c r="K127" s="82"/>
      <c r="L127" s="82"/>
      <c r="M127" s="82"/>
      <c r="N127" s="82"/>
      <c r="O127" s="82"/>
      <c r="P127" s="82"/>
      <c r="Q127" s="82"/>
      <c r="R127" s="82"/>
      <c r="S127" s="82"/>
      <c r="T127" s="82"/>
      <c r="U127" s="82"/>
      <c r="V127" s="82"/>
      <c r="W127" s="82"/>
      <c r="X127" s="82"/>
      <c r="Y127" s="82"/>
    </row>
    <row r="128" spans="1:25" ht="16.5" customHeight="1" x14ac:dyDescent="0.3">
      <c r="A128" s="82"/>
      <c r="B128" s="82"/>
      <c r="C128" s="83"/>
      <c r="D128" s="82"/>
      <c r="E128" s="82"/>
      <c r="F128" s="82"/>
      <c r="G128" s="82"/>
      <c r="H128" s="82"/>
      <c r="I128" s="82"/>
      <c r="J128" s="82"/>
      <c r="K128" s="82"/>
      <c r="L128" s="82"/>
      <c r="M128" s="82"/>
      <c r="N128" s="82"/>
      <c r="O128" s="82"/>
      <c r="P128" s="82"/>
      <c r="Q128" s="82"/>
      <c r="R128" s="82"/>
      <c r="S128" s="82"/>
      <c r="T128" s="82"/>
      <c r="U128" s="82"/>
      <c r="V128" s="82"/>
      <c r="W128" s="82"/>
      <c r="X128" s="82"/>
      <c r="Y128" s="82"/>
    </row>
    <row r="129" spans="1:25" ht="16.5" customHeight="1" x14ac:dyDescent="0.3">
      <c r="A129" s="82"/>
      <c r="B129" s="82"/>
      <c r="C129" s="83"/>
      <c r="D129" s="82"/>
      <c r="E129" s="82"/>
      <c r="F129" s="82"/>
      <c r="G129" s="82"/>
      <c r="H129" s="82"/>
      <c r="I129" s="82"/>
      <c r="J129" s="82"/>
      <c r="K129" s="82"/>
      <c r="L129" s="82"/>
      <c r="M129" s="82"/>
      <c r="N129" s="82"/>
      <c r="O129" s="82"/>
      <c r="P129" s="82"/>
      <c r="Q129" s="82"/>
      <c r="R129" s="82"/>
      <c r="S129" s="82"/>
      <c r="T129" s="82"/>
      <c r="U129" s="82"/>
      <c r="V129" s="82"/>
      <c r="W129" s="82"/>
      <c r="X129" s="82"/>
      <c r="Y129" s="82"/>
    </row>
    <row r="130" spans="1:25" ht="16.5" customHeight="1" x14ac:dyDescent="0.3">
      <c r="A130" s="82"/>
      <c r="B130" s="82"/>
      <c r="C130" s="83"/>
      <c r="D130" s="82"/>
      <c r="E130" s="82"/>
      <c r="F130" s="82"/>
      <c r="G130" s="82"/>
      <c r="H130" s="82"/>
      <c r="I130" s="82"/>
      <c r="J130" s="82"/>
      <c r="K130" s="82"/>
      <c r="L130" s="82"/>
      <c r="M130" s="82"/>
      <c r="N130" s="82"/>
      <c r="O130" s="82"/>
      <c r="P130" s="82"/>
      <c r="Q130" s="82"/>
      <c r="R130" s="82"/>
      <c r="S130" s="82"/>
      <c r="T130" s="82"/>
      <c r="U130" s="82"/>
      <c r="V130" s="82"/>
      <c r="W130" s="82"/>
      <c r="X130" s="82"/>
      <c r="Y130" s="82"/>
    </row>
    <row r="131" spans="1:25" ht="16.5" customHeight="1" x14ac:dyDescent="0.3">
      <c r="A131" s="82"/>
      <c r="B131" s="82"/>
      <c r="C131" s="83"/>
      <c r="D131" s="82"/>
      <c r="E131" s="82"/>
      <c r="F131" s="82"/>
      <c r="G131" s="82"/>
      <c r="H131" s="82"/>
      <c r="I131" s="82"/>
      <c r="J131" s="82"/>
      <c r="K131" s="82"/>
      <c r="L131" s="82"/>
      <c r="M131" s="82"/>
      <c r="N131" s="82"/>
      <c r="O131" s="82"/>
      <c r="P131" s="82"/>
      <c r="Q131" s="82"/>
      <c r="R131" s="82"/>
      <c r="S131" s="82"/>
      <c r="T131" s="82"/>
      <c r="U131" s="82"/>
      <c r="V131" s="82"/>
      <c r="W131" s="82"/>
      <c r="X131" s="82"/>
      <c r="Y131" s="82"/>
    </row>
    <row r="132" spans="1:25" ht="16.5" customHeight="1" x14ac:dyDescent="0.3">
      <c r="A132" s="82"/>
      <c r="B132" s="82"/>
      <c r="C132" s="83"/>
      <c r="D132" s="82"/>
      <c r="E132" s="82"/>
      <c r="F132" s="82"/>
      <c r="G132" s="82"/>
      <c r="H132" s="82"/>
      <c r="I132" s="82"/>
      <c r="J132" s="82"/>
      <c r="K132" s="82"/>
      <c r="L132" s="82"/>
      <c r="M132" s="82"/>
      <c r="N132" s="82"/>
      <c r="O132" s="82"/>
      <c r="P132" s="82"/>
      <c r="Q132" s="82"/>
      <c r="R132" s="82"/>
      <c r="S132" s="82"/>
      <c r="T132" s="82"/>
      <c r="U132" s="82"/>
      <c r="V132" s="82"/>
      <c r="W132" s="82"/>
      <c r="X132" s="82"/>
      <c r="Y132" s="82"/>
    </row>
    <row r="133" spans="1:25" ht="16.5" customHeight="1" x14ac:dyDescent="0.3">
      <c r="A133" s="82"/>
      <c r="B133" s="82"/>
      <c r="C133" s="83"/>
      <c r="D133" s="82"/>
      <c r="E133" s="82"/>
      <c r="F133" s="82"/>
      <c r="G133" s="82"/>
      <c r="H133" s="82"/>
      <c r="I133" s="82"/>
      <c r="J133" s="82"/>
      <c r="K133" s="82"/>
      <c r="L133" s="82"/>
      <c r="M133" s="82"/>
      <c r="N133" s="82"/>
      <c r="O133" s="82"/>
      <c r="P133" s="82"/>
      <c r="Q133" s="82"/>
      <c r="R133" s="82"/>
      <c r="S133" s="82"/>
      <c r="T133" s="82"/>
      <c r="U133" s="82"/>
      <c r="V133" s="82"/>
      <c r="W133" s="82"/>
      <c r="X133" s="82"/>
      <c r="Y133" s="82"/>
    </row>
    <row r="134" spans="1:25" ht="16.5" customHeight="1" x14ac:dyDescent="0.3">
      <c r="A134" s="82"/>
      <c r="B134" s="82"/>
      <c r="C134" s="83"/>
      <c r="D134" s="82"/>
      <c r="E134" s="82"/>
      <c r="F134" s="82"/>
      <c r="G134" s="82"/>
      <c r="H134" s="82"/>
      <c r="I134" s="82"/>
      <c r="J134" s="82"/>
      <c r="K134" s="82"/>
      <c r="L134" s="82"/>
      <c r="M134" s="82"/>
      <c r="N134" s="82"/>
      <c r="O134" s="82"/>
      <c r="P134" s="82"/>
      <c r="Q134" s="82"/>
      <c r="R134" s="82"/>
      <c r="S134" s="82"/>
      <c r="T134" s="82"/>
      <c r="U134" s="82"/>
      <c r="V134" s="82"/>
      <c r="W134" s="82"/>
      <c r="X134" s="82"/>
      <c r="Y134" s="82"/>
    </row>
    <row r="135" spans="1:25" ht="16.5" customHeight="1" x14ac:dyDescent="0.3">
      <c r="A135" s="82"/>
      <c r="B135" s="82"/>
      <c r="C135" s="83"/>
      <c r="D135" s="82"/>
      <c r="E135" s="82"/>
      <c r="F135" s="82"/>
      <c r="G135" s="82"/>
      <c r="H135" s="82"/>
      <c r="I135" s="82"/>
      <c r="J135" s="82"/>
      <c r="K135" s="82"/>
      <c r="L135" s="82"/>
      <c r="M135" s="82"/>
      <c r="N135" s="82"/>
      <c r="O135" s="82"/>
      <c r="P135" s="82"/>
      <c r="Q135" s="82"/>
      <c r="R135" s="82"/>
      <c r="S135" s="82"/>
      <c r="T135" s="82"/>
      <c r="U135" s="82"/>
      <c r="V135" s="82"/>
      <c r="W135" s="82"/>
      <c r="X135" s="82"/>
      <c r="Y135" s="82"/>
    </row>
    <row r="136" spans="1:25" ht="16.5" customHeight="1" x14ac:dyDescent="0.3">
      <c r="A136" s="82"/>
      <c r="B136" s="82"/>
      <c r="C136" s="83"/>
      <c r="D136" s="82"/>
      <c r="E136" s="82"/>
      <c r="F136" s="82"/>
      <c r="G136" s="82"/>
      <c r="H136" s="82"/>
      <c r="I136" s="82"/>
      <c r="J136" s="82"/>
      <c r="K136" s="82"/>
      <c r="L136" s="82"/>
      <c r="M136" s="82"/>
      <c r="N136" s="82"/>
      <c r="O136" s="82"/>
      <c r="P136" s="82"/>
      <c r="Q136" s="82"/>
      <c r="R136" s="82"/>
      <c r="S136" s="82"/>
      <c r="T136" s="82"/>
      <c r="U136" s="82"/>
      <c r="V136" s="82"/>
      <c r="W136" s="82"/>
      <c r="X136" s="82"/>
      <c r="Y136" s="82"/>
    </row>
    <row r="137" spans="1:25" ht="16.5" customHeight="1" x14ac:dyDescent="0.3">
      <c r="A137" s="82"/>
      <c r="B137" s="82"/>
      <c r="C137" s="83"/>
      <c r="D137" s="82"/>
      <c r="E137" s="82"/>
      <c r="F137" s="82"/>
      <c r="G137" s="82"/>
      <c r="H137" s="82"/>
      <c r="I137" s="82"/>
      <c r="J137" s="82"/>
      <c r="K137" s="82"/>
      <c r="L137" s="82"/>
      <c r="M137" s="82"/>
      <c r="N137" s="82"/>
      <c r="O137" s="82"/>
      <c r="P137" s="82"/>
      <c r="Q137" s="82"/>
      <c r="R137" s="82"/>
      <c r="S137" s="82"/>
      <c r="T137" s="82"/>
      <c r="U137" s="82"/>
      <c r="V137" s="82"/>
      <c r="W137" s="82"/>
      <c r="X137" s="82"/>
      <c r="Y137" s="82"/>
    </row>
    <row r="138" spans="1:25" ht="16.5" customHeight="1" x14ac:dyDescent="0.3">
      <c r="A138" s="82"/>
      <c r="B138" s="82"/>
      <c r="C138" s="83"/>
      <c r="D138" s="82"/>
      <c r="E138" s="82"/>
      <c r="F138" s="82"/>
      <c r="G138" s="82"/>
      <c r="H138" s="82"/>
      <c r="I138" s="82"/>
      <c r="J138" s="82"/>
      <c r="K138" s="82"/>
      <c r="L138" s="82"/>
      <c r="M138" s="82"/>
      <c r="N138" s="82"/>
      <c r="O138" s="82"/>
      <c r="P138" s="82"/>
      <c r="Q138" s="82"/>
      <c r="R138" s="82"/>
      <c r="S138" s="82"/>
      <c r="T138" s="82"/>
      <c r="U138" s="82"/>
      <c r="V138" s="82"/>
      <c r="W138" s="82"/>
      <c r="X138" s="82"/>
      <c r="Y138" s="82"/>
    </row>
    <row r="139" spans="1:25" ht="16.5" customHeight="1" x14ac:dyDescent="0.3">
      <c r="A139" s="82"/>
      <c r="B139" s="82"/>
      <c r="C139" s="83"/>
      <c r="D139" s="82"/>
      <c r="E139" s="82"/>
      <c r="F139" s="82"/>
      <c r="G139" s="82"/>
      <c r="H139" s="82"/>
      <c r="I139" s="82"/>
      <c r="J139" s="82"/>
      <c r="K139" s="82"/>
      <c r="L139" s="82"/>
      <c r="M139" s="82"/>
      <c r="N139" s="82"/>
      <c r="O139" s="82"/>
      <c r="P139" s="82"/>
      <c r="Q139" s="82"/>
      <c r="R139" s="82"/>
      <c r="S139" s="82"/>
      <c r="T139" s="82"/>
      <c r="U139" s="82"/>
      <c r="V139" s="82"/>
      <c r="W139" s="82"/>
      <c r="X139" s="82"/>
      <c r="Y139" s="82"/>
    </row>
    <row r="140" spans="1:25" ht="16.5" customHeight="1" x14ac:dyDescent="0.3">
      <c r="A140" s="82"/>
      <c r="B140" s="82"/>
      <c r="C140" s="83"/>
      <c r="D140" s="82"/>
      <c r="E140" s="82"/>
      <c r="F140" s="82"/>
      <c r="G140" s="82"/>
      <c r="H140" s="82"/>
      <c r="I140" s="82"/>
      <c r="J140" s="82"/>
      <c r="K140" s="82"/>
      <c r="L140" s="82"/>
      <c r="M140" s="82"/>
      <c r="N140" s="82"/>
      <c r="O140" s="82"/>
      <c r="P140" s="82"/>
      <c r="Q140" s="82"/>
      <c r="R140" s="82"/>
      <c r="S140" s="82"/>
      <c r="T140" s="82"/>
      <c r="U140" s="82"/>
      <c r="V140" s="82"/>
      <c r="W140" s="82"/>
      <c r="X140" s="82"/>
      <c r="Y140" s="82"/>
    </row>
    <row r="141" spans="1:25" ht="16.5" customHeight="1" x14ac:dyDescent="0.3">
      <c r="A141" s="82"/>
      <c r="B141" s="82"/>
      <c r="C141" s="83"/>
      <c r="D141" s="82"/>
      <c r="E141" s="82"/>
      <c r="F141" s="82"/>
      <c r="G141" s="82"/>
      <c r="H141" s="82"/>
      <c r="I141" s="82"/>
      <c r="J141" s="82"/>
      <c r="K141" s="82"/>
      <c r="L141" s="82"/>
      <c r="M141" s="82"/>
      <c r="N141" s="82"/>
      <c r="O141" s="82"/>
      <c r="P141" s="82"/>
      <c r="Q141" s="82"/>
      <c r="R141" s="82"/>
      <c r="S141" s="82"/>
      <c r="T141" s="82"/>
      <c r="U141" s="82"/>
      <c r="V141" s="82"/>
      <c r="W141" s="82"/>
      <c r="X141" s="82"/>
      <c r="Y141" s="82"/>
    </row>
    <row r="142" spans="1:25" ht="16.5" customHeight="1" x14ac:dyDescent="0.3">
      <c r="A142" s="82"/>
      <c r="B142" s="82"/>
      <c r="C142" s="83"/>
      <c r="D142" s="82"/>
      <c r="E142" s="82"/>
      <c r="F142" s="82"/>
      <c r="G142" s="82"/>
      <c r="H142" s="82"/>
      <c r="I142" s="82"/>
      <c r="J142" s="82"/>
      <c r="K142" s="82"/>
      <c r="L142" s="82"/>
      <c r="M142" s="82"/>
      <c r="N142" s="82"/>
      <c r="O142" s="82"/>
      <c r="P142" s="82"/>
      <c r="Q142" s="82"/>
      <c r="R142" s="82"/>
      <c r="S142" s="82"/>
      <c r="T142" s="82"/>
      <c r="U142" s="82"/>
      <c r="V142" s="82"/>
      <c r="W142" s="82"/>
      <c r="X142" s="82"/>
      <c r="Y142" s="82"/>
    </row>
    <row r="143" spans="1:25" ht="16.5" customHeight="1" x14ac:dyDescent="0.3">
      <c r="A143" s="82"/>
      <c r="B143" s="82"/>
      <c r="C143" s="83"/>
      <c r="D143" s="82"/>
      <c r="E143" s="82"/>
      <c r="F143" s="82"/>
      <c r="G143" s="82"/>
      <c r="H143" s="82"/>
      <c r="I143" s="82"/>
      <c r="J143" s="82"/>
      <c r="K143" s="82"/>
      <c r="L143" s="82"/>
      <c r="M143" s="82"/>
      <c r="N143" s="82"/>
      <c r="O143" s="82"/>
      <c r="P143" s="82"/>
      <c r="Q143" s="82"/>
      <c r="R143" s="82"/>
      <c r="S143" s="82"/>
      <c r="T143" s="82"/>
      <c r="U143" s="82"/>
      <c r="V143" s="82"/>
      <c r="W143" s="82"/>
      <c r="X143" s="82"/>
      <c r="Y143" s="82"/>
    </row>
    <row r="144" spans="1:25" ht="16.5" customHeight="1" x14ac:dyDescent="0.3">
      <c r="A144" s="82"/>
      <c r="B144" s="82"/>
      <c r="C144" s="83"/>
      <c r="D144" s="82"/>
      <c r="E144" s="82"/>
      <c r="F144" s="82"/>
      <c r="G144" s="82"/>
      <c r="H144" s="82"/>
      <c r="I144" s="82"/>
      <c r="J144" s="82"/>
      <c r="K144" s="82"/>
      <c r="L144" s="82"/>
      <c r="M144" s="82"/>
      <c r="N144" s="82"/>
      <c r="O144" s="82"/>
      <c r="P144" s="82"/>
      <c r="Q144" s="82"/>
      <c r="R144" s="82"/>
      <c r="S144" s="82"/>
      <c r="T144" s="82"/>
      <c r="U144" s="82"/>
      <c r="V144" s="82"/>
      <c r="W144" s="82"/>
      <c r="X144" s="82"/>
      <c r="Y144" s="82"/>
    </row>
    <row r="145" spans="1:25" ht="16.5" customHeight="1" x14ac:dyDescent="0.3">
      <c r="A145" s="82"/>
      <c r="B145" s="82"/>
      <c r="C145" s="83"/>
      <c r="D145" s="82"/>
      <c r="E145" s="82"/>
      <c r="F145" s="82"/>
      <c r="G145" s="82"/>
      <c r="H145" s="82"/>
      <c r="I145" s="82"/>
      <c r="J145" s="82"/>
      <c r="K145" s="82"/>
      <c r="L145" s="82"/>
      <c r="M145" s="82"/>
      <c r="N145" s="82"/>
      <c r="O145" s="82"/>
      <c r="P145" s="82"/>
      <c r="Q145" s="82"/>
      <c r="R145" s="82"/>
      <c r="S145" s="82"/>
      <c r="T145" s="82"/>
      <c r="U145" s="82"/>
      <c r="V145" s="82"/>
      <c r="W145" s="82"/>
      <c r="X145" s="82"/>
      <c r="Y145" s="82"/>
    </row>
    <row r="146" spans="1:25" ht="16.5" customHeight="1" x14ac:dyDescent="0.3">
      <c r="A146" s="82"/>
      <c r="B146" s="82"/>
      <c r="C146" s="83"/>
      <c r="D146" s="82"/>
      <c r="E146" s="82"/>
      <c r="F146" s="82"/>
      <c r="G146" s="82"/>
      <c r="H146" s="82"/>
      <c r="I146" s="82"/>
      <c r="J146" s="82"/>
      <c r="K146" s="82"/>
      <c r="L146" s="82"/>
      <c r="M146" s="82"/>
      <c r="N146" s="82"/>
      <c r="O146" s="82"/>
      <c r="P146" s="82"/>
      <c r="Q146" s="82"/>
      <c r="R146" s="82"/>
      <c r="S146" s="82"/>
      <c r="T146" s="82"/>
      <c r="U146" s="82"/>
      <c r="V146" s="82"/>
      <c r="W146" s="82"/>
      <c r="X146" s="82"/>
      <c r="Y146" s="82"/>
    </row>
    <row r="147" spans="1:25" ht="16.5" customHeight="1" x14ac:dyDescent="0.3">
      <c r="A147" s="82"/>
      <c r="B147" s="82"/>
      <c r="C147" s="83"/>
      <c r="D147" s="82"/>
      <c r="E147" s="82"/>
      <c r="F147" s="82"/>
      <c r="G147" s="82"/>
      <c r="H147" s="82"/>
      <c r="I147" s="82"/>
      <c r="J147" s="82"/>
      <c r="K147" s="82"/>
      <c r="L147" s="82"/>
      <c r="M147" s="82"/>
      <c r="N147" s="82"/>
      <c r="O147" s="82"/>
      <c r="P147" s="82"/>
      <c r="Q147" s="82"/>
      <c r="R147" s="82"/>
      <c r="S147" s="82"/>
      <c r="T147" s="82"/>
      <c r="U147" s="82"/>
      <c r="V147" s="82"/>
      <c r="W147" s="82"/>
      <c r="X147" s="82"/>
      <c r="Y147" s="82"/>
    </row>
    <row r="148" spans="1:25" ht="16.5" customHeight="1" x14ac:dyDescent="0.3">
      <c r="A148" s="82"/>
      <c r="B148" s="82"/>
      <c r="C148" s="83"/>
      <c r="D148" s="82"/>
      <c r="E148" s="82"/>
      <c r="F148" s="82"/>
      <c r="G148" s="82"/>
      <c r="H148" s="82"/>
      <c r="I148" s="82"/>
      <c r="J148" s="82"/>
      <c r="K148" s="82"/>
      <c r="L148" s="82"/>
      <c r="M148" s="82"/>
      <c r="N148" s="82"/>
      <c r="O148" s="82"/>
      <c r="P148" s="82"/>
      <c r="Q148" s="82"/>
      <c r="R148" s="82"/>
      <c r="S148" s="82"/>
      <c r="T148" s="82"/>
      <c r="U148" s="82"/>
      <c r="V148" s="82"/>
      <c r="W148" s="82"/>
      <c r="X148" s="82"/>
      <c r="Y148" s="82"/>
    </row>
    <row r="149" spans="1:25" ht="16.5" customHeight="1" x14ac:dyDescent="0.3">
      <c r="A149" s="82"/>
      <c r="B149" s="82"/>
      <c r="C149" s="83"/>
      <c r="D149" s="82"/>
      <c r="E149" s="82"/>
      <c r="F149" s="82"/>
      <c r="G149" s="82"/>
      <c r="H149" s="82"/>
      <c r="I149" s="82"/>
      <c r="J149" s="82"/>
      <c r="K149" s="82"/>
      <c r="L149" s="82"/>
      <c r="M149" s="82"/>
      <c r="N149" s="82"/>
      <c r="O149" s="82"/>
      <c r="P149" s="82"/>
      <c r="Q149" s="82"/>
      <c r="R149" s="82"/>
      <c r="S149" s="82"/>
      <c r="T149" s="82"/>
      <c r="U149" s="82"/>
      <c r="V149" s="82"/>
      <c r="W149" s="82"/>
      <c r="X149" s="82"/>
      <c r="Y149" s="82"/>
    </row>
    <row r="150" spans="1:25" ht="16.5" customHeight="1" x14ac:dyDescent="0.3">
      <c r="A150" s="82"/>
      <c r="B150" s="82"/>
      <c r="C150" s="83"/>
      <c r="D150" s="82"/>
      <c r="E150" s="82"/>
      <c r="F150" s="82"/>
      <c r="G150" s="82"/>
      <c r="H150" s="82"/>
      <c r="I150" s="82"/>
      <c r="J150" s="82"/>
      <c r="K150" s="82"/>
      <c r="L150" s="82"/>
      <c r="M150" s="82"/>
      <c r="N150" s="82"/>
      <c r="O150" s="82"/>
      <c r="P150" s="82"/>
      <c r="Q150" s="82"/>
      <c r="R150" s="82"/>
      <c r="S150" s="82"/>
      <c r="T150" s="82"/>
      <c r="U150" s="82"/>
      <c r="V150" s="82"/>
      <c r="W150" s="82"/>
      <c r="X150" s="82"/>
      <c r="Y150" s="82"/>
    </row>
    <row r="151" spans="1:25" ht="16.5" customHeight="1" x14ac:dyDescent="0.3">
      <c r="A151" s="82"/>
      <c r="B151" s="82"/>
      <c r="C151" s="83"/>
      <c r="D151" s="82"/>
      <c r="E151" s="82"/>
      <c r="F151" s="82"/>
      <c r="G151" s="82"/>
      <c r="H151" s="82"/>
      <c r="I151" s="82"/>
      <c r="J151" s="82"/>
      <c r="K151" s="82"/>
      <c r="L151" s="82"/>
      <c r="M151" s="82"/>
      <c r="N151" s="82"/>
      <c r="O151" s="82"/>
      <c r="P151" s="82"/>
      <c r="Q151" s="82"/>
      <c r="R151" s="82"/>
      <c r="S151" s="82"/>
      <c r="T151" s="82"/>
      <c r="U151" s="82"/>
      <c r="V151" s="82"/>
      <c r="W151" s="82"/>
      <c r="X151" s="82"/>
      <c r="Y151" s="82"/>
    </row>
    <row r="152" spans="1:25" ht="16.5" customHeight="1" x14ac:dyDescent="0.3">
      <c r="A152" s="82"/>
      <c r="B152" s="82"/>
      <c r="C152" s="83"/>
      <c r="D152" s="82"/>
      <c r="E152" s="82"/>
      <c r="F152" s="82"/>
      <c r="G152" s="82"/>
      <c r="H152" s="82"/>
      <c r="I152" s="82"/>
      <c r="J152" s="82"/>
      <c r="K152" s="82"/>
      <c r="L152" s="82"/>
      <c r="M152" s="82"/>
      <c r="N152" s="82"/>
      <c r="O152" s="82"/>
      <c r="P152" s="82"/>
      <c r="Q152" s="82"/>
      <c r="R152" s="82"/>
      <c r="S152" s="82"/>
      <c r="T152" s="82"/>
      <c r="U152" s="82"/>
      <c r="V152" s="82"/>
      <c r="W152" s="82"/>
      <c r="X152" s="82"/>
      <c r="Y152" s="82"/>
    </row>
    <row r="153" spans="1:25" ht="16.5" customHeight="1" x14ac:dyDescent="0.3">
      <c r="A153" s="82"/>
      <c r="B153" s="82"/>
      <c r="C153" s="83"/>
      <c r="D153" s="82"/>
      <c r="E153" s="82"/>
      <c r="F153" s="82"/>
      <c r="G153" s="82"/>
      <c r="H153" s="82"/>
      <c r="I153" s="82"/>
      <c r="J153" s="82"/>
      <c r="K153" s="82"/>
      <c r="L153" s="82"/>
      <c r="M153" s="82"/>
      <c r="N153" s="82"/>
      <c r="O153" s="82"/>
      <c r="P153" s="82"/>
      <c r="Q153" s="82"/>
      <c r="R153" s="82"/>
      <c r="S153" s="82"/>
      <c r="T153" s="82"/>
      <c r="U153" s="82"/>
      <c r="V153" s="82"/>
      <c r="W153" s="82"/>
      <c r="X153" s="82"/>
      <c r="Y153" s="82"/>
    </row>
    <row r="154" spans="1:25" ht="16.5" customHeight="1" x14ac:dyDescent="0.3">
      <c r="A154" s="82"/>
      <c r="B154" s="82"/>
      <c r="C154" s="83"/>
      <c r="D154" s="82"/>
      <c r="E154" s="82"/>
      <c r="F154" s="82"/>
      <c r="G154" s="82"/>
      <c r="H154" s="82"/>
      <c r="I154" s="82"/>
      <c r="J154" s="82"/>
      <c r="K154" s="82"/>
      <c r="L154" s="82"/>
      <c r="M154" s="82"/>
      <c r="N154" s="82"/>
      <c r="O154" s="82"/>
      <c r="P154" s="82"/>
      <c r="Q154" s="82"/>
      <c r="R154" s="82"/>
      <c r="S154" s="82"/>
      <c r="T154" s="82"/>
      <c r="U154" s="82"/>
      <c r="V154" s="82"/>
      <c r="W154" s="82"/>
      <c r="X154" s="82"/>
      <c r="Y154" s="82"/>
    </row>
    <row r="155" spans="1:25" ht="16.5" customHeight="1" x14ac:dyDescent="0.3">
      <c r="A155" s="82"/>
      <c r="B155" s="82"/>
      <c r="C155" s="83"/>
      <c r="D155" s="82"/>
      <c r="E155" s="82"/>
      <c r="F155" s="82"/>
      <c r="G155" s="82"/>
      <c r="H155" s="82"/>
      <c r="I155" s="82"/>
      <c r="J155" s="82"/>
      <c r="K155" s="82"/>
      <c r="L155" s="82"/>
      <c r="M155" s="82"/>
      <c r="N155" s="82"/>
      <c r="O155" s="82"/>
      <c r="P155" s="82"/>
      <c r="Q155" s="82"/>
      <c r="R155" s="82"/>
      <c r="S155" s="82"/>
      <c r="T155" s="82"/>
      <c r="U155" s="82"/>
      <c r="V155" s="82"/>
      <c r="W155" s="82"/>
      <c r="X155" s="82"/>
      <c r="Y155" s="82"/>
    </row>
    <row r="156" spans="1:25" ht="16.5" customHeight="1" x14ac:dyDescent="0.3">
      <c r="A156" s="82"/>
      <c r="B156" s="82"/>
      <c r="C156" s="83"/>
      <c r="D156" s="82"/>
      <c r="E156" s="82"/>
      <c r="F156" s="82"/>
      <c r="G156" s="82"/>
      <c r="H156" s="82"/>
      <c r="I156" s="82"/>
      <c r="J156" s="82"/>
      <c r="K156" s="82"/>
      <c r="L156" s="82"/>
      <c r="M156" s="82"/>
      <c r="N156" s="82"/>
      <c r="O156" s="82"/>
      <c r="P156" s="82"/>
      <c r="Q156" s="82"/>
      <c r="R156" s="82"/>
      <c r="S156" s="82"/>
      <c r="T156" s="82"/>
      <c r="U156" s="82"/>
      <c r="V156" s="82"/>
      <c r="W156" s="82"/>
      <c r="X156" s="82"/>
      <c r="Y156" s="82"/>
    </row>
    <row r="157" spans="1:25" ht="16.5" customHeight="1" x14ac:dyDescent="0.3">
      <c r="A157" s="82"/>
      <c r="B157" s="82"/>
      <c r="C157" s="83"/>
      <c r="D157" s="82"/>
      <c r="E157" s="82"/>
      <c r="F157" s="82"/>
      <c r="G157" s="82"/>
      <c r="H157" s="82"/>
      <c r="I157" s="82"/>
      <c r="J157" s="82"/>
      <c r="K157" s="82"/>
      <c r="L157" s="82"/>
      <c r="M157" s="82"/>
      <c r="N157" s="82"/>
      <c r="O157" s="82"/>
      <c r="P157" s="82"/>
      <c r="Q157" s="82"/>
      <c r="R157" s="82"/>
      <c r="S157" s="82"/>
      <c r="T157" s="82"/>
      <c r="U157" s="82"/>
      <c r="V157" s="82"/>
      <c r="W157" s="82"/>
      <c r="X157" s="82"/>
      <c r="Y157" s="82"/>
    </row>
    <row r="158" spans="1:25" ht="16.5" customHeight="1" x14ac:dyDescent="0.3">
      <c r="A158" s="82"/>
      <c r="B158" s="82"/>
      <c r="C158" s="83"/>
      <c r="D158" s="82"/>
      <c r="E158" s="82"/>
      <c r="F158" s="82"/>
      <c r="G158" s="82"/>
      <c r="H158" s="82"/>
      <c r="I158" s="82"/>
      <c r="J158" s="82"/>
      <c r="K158" s="82"/>
      <c r="L158" s="82"/>
      <c r="M158" s="82"/>
      <c r="N158" s="82"/>
      <c r="O158" s="82"/>
      <c r="P158" s="82"/>
      <c r="Q158" s="82"/>
      <c r="R158" s="82"/>
      <c r="S158" s="82"/>
      <c r="T158" s="82"/>
      <c r="U158" s="82"/>
      <c r="V158" s="82"/>
      <c r="W158" s="82"/>
      <c r="X158" s="82"/>
      <c r="Y158" s="82"/>
    </row>
    <row r="159" spans="1:25" ht="16.5" customHeight="1" x14ac:dyDescent="0.3">
      <c r="A159" s="82"/>
      <c r="B159" s="82"/>
      <c r="C159" s="83"/>
      <c r="D159" s="82"/>
      <c r="E159" s="82"/>
      <c r="F159" s="82"/>
      <c r="G159" s="82"/>
      <c r="H159" s="82"/>
      <c r="I159" s="82"/>
      <c r="J159" s="82"/>
      <c r="K159" s="82"/>
      <c r="L159" s="82"/>
      <c r="M159" s="82"/>
      <c r="N159" s="82"/>
      <c r="O159" s="82"/>
      <c r="P159" s="82"/>
      <c r="Q159" s="82"/>
      <c r="R159" s="82"/>
      <c r="S159" s="82"/>
      <c r="T159" s="82"/>
      <c r="U159" s="82"/>
      <c r="V159" s="82"/>
      <c r="W159" s="82"/>
      <c r="X159" s="82"/>
      <c r="Y159" s="82"/>
    </row>
    <row r="160" spans="1:25" ht="16.5" customHeight="1" x14ac:dyDescent="0.3">
      <c r="A160" s="82"/>
      <c r="B160" s="82"/>
      <c r="C160" s="83"/>
      <c r="D160" s="82"/>
      <c r="E160" s="82"/>
      <c r="F160" s="82"/>
      <c r="G160" s="82"/>
      <c r="H160" s="82"/>
      <c r="I160" s="82"/>
      <c r="J160" s="82"/>
      <c r="K160" s="82"/>
      <c r="L160" s="82"/>
      <c r="M160" s="82"/>
      <c r="N160" s="82"/>
      <c r="O160" s="82"/>
      <c r="P160" s="82"/>
      <c r="Q160" s="82"/>
      <c r="R160" s="82"/>
      <c r="S160" s="82"/>
      <c r="T160" s="82"/>
      <c r="U160" s="82"/>
      <c r="V160" s="82"/>
      <c r="W160" s="82"/>
      <c r="X160" s="82"/>
      <c r="Y160" s="82"/>
    </row>
    <row r="161" spans="1:25" ht="16.5" customHeight="1" x14ac:dyDescent="0.3">
      <c r="A161" s="82"/>
      <c r="B161" s="82"/>
      <c r="C161" s="83"/>
      <c r="D161" s="82"/>
      <c r="E161" s="82"/>
      <c r="F161" s="82"/>
      <c r="G161" s="82"/>
      <c r="H161" s="82"/>
      <c r="I161" s="82"/>
      <c r="J161" s="82"/>
      <c r="K161" s="82"/>
      <c r="L161" s="82"/>
      <c r="M161" s="82"/>
      <c r="N161" s="82"/>
      <c r="O161" s="82"/>
      <c r="P161" s="82"/>
      <c r="Q161" s="82"/>
      <c r="R161" s="82"/>
      <c r="S161" s="82"/>
      <c r="T161" s="82"/>
      <c r="U161" s="82"/>
      <c r="V161" s="82"/>
      <c r="W161" s="82"/>
      <c r="X161" s="82"/>
      <c r="Y161" s="82"/>
    </row>
    <row r="162" spans="1:25" ht="16.5" customHeight="1" x14ac:dyDescent="0.3">
      <c r="A162" s="82"/>
      <c r="B162" s="82"/>
      <c r="C162" s="83"/>
      <c r="D162" s="82"/>
      <c r="E162" s="82"/>
      <c r="F162" s="82"/>
      <c r="G162" s="82"/>
      <c r="H162" s="82"/>
      <c r="I162" s="82"/>
      <c r="J162" s="82"/>
      <c r="K162" s="82"/>
      <c r="L162" s="82"/>
      <c r="M162" s="82"/>
      <c r="N162" s="82"/>
      <c r="O162" s="82"/>
      <c r="P162" s="82"/>
      <c r="Q162" s="82"/>
      <c r="R162" s="82"/>
      <c r="S162" s="82"/>
      <c r="T162" s="82"/>
      <c r="U162" s="82"/>
      <c r="V162" s="82"/>
      <c r="W162" s="82"/>
      <c r="X162" s="82"/>
      <c r="Y162" s="82"/>
    </row>
    <row r="163" spans="1:25" ht="16.5" customHeight="1" x14ac:dyDescent="0.3">
      <c r="A163" s="82"/>
      <c r="B163" s="82"/>
      <c r="C163" s="83"/>
      <c r="D163" s="82"/>
      <c r="E163" s="82"/>
      <c r="F163" s="82"/>
      <c r="G163" s="82"/>
      <c r="H163" s="82"/>
      <c r="I163" s="82"/>
      <c r="J163" s="82"/>
      <c r="K163" s="82"/>
      <c r="L163" s="82"/>
      <c r="M163" s="82"/>
      <c r="N163" s="82"/>
      <c r="O163" s="82"/>
      <c r="P163" s="82"/>
      <c r="Q163" s="82"/>
      <c r="R163" s="82"/>
      <c r="S163" s="82"/>
      <c r="T163" s="82"/>
      <c r="U163" s="82"/>
      <c r="V163" s="82"/>
      <c r="W163" s="82"/>
      <c r="X163" s="82"/>
      <c r="Y163" s="82"/>
    </row>
    <row r="164" spans="1:25" ht="16.5" customHeight="1" x14ac:dyDescent="0.3">
      <c r="A164" s="82"/>
      <c r="B164" s="82"/>
      <c r="C164" s="83"/>
      <c r="D164" s="82"/>
      <c r="E164" s="82"/>
      <c r="F164" s="82"/>
      <c r="G164" s="82"/>
      <c r="H164" s="82"/>
      <c r="I164" s="82"/>
      <c r="J164" s="82"/>
      <c r="K164" s="82"/>
      <c r="L164" s="82"/>
      <c r="M164" s="82"/>
      <c r="N164" s="82"/>
      <c r="O164" s="82"/>
      <c r="P164" s="82"/>
      <c r="Q164" s="82"/>
      <c r="R164" s="82"/>
      <c r="S164" s="82"/>
      <c r="T164" s="82"/>
      <c r="U164" s="82"/>
      <c r="V164" s="82"/>
      <c r="W164" s="82"/>
      <c r="X164" s="82"/>
      <c r="Y164" s="82"/>
    </row>
    <row r="165" spans="1:25" ht="16.5" customHeight="1" x14ac:dyDescent="0.3">
      <c r="A165" s="82"/>
      <c r="B165" s="82"/>
      <c r="C165" s="83"/>
      <c r="D165" s="82"/>
      <c r="E165" s="82"/>
      <c r="F165" s="82"/>
      <c r="G165" s="82"/>
      <c r="H165" s="82"/>
      <c r="I165" s="82"/>
      <c r="J165" s="82"/>
      <c r="K165" s="82"/>
      <c r="L165" s="82"/>
      <c r="M165" s="82"/>
      <c r="N165" s="82"/>
      <c r="O165" s="82"/>
      <c r="P165" s="82"/>
      <c r="Q165" s="82"/>
      <c r="R165" s="82"/>
      <c r="S165" s="82"/>
      <c r="T165" s="82"/>
      <c r="U165" s="82"/>
      <c r="V165" s="82"/>
      <c r="W165" s="82"/>
      <c r="X165" s="82"/>
      <c r="Y165" s="82"/>
    </row>
    <row r="166" spans="1:25" ht="16.5" customHeight="1" x14ac:dyDescent="0.3">
      <c r="A166" s="82"/>
      <c r="B166" s="82"/>
      <c r="C166" s="83"/>
      <c r="D166" s="82"/>
      <c r="E166" s="82"/>
      <c r="F166" s="82"/>
      <c r="G166" s="82"/>
      <c r="H166" s="82"/>
      <c r="I166" s="82"/>
      <c r="J166" s="82"/>
      <c r="K166" s="82"/>
      <c r="L166" s="82"/>
      <c r="M166" s="82"/>
      <c r="N166" s="82"/>
      <c r="O166" s="82"/>
      <c r="P166" s="82"/>
      <c r="Q166" s="82"/>
      <c r="R166" s="82"/>
      <c r="S166" s="82"/>
      <c r="T166" s="82"/>
      <c r="U166" s="82"/>
      <c r="V166" s="82"/>
      <c r="W166" s="82"/>
      <c r="X166" s="82"/>
      <c r="Y166" s="82"/>
    </row>
    <row r="167" spans="1:25" ht="16.5" customHeight="1" x14ac:dyDescent="0.3">
      <c r="A167" s="82"/>
      <c r="B167" s="82"/>
      <c r="C167" s="83"/>
      <c r="D167" s="82"/>
      <c r="E167" s="82"/>
      <c r="F167" s="82"/>
      <c r="G167" s="82"/>
      <c r="H167" s="82"/>
      <c r="I167" s="82"/>
      <c r="J167" s="82"/>
      <c r="K167" s="82"/>
      <c r="L167" s="82"/>
      <c r="M167" s="82"/>
      <c r="N167" s="82"/>
      <c r="O167" s="82"/>
      <c r="P167" s="82"/>
      <c r="Q167" s="82"/>
      <c r="R167" s="82"/>
      <c r="S167" s="82"/>
      <c r="T167" s="82"/>
      <c r="U167" s="82"/>
      <c r="V167" s="82"/>
      <c r="W167" s="82"/>
      <c r="X167" s="82"/>
      <c r="Y167" s="82"/>
    </row>
    <row r="168" spans="1:25" ht="16.5" customHeight="1" x14ac:dyDescent="0.3">
      <c r="A168" s="82"/>
      <c r="B168" s="82"/>
      <c r="C168" s="83"/>
      <c r="D168" s="82"/>
      <c r="E168" s="82"/>
      <c r="F168" s="82"/>
      <c r="G168" s="82"/>
      <c r="H168" s="82"/>
      <c r="I168" s="82"/>
      <c r="J168" s="82"/>
      <c r="K168" s="82"/>
      <c r="L168" s="82"/>
      <c r="M168" s="82"/>
      <c r="N168" s="82"/>
      <c r="O168" s="82"/>
      <c r="P168" s="82"/>
      <c r="Q168" s="82"/>
      <c r="R168" s="82"/>
      <c r="S168" s="82"/>
      <c r="T168" s="82"/>
      <c r="U168" s="82"/>
      <c r="V168" s="82"/>
      <c r="W168" s="82"/>
      <c r="X168" s="82"/>
      <c r="Y168" s="82"/>
    </row>
    <row r="169" spans="1:25" ht="16.5" customHeight="1" x14ac:dyDescent="0.3">
      <c r="A169" s="82"/>
      <c r="B169" s="82"/>
      <c r="C169" s="83"/>
      <c r="D169" s="82"/>
      <c r="E169" s="82"/>
      <c r="F169" s="82"/>
      <c r="G169" s="82"/>
      <c r="H169" s="82"/>
      <c r="I169" s="82"/>
      <c r="J169" s="82"/>
      <c r="K169" s="82"/>
      <c r="L169" s="82"/>
      <c r="M169" s="82"/>
      <c r="N169" s="82"/>
      <c r="O169" s="82"/>
      <c r="P169" s="82"/>
      <c r="Q169" s="82"/>
      <c r="R169" s="82"/>
      <c r="S169" s="82"/>
      <c r="T169" s="82"/>
      <c r="U169" s="82"/>
      <c r="V169" s="82"/>
      <c r="W169" s="82"/>
      <c r="X169" s="82"/>
      <c r="Y169" s="82"/>
    </row>
    <row r="170" spans="1:25" ht="16.5" customHeight="1" x14ac:dyDescent="0.3">
      <c r="A170" s="82"/>
      <c r="B170" s="82"/>
      <c r="C170" s="83"/>
      <c r="D170" s="82"/>
      <c r="E170" s="82"/>
      <c r="F170" s="82"/>
      <c r="G170" s="82"/>
      <c r="H170" s="82"/>
      <c r="I170" s="82"/>
      <c r="J170" s="82"/>
      <c r="K170" s="82"/>
      <c r="L170" s="82"/>
      <c r="M170" s="82"/>
      <c r="N170" s="82"/>
      <c r="O170" s="82"/>
      <c r="P170" s="82"/>
      <c r="Q170" s="82"/>
      <c r="R170" s="82"/>
      <c r="S170" s="82"/>
      <c r="T170" s="82"/>
      <c r="U170" s="82"/>
      <c r="V170" s="82"/>
      <c r="W170" s="82"/>
      <c r="X170" s="82"/>
      <c r="Y170" s="82"/>
    </row>
    <row r="171" spans="1:25" ht="16.5" customHeight="1" x14ac:dyDescent="0.3">
      <c r="A171" s="82"/>
      <c r="B171" s="82"/>
      <c r="C171" s="83"/>
      <c r="D171" s="82"/>
      <c r="E171" s="82"/>
      <c r="F171" s="82"/>
      <c r="G171" s="82"/>
      <c r="H171" s="82"/>
      <c r="I171" s="82"/>
      <c r="J171" s="82"/>
      <c r="K171" s="82"/>
      <c r="L171" s="82"/>
      <c r="M171" s="82"/>
      <c r="N171" s="82"/>
      <c r="O171" s="82"/>
      <c r="P171" s="82"/>
      <c r="Q171" s="82"/>
      <c r="R171" s="82"/>
      <c r="S171" s="82"/>
      <c r="T171" s="82"/>
      <c r="U171" s="82"/>
      <c r="V171" s="82"/>
      <c r="W171" s="82"/>
      <c r="X171" s="82"/>
      <c r="Y171" s="82"/>
    </row>
    <row r="172" spans="1:25" ht="16.5" customHeight="1" x14ac:dyDescent="0.3">
      <c r="A172" s="82"/>
      <c r="B172" s="82"/>
      <c r="C172" s="83"/>
      <c r="D172" s="82"/>
      <c r="E172" s="82"/>
      <c r="F172" s="82"/>
      <c r="G172" s="82"/>
      <c r="H172" s="82"/>
      <c r="I172" s="82"/>
      <c r="J172" s="82"/>
      <c r="K172" s="82"/>
      <c r="L172" s="82"/>
      <c r="M172" s="82"/>
      <c r="N172" s="82"/>
      <c r="O172" s="82"/>
      <c r="P172" s="82"/>
      <c r="Q172" s="82"/>
      <c r="R172" s="82"/>
      <c r="S172" s="82"/>
      <c r="T172" s="82"/>
      <c r="U172" s="82"/>
      <c r="V172" s="82"/>
      <c r="W172" s="82"/>
      <c r="X172" s="82"/>
      <c r="Y172" s="82"/>
    </row>
    <row r="173" spans="1:25" ht="16.5" customHeight="1" x14ac:dyDescent="0.3">
      <c r="A173" s="82"/>
      <c r="B173" s="82"/>
      <c r="C173" s="83"/>
      <c r="D173" s="82"/>
      <c r="E173" s="82"/>
      <c r="F173" s="82"/>
      <c r="G173" s="82"/>
      <c r="H173" s="82"/>
      <c r="I173" s="82"/>
      <c r="J173" s="82"/>
      <c r="K173" s="82"/>
      <c r="L173" s="82"/>
      <c r="M173" s="82"/>
      <c r="N173" s="82"/>
      <c r="O173" s="82"/>
      <c r="P173" s="82"/>
      <c r="Q173" s="82"/>
      <c r="R173" s="82"/>
      <c r="S173" s="82"/>
      <c r="T173" s="82"/>
      <c r="U173" s="82"/>
      <c r="V173" s="82"/>
      <c r="W173" s="82"/>
      <c r="X173" s="82"/>
      <c r="Y173" s="82"/>
    </row>
    <row r="174" spans="1:25" ht="16.5" customHeight="1" x14ac:dyDescent="0.3">
      <c r="A174" s="82"/>
      <c r="B174" s="82"/>
      <c r="C174" s="83"/>
      <c r="D174" s="82"/>
      <c r="E174" s="82"/>
      <c r="F174" s="82"/>
      <c r="G174" s="82"/>
      <c r="H174" s="82"/>
      <c r="I174" s="82"/>
      <c r="J174" s="82"/>
      <c r="K174" s="82"/>
      <c r="L174" s="82"/>
      <c r="M174" s="82"/>
      <c r="N174" s="82"/>
      <c r="O174" s="82"/>
      <c r="P174" s="82"/>
      <c r="Q174" s="82"/>
      <c r="R174" s="82"/>
      <c r="S174" s="82"/>
      <c r="T174" s="82"/>
      <c r="U174" s="82"/>
      <c r="V174" s="82"/>
      <c r="W174" s="82"/>
      <c r="X174" s="82"/>
      <c r="Y174" s="82"/>
    </row>
    <row r="175" spans="1:25" ht="16.5" customHeight="1" x14ac:dyDescent="0.3">
      <c r="A175" s="82"/>
      <c r="B175" s="82"/>
      <c r="C175" s="83"/>
      <c r="D175" s="82"/>
      <c r="E175" s="82"/>
      <c r="F175" s="82"/>
      <c r="G175" s="82"/>
      <c r="H175" s="82"/>
      <c r="I175" s="82"/>
      <c r="J175" s="82"/>
      <c r="K175" s="82"/>
      <c r="L175" s="82"/>
      <c r="M175" s="82"/>
      <c r="N175" s="82"/>
      <c r="O175" s="82"/>
      <c r="P175" s="82"/>
      <c r="Q175" s="82"/>
      <c r="R175" s="82"/>
      <c r="S175" s="82"/>
      <c r="T175" s="82"/>
      <c r="U175" s="82"/>
      <c r="V175" s="82"/>
      <c r="W175" s="82"/>
      <c r="X175" s="82"/>
      <c r="Y175" s="82"/>
    </row>
    <row r="176" spans="1:25" ht="16.5" customHeight="1" x14ac:dyDescent="0.3">
      <c r="A176" s="82"/>
      <c r="B176" s="82"/>
      <c r="C176" s="83"/>
      <c r="D176" s="82"/>
      <c r="E176" s="82"/>
      <c r="F176" s="82"/>
      <c r="G176" s="82"/>
      <c r="H176" s="82"/>
      <c r="I176" s="82"/>
      <c r="J176" s="82"/>
      <c r="K176" s="82"/>
      <c r="L176" s="82"/>
      <c r="M176" s="82"/>
      <c r="N176" s="82"/>
      <c r="O176" s="82"/>
      <c r="P176" s="82"/>
      <c r="Q176" s="82"/>
      <c r="R176" s="82"/>
      <c r="S176" s="82"/>
      <c r="T176" s="82"/>
      <c r="U176" s="82"/>
      <c r="V176" s="82"/>
      <c r="W176" s="82"/>
      <c r="X176" s="82"/>
      <c r="Y176" s="82"/>
    </row>
    <row r="177" spans="1:25" ht="16.5" customHeight="1" x14ac:dyDescent="0.3">
      <c r="A177" s="82"/>
      <c r="B177" s="82"/>
      <c r="C177" s="83"/>
      <c r="D177" s="82"/>
      <c r="E177" s="82"/>
      <c r="F177" s="82"/>
      <c r="G177" s="82"/>
      <c r="H177" s="82"/>
      <c r="I177" s="82"/>
      <c r="J177" s="82"/>
      <c r="K177" s="82"/>
      <c r="L177" s="82"/>
      <c r="M177" s="82"/>
      <c r="N177" s="82"/>
      <c r="O177" s="82"/>
      <c r="P177" s="82"/>
      <c r="Q177" s="82"/>
      <c r="R177" s="82"/>
      <c r="S177" s="82"/>
      <c r="T177" s="82"/>
      <c r="U177" s="82"/>
      <c r="V177" s="82"/>
      <c r="W177" s="82"/>
      <c r="X177" s="82"/>
      <c r="Y177" s="82"/>
    </row>
    <row r="178" spans="1:25" ht="16.5" customHeight="1" x14ac:dyDescent="0.3">
      <c r="A178" s="82"/>
      <c r="B178" s="82"/>
      <c r="C178" s="83"/>
      <c r="D178" s="82"/>
      <c r="E178" s="82"/>
      <c r="F178" s="82"/>
      <c r="G178" s="82"/>
      <c r="H178" s="82"/>
      <c r="I178" s="82"/>
      <c r="J178" s="82"/>
      <c r="K178" s="82"/>
      <c r="L178" s="82"/>
      <c r="M178" s="82"/>
      <c r="N178" s="82"/>
      <c r="O178" s="82"/>
      <c r="P178" s="82"/>
      <c r="Q178" s="82"/>
      <c r="R178" s="82"/>
      <c r="S178" s="82"/>
      <c r="T178" s="82"/>
      <c r="U178" s="82"/>
      <c r="V178" s="82"/>
      <c r="W178" s="82"/>
      <c r="X178" s="82"/>
      <c r="Y178" s="82"/>
    </row>
    <row r="179" spans="1:25" ht="16.5" customHeight="1" x14ac:dyDescent="0.3">
      <c r="A179" s="82"/>
      <c r="B179" s="82"/>
      <c r="C179" s="83"/>
      <c r="D179" s="82"/>
      <c r="E179" s="82"/>
      <c r="F179" s="82"/>
      <c r="G179" s="82"/>
      <c r="H179" s="82"/>
      <c r="I179" s="82"/>
      <c r="J179" s="82"/>
      <c r="K179" s="82"/>
      <c r="L179" s="82"/>
      <c r="M179" s="82"/>
      <c r="N179" s="82"/>
      <c r="O179" s="82"/>
      <c r="P179" s="82"/>
      <c r="Q179" s="82"/>
      <c r="R179" s="82"/>
      <c r="S179" s="82"/>
      <c r="T179" s="82"/>
      <c r="U179" s="82"/>
      <c r="V179" s="82"/>
      <c r="W179" s="82"/>
      <c r="X179" s="82"/>
      <c r="Y179" s="82"/>
    </row>
    <row r="180" spans="1:25" ht="16.5" customHeight="1" x14ac:dyDescent="0.3">
      <c r="A180" s="82"/>
      <c r="B180" s="82"/>
      <c r="C180" s="83"/>
      <c r="D180" s="82"/>
      <c r="E180" s="82"/>
      <c r="F180" s="82"/>
      <c r="G180" s="82"/>
      <c r="H180" s="82"/>
      <c r="I180" s="82"/>
      <c r="J180" s="82"/>
      <c r="K180" s="82"/>
      <c r="L180" s="82"/>
      <c r="M180" s="82"/>
      <c r="N180" s="82"/>
      <c r="O180" s="82"/>
      <c r="P180" s="82"/>
      <c r="Q180" s="82"/>
      <c r="R180" s="82"/>
      <c r="S180" s="82"/>
      <c r="T180" s="82"/>
      <c r="U180" s="82"/>
      <c r="V180" s="82"/>
      <c r="W180" s="82"/>
      <c r="X180" s="82"/>
      <c r="Y180" s="82"/>
    </row>
    <row r="181" spans="1:25" ht="16.5" customHeight="1" x14ac:dyDescent="0.3">
      <c r="A181" s="82"/>
      <c r="B181" s="82"/>
      <c r="C181" s="83"/>
      <c r="D181" s="82"/>
      <c r="E181" s="82"/>
      <c r="F181" s="82"/>
      <c r="G181" s="82"/>
      <c r="H181" s="82"/>
      <c r="I181" s="82"/>
      <c r="J181" s="82"/>
      <c r="K181" s="82"/>
      <c r="L181" s="82"/>
      <c r="M181" s="82"/>
      <c r="N181" s="82"/>
      <c r="O181" s="82"/>
      <c r="P181" s="82"/>
      <c r="Q181" s="82"/>
      <c r="R181" s="82"/>
      <c r="S181" s="82"/>
      <c r="T181" s="82"/>
      <c r="U181" s="82"/>
      <c r="V181" s="82"/>
      <c r="W181" s="82"/>
      <c r="X181" s="82"/>
      <c r="Y181" s="82"/>
    </row>
    <row r="182" spans="1:25" ht="16.5" customHeight="1" x14ac:dyDescent="0.3">
      <c r="A182" s="82"/>
      <c r="B182" s="82"/>
      <c r="C182" s="83"/>
      <c r="D182" s="82"/>
      <c r="E182" s="82"/>
      <c r="F182" s="82"/>
      <c r="G182" s="82"/>
      <c r="H182" s="82"/>
      <c r="I182" s="82"/>
      <c r="J182" s="82"/>
      <c r="K182" s="82"/>
      <c r="L182" s="82"/>
      <c r="M182" s="82"/>
      <c r="N182" s="82"/>
      <c r="O182" s="82"/>
      <c r="P182" s="82"/>
      <c r="Q182" s="82"/>
      <c r="R182" s="82"/>
      <c r="S182" s="82"/>
      <c r="T182" s="82"/>
      <c r="U182" s="82"/>
      <c r="V182" s="82"/>
      <c r="W182" s="82"/>
      <c r="X182" s="82"/>
      <c r="Y182" s="82"/>
    </row>
    <row r="183" spans="1:25" ht="16.5" customHeight="1" x14ac:dyDescent="0.3">
      <c r="A183" s="82"/>
      <c r="B183" s="82"/>
      <c r="C183" s="83"/>
      <c r="D183" s="82"/>
      <c r="E183" s="82"/>
      <c r="F183" s="82"/>
      <c r="G183" s="82"/>
      <c r="H183" s="82"/>
      <c r="I183" s="82"/>
      <c r="J183" s="82"/>
      <c r="K183" s="82"/>
      <c r="L183" s="82"/>
      <c r="M183" s="82"/>
      <c r="N183" s="82"/>
      <c r="O183" s="82"/>
      <c r="P183" s="82"/>
      <c r="Q183" s="82"/>
      <c r="R183" s="82"/>
      <c r="S183" s="82"/>
      <c r="T183" s="82"/>
      <c r="U183" s="82"/>
      <c r="V183" s="82"/>
      <c r="W183" s="82"/>
      <c r="X183" s="82"/>
      <c r="Y183" s="82"/>
    </row>
    <row r="184" spans="1:25" ht="16.5" customHeight="1" x14ac:dyDescent="0.3">
      <c r="A184" s="82"/>
      <c r="B184" s="82"/>
      <c r="C184" s="83"/>
      <c r="D184" s="82"/>
      <c r="E184" s="82"/>
      <c r="F184" s="82"/>
      <c r="G184" s="82"/>
      <c r="H184" s="82"/>
      <c r="I184" s="82"/>
      <c r="J184" s="82"/>
      <c r="K184" s="82"/>
      <c r="L184" s="82"/>
      <c r="M184" s="82"/>
      <c r="N184" s="82"/>
      <c r="O184" s="82"/>
      <c r="P184" s="82"/>
      <c r="Q184" s="82"/>
      <c r="R184" s="82"/>
      <c r="S184" s="82"/>
      <c r="T184" s="82"/>
      <c r="U184" s="82"/>
      <c r="V184" s="82"/>
      <c r="W184" s="82"/>
      <c r="X184" s="82"/>
      <c r="Y184" s="82"/>
    </row>
    <row r="185" spans="1:25" ht="16.5" customHeight="1" x14ac:dyDescent="0.3">
      <c r="A185" s="82"/>
      <c r="B185" s="82"/>
      <c r="C185" s="83"/>
      <c r="D185" s="82"/>
      <c r="E185" s="82"/>
      <c r="F185" s="82"/>
      <c r="G185" s="82"/>
      <c r="H185" s="82"/>
      <c r="I185" s="82"/>
      <c r="J185" s="82"/>
      <c r="K185" s="82"/>
      <c r="L185" s="82"/>
      <c r="M185" s="82"/>
      <c r="N185" s="82"/>
      <c r="O185" s="82"/>
      <c r="P185" s="82"/>
      <c r="Q185" s="82"/>
      <c r="R185" s="82"/>
      <c r="S185" s="82"/>
      <c r="T185" s="82"/>
      <c r="U185" s="82"/>
      <c r="V185" s="82"/>
      <c r="W185" s="82"/>
      <c r="X185" s="82"/>
      <c r="Y185" s="82"/>
    </row>
    <row r="186" spans="1:25" ht="16.5" customHeight="1" x14ac:dyDescent="0.3">
      <c r="A186" s="82"/>
      <c r="B186" s="82"/>
      <c r="C186" s="83"/>
      <c r="D186" s="82"/>
      <c r="E186" s="82"/>
      <c r="F186" s="82"/>
      <c r="G186" s="82"/>
      <c r="H186" s="82"/>
      <c r="I186" s="82"/>
      <c r="J186" s="82"/>
      <c r="K186" s="82"/>
      <c r="L186" s="82"/>
      <c r="M186" s="82"/>
      <c r="N186" s="82"/>
      <c r="O186" s="82"/>
      <c r="P186" s="82"/>
      <c r="Q186" s="82"/>
      <c r="R186" s="82"/>
      <c r="S186" s="82"/>
      <c r="T186" s="82"/>
      <c r="U186" s="82"/>
      <c r="V186" s="82"/>
      <c r="W186" s="82"/>
      <c r="X186" s="82"/>
      <c r="Y186" s="82"/>
    </row>
    <row r="187" spans="1:25" ht="16.5" customHeight="1" x14ac:dyDescent="0.3">
      <c r="A187" s="82"/>
      <c r="B187" s="82"/>
      <c r="C187" s="83"/>
      <c r="D187" s="82"/>
      <c r="E187" s="82"/>
      <c r="F187" s="82"/>
      <c r="G187" s="82"/>
      <c r="H187" s="82"/>
      <c r="I187" s="82"/>
      <c r="J187" s="82"/>
      <c r="K187" s="82"/>
      <c r="L187" s="82"/>
      <c r="M187" s="82"/>
      <c r="N187" s="82"/>
      <c r="O187" s="82"/>
      <c r="P187" s="82"/>
      <c r="Q187" s="82"/>
      <c r="R187" s="82"/>
      <c r="S187" s="82"/>
      <c r="T187" s="82"/>
      <c r="U187" s="82"/>
      <c r="V187" s="82"/>
      <c r="W187" s="82"/>
      <c r="X187" s="82"/>
      <c r="Y187" s="82"/>
    </row>
    <row r="188" spans="1:25" ht="16.5" customHeight="1" x14ac:dyDescent="0.3">
      <c r="A188" s="82"/>
      <c r="B188" s="82"/>
      <c r="C188" s="83"/>
      <c r="D188" s="82"/>
      <c r="E188" s="82"/>
      <c r="F188" s="82"/>
      <c r="G188" s="82"/>
      <c r="H188" s="82"/>
      <c r="I188" s="82"/>
      <c r="J188" s="82"/>
      <c r="K188" s="82"/>
      <c r="L188" s="82"/>
      <c r="M188" s="82"/>
      <c r="N188" s="82"/>
      <c r="O188" s="82"/>
      <c r="P188" s="82"/>
      <c r="Q188" s="82"/>
      <c r="R188" s="82"/>
      <c r="S188" s="82"/>
      <c r="T188" s="82"/>
      <c r="U188" s="82"/>
      <c r="V188" s="82"/>
      <c r="W188" s="82"/>
      <c r="X188" s="82"/>
      <c r="Y188" s="82"/>
    </row>
    <row r="189" spans="1:25" ht="16.5" customHeight="1" x14ac:dyDescent="0.3">
      <c r="A189" s="82"/>
      <c r="B189" s="82"/>
      <c r="C189" s="83"/>
      <c r="D189" s="82"/>
      <c r="E189" s="82"/>
      <c r="F189" s="82"/>
      <c r="G189" s="82"/>
      <c r="H189" s="82"/>
      <c r="I189" s="82"/>
      <c r="J189" s="82"/>
      <c r="K189" s="82"/>
      <c r="L189" s="82"/>
      <c r="M189" s="82"/>
      <c r="N189" s="82"/>
      <c r="O189" s="82"/>
      <c r="P189" s="82"/>
      <c r="Q189" s="82"/>
      <c r="R189" s="82"/>
      <c r="S189" s="82"/>
      <c r="T189" s="82"/>
      <c r="U189" s="82"/>
      <c r="V189" s="82"/>
      <c r="W189" s="82"/>
      <c r="X189" s="82"/>
      <c r="Y189" s="82"/>
    </row>
    <row r="190" spans="1:25" ht="16.5" customHeight="1" x14ac:dyDescent="0.3">
      <c r="A190" s="82"/>
      <c r="B190" s="82"/>
      <c r="C190" s="83"/>
      <c r="D190" s="82"/>
      <c r="E190" s="82"/>
      <c r="F190" s="82"/>
      <c r="G190" s="82"/>
      <c r="H190" s="82"/>
      <c r="I190" s="82"/>
      <c r="J190" s="82"/>
      <c r="K190" s="82"/>
      <c r="L190" s="82"/>
      <c r="M190" s="82"/>
      <c r="N190" s="82"/>
      <c r="O190" s="82"/>
      <c r="P190" s="82"/>
      <c r="Q190" s="82"/>
      <c r="R190" s="82"/>
      <c r="S190" s="82"/>
      <c r="T190" s="82"/>
      <c r="U190" s="82"/>
      <c r="V190" s="82"/>
      <c r="W190" s="82"/>
      <c r="X190" s="82"/>
      <c r="Y190" s="82"/>
    </row>
    <row r="191" spans="1:25" ht="16.5" customHeight="1" x14ac:dyDescent="0.3">
      <c r="A191" s="82"/>
      <c r="B191" s="82"/>
      <c r="C191" s="83"/>
      <c r="D191" s="82"/>
      <c r="E191" s="82"/>
      <c r="F191" s="82"/>
      <c r="G191" s="82"/>
      <c r="H191" s="82"/>
      <c r="I191" s="82"/>
      <c r="J191" s="82"/>
      <c r="K191" s="82"/>
      <c r="L191" s="82"/>
      <c r="M191" s="82"/>
      <c r="N191" s="82"/>
      <c r="O191" s="82"/>
      <c r="P191" s="82"/>
      <c r="Q191" s="82"/>
      <c r="R191" s="82"/>
      <c r="S191" s="82"/>
      <c r="T191" s="82"/>
      <c r="U191" s="82"/>
      <c r="V191" s="82"/>
      <c r="W191" s="82"/>
      <c r="X191" s="82"/>
      <c r="Y191" s="82"/>
    </row>
    <row r="192" spans="1:25" ht="16.5" customHeight="1" x14ac:dyDescent="0.3">
      <c r="A192" s="82"/>
      <c r="B192" s="82"/>
      <c r="C192" s="83"/>
      <c r="D192" s="82"/>
      <c r="E192" s="82"/>
      <c r="F192" s="82"/>
      <c r="G192" s="82"/>
      <c r="H192" s="82"/>
      <c r="I192" s="82"/>
      <c r="J192" s="82"/>
      <c r="K192" s="82"/>
      <c r="L192" s="82"/>
      <c r="M192" s="82"/>
      <c r="N192" s="82"/>
      <c r="O192" s="82"/>
      <c r="P192" s="82"/>
      <c r="Q192" s="82"/>
      <c r="R192" s="82"/>
      <c r="S192" s="82"/>
      <c r="T192" s="82"/>
      <c r="U192" s="82"/>
      <c r="V192" s="82"/>
      <c r="W192" s="82"/>
      <c r="X192" s="82"/>
      <c r="Y192" s="82"/>
    </row>
    <row r="193" spans="1:25" ht="16.5" customHeight="1" x14ac:dyDescent="0.3">
      <c r="A193" s="82"/>
      <c r="B193" s="82"/>
      <c r="C193" s="83"/>
      <c r="D193" s="82"/>
      <c r="E193" s="82"/>
      <c r="F193" s="82"/>
      <c r="G193" s="82"/>
      <c r="H193" s="82"/>
      <c r="I193" s="82"/>
      <c r="J193" s="82"/>
      <c r="K193" s="82"/>
      <c r="L193" s="82"/>
      <c r="M193" s="82"/>
      <c r="N193" s="82"/>
      <c r="O193" s="82"/>
      <c r="P193" s="82"/>
      <c r="Q193" s="82"/>
      <c r="R193" s="82"/>
      <c r="S193" s="82"/>
      <c r="T193" s="82"/>
      <c r="U193" s="82"/>
      <c r="V193" s="82"/>
      <c r="W193" s="82"/>
      <c r="X193" s="82"/>
      <c r="Y193" s="82"/>
    </row>
    <row r="194" spans="1:25" ht="16.5" customHeight="1" x14ac:dyDescent="0.3">
      <c r="A194" s="82"/>
      <c r="B194" s="82"/>
      <c r="C194" s="83"/>
      <c r="D194" s="82"/>
      <c r="E194" s="82"/>
      <c r="F194" s="82"/>
      <c r="G194" s="82"/>
      <c r="H194" s="82"/>
      <c r="I194" s="82"/>
      <c r="J194" s="82"/>
      <c r="K194" s="82"/>
      <c r="L194" s="82"/>
      <c r="M194" s="82"/>
      <c r="N194" s="82"/>
      <c r="O194" s="82"/>
      <c r="P194" s="82"/>
      <c r="Q194" s="82"/>
      <c r="R194" s="82"/>
      <c r="S194" s="82"/>
      <c r="T194" s="82"/>
      <c r="U194" s="82"/>
      <c r="V194" s="82"/>
      <c r="W194" s="82"/>
      <c r="X194" s="82"/>
      <c r="Y194" s="82"/>
    </row>
    <row r="195" spans="1:25" ht="16.5" customHeight="1" x14ac:dyDescent="0.3">
      <c r="A195" s="82"/>
      <c r="B195" s="82"/>
      <c r="C195" s="83"/>
      <c r="D195" s="82"/>
      <c r="E195" s="82"/>
      <c r="F195" s="82"/>
      <c r="G195" s="82"/>
      <c r="H195" s="82"/>
      <c r="I195" s="82"/>
      <c r="J195" s="82"/>
      <c r="K195" s="82"/>
      <c r="L195" s="82"/>
      <c r="M195" s="82"/>
      <c r="N195" s="82"/>
      <c r="O195" s="82"/>
      <c r="P195" s="82"/>
      <c r="Q195" s="82"/>
      <c r="R195" s="82"/>
      <c r="S195" s="82"/>
      <c r="T195" s="82"/>
      <c r="U195" s="82"/>
      <c r="V195" s="82"/>
      <c r="W195" s="82"/>
      <c r="X195" s="82"/>
      <c r="Y195" s="82"/>
    </row>
    <row r="196" spans="1:25" ht="16.5" customHeight="1" x14ac:dyDescent="0.3">
      <c r="A196" s="82"/>
      <c r="B196" s="82"/>
      <c r="C196" s="83"/>
      <c r="D196" s="82"/>
      <c r="E196" s="82"/>
      <c r="F196" s="82"/>
      <c r="G196" s="82"/>
      <c r="H196" s="82"/>
      <c r="I196" s="82"/>
      <c r="J196" s="82"/>
      <c r="K196" s="82"/>
      <c r="L196" s="82"/>
      <c r="M196" s="82"/>
      <c r="N196" s="82"/>
      <c r="O196" s="82"/>
      <c r="P196" s="82"/>
      <c r="Q196" s="82"/>
      <c r="R196" s="82"/>
      <c r="S196" s="82"/>
      <c r="T196" s="82"/>
      <c r="U196" s="82"/>
      <c r="V196" s="82"/>
      <c r="W196" s="82"/>
      <c r="X196" s="82"/>
      <c r="Y196" s="82"/>
    </row>
    <row r="197" spans="1:25" ht="16.5" customHeight="1" x14ac:dyDescent="0.3">
      <c r="A197" s="82"/>
      <c r="B197" s="82"/>
      <c r="C197" s="83"/>
      <c r="D197" s="82"/>
      <c r="E197" s="82"/>
      <c r="F197" s="82"/>
      <c r="G197" s="82"/>
      <c r="H197" s="82"/>
      <c r="I197" s="82"/>
      <c r="J197" s="82"/>
      <c r="K197" s="82"/>
      <c r="L197" s="82"/>
      <c r="M197" s="82"/>
      <c r="N197" s="82"/>
      <c r="O197" s="82"/>
      <c r="P197" s="82"/>
      <c r="Q197" s="82"/>
      <c r="R197" s="82"/>
      <c r="S197" s="82"/>
      <c r="T197" s="82"/>
      <c r="U197" s="82"/>
      <c r="V197" s="82"/>
      <c r="W197" s="82"/>
      <c r="X197" s="82"/>
      <c r="Y197" s="82"/>
    </row>
    <row r="198" spans="1:25" ht="16.5" customHeight="1" x14ac:dyDescent="0.3">
      <c r="A198" s="82"/>
      <c r="B198" s="82"/>
      <c r="C198" s="83"/>
      <c r="D198" s="82"/>
      <c r="E198" s="82"/>
      <c r="F198" s="82"/>
      <c r="G198" s="82"/>
      <c r="H198" s="82"/>
      <c r="I198" s="82"/>
      <c r="J198" s="82"/>
      <c r="K198" s="82"/>
      <c r="L198" s="82"/>
      <c r="M198" s="82"/>
      <c r="N198" s="82"/>
      <c r="O198" s="82"/>
      <c r="P198" s="82"/>
      <c r="Q198" s="82"/>
      <c r="R198" s="82"/>
      <c r="S198" s="82"/>
      <c r="T198" s="82"/>
      <c r="U198" s="82"/>
      <c r="V198" s="82"/>
      <c r="W198" s="82"/>
      <c r="X198" s="82"/>
      <c r="Y198" s="82"/>
    </row>
    <row r="199" spans="1:25" ht="16.5" customHeight="1" x14ac:dyDescent="0.3">
      <c r="A199" s="82"/>
      <c r="B199" s="82"/>
      <c r="C199" s="83"/>
      <c r="D199" s="82"/>
      <c r="E199" s="82"/>
      <c r="F199" s="82"/>
      <c r="G199" s="82"/>
      <c r="H199" s="82"/>
      <c r="I199" s="82"/>
      <c r="J199" s="82"/>
      <c r="K199" s="82"/>
      <c r="L199" s="82"/>
      <c r="M199" s="82"/>
      <c r="N199" s="82"/>
      <c r="O199" s="82"/>
      <c r="P199" s="82"/>
      <c r="Q199" s="82"/>
      <c r="R199" s="82"/>
      <c r="S199" s="82"/>
      <c r="T199" s="82"/>
      <c r="U199" s="82"/>
      <c r="V199" s="82"/>
      <c r="W199" s="82"/>
      <c r="X199" s="82"/>
      <c r="Y199" s="82"/>
    </row>
    <row r="200" spans="1:25" ht="16.5" customHeight="1" x14ac:dyDescent="0.3">
      <c r="A200" s="82"/>
      <c r="B200" s="82"/>
      <c r="C200" s="83"/>
      <c r="D200" s="82"/>
      <c r="E200" s="82"/>
      <c r="F200" s="82"/>
      <c r="G200" s="82"/>
      <c r="H200" s="82"/>
      <c r="I200" s="82"/>
      <c r="J200" s="82"/>
      <c r="K200" s="82"/>
      <c r="L200" s="82"/>
      <c r="M200" s="82"/>
      <c r="N200" s="82"/>
      <c r="O200" s="82"/>
      <c r="P200" s="82"/>
      <c r="Q200" s="82"/>
      <c r="R200" s="82"/>
      <c r="S200" s="82"/>
      <c r="T200" s="82"/>
      <c r="U200" s="82"/>
      <c r="V200" s="82"/>
      <c r="W200" s="82"/>
      <c r="X200" s="82"/>
      <c r="Y200" s="82"/>
    </row>
    <row r="201" spans="1:25" ht="16.5" customHeight="1" x14ac:dyDescent="0.3">
      <c r="A201" s="82"/>
      <c r="B201" s="82"/>
      <c r="C201" s="83"/>
      <c r="D201" s="82"/>
      <c r="E201" s="82"/>
      <c r="F201" s="82"/>
      <c r="G201" s="82"/>
      <c r="H201" s="82"/>
      <c r="I201" s="82"/>
      <c r="J201" s="82"/>
      <c r="K201" s="82"/>
      <c r="L201" s="82"/>
      <c r="M201" s="82"/>
      <c r="N201" s="82"/>
      <c r="O201" s="82"/>
      <c r="P201" s="82"/>
      <c r="Q201" s="82"/>
      <c r="R201" s="82"/>
      <c r="S201" s="82"/>
      <c r="T201" s="82"/>
      <c r="U201" s="82"/>
      <c r="V201" s="82"/>
      <c r="W201" s="82"/>
      <c r="X201" s="82"/>
      <c r="Y201" s="82"/>
    </row>
    <row r="202" spans="1:25" ht="16.5" customHeight="1" x14ac:dyDescent="0.3">
      <c r="A202" s="82"/>
      <c r="B202" s="82"/>
      <c r="C202" s="83"/>
      <c r="D202" s="82"/>
      <c r="E202" s="82"/>
      <c r="F202" s="82"/>
      <c r="G202" s="82"/>
      <c r="H202" s="82"/>
      <c r="I202" s="82"/>
      <c r="J202" s="82"/>
      <c r="K202" s="82"/>
      <c r="L202" s="82"/>
      <c r="M202" s="82"/>
      <c r="N202" s="82"/>
      <c r="O202" s="82"/>
      <c r="P202" s="82"/>
      <c r="Q202" s="82"/>
      <c r="R202" s="82"/>
      <c r="S202" s="82"/>
      <c r="T202" s="82"/>
      <c r="U202" s="82"/>
      <c r="V202" s="82"/>
      <c r="W202" s="82"/>
      <c r="X202" s="82"/>
      <c r="Y202" s="82"/>
    </row>
    <row r="203" spans="1:25" ht="16.5" customHeight="1" x14ac:dyDescent="0.3">
      <c r="A203" s="82"/>
      <c r="B203" s="82"/>
      <c r="C203" s="83"/>
      <c r="D203" s="82"/>
      <c r="E203" s="82"/>
      <c r="F203" s="82"/>
      <c r="G203" s="82"/>
      <c r="H203" s="82"/>
      <c r="I203" s="82"/>
      <c r="J203" s="82"/>
      <c r="K203" s="82"/>
      <c r="L203" s="82"/>
      <c r="M203" s="82"/>
      <c r="N203" s="82"/>
      <c r="O203" s="82"/>
      <c r="P203" s="82"/>
      <c r="Q203" s="82"/>
      <c r="R203" s="82"/>
      <c r="S203" s="82"/>
      <c r="T203" s="82"/>
      <c r="U203" s="82"/>
      <c r="V203" s="82"/>
      <c r="W203" s="82"/>
      <c r="X203" s="82"/>
      <c r="Y203" s="82"/>
    </row>
    <row r="204" spans="1:25" ht="16.5" customHeight="1" x14ac:dyDescent="0.3">
      <c r="A204" s="82"/>
      <c r="B204" s="82"/>
      <c r="C204" s="83"/>
      <c r="D204" s="82"/>
      <c r="E204" s="82"/>
      <c r="F204" s="82"/>
      <c r="G204" s="82"/>
      <c r="H204" s="82"/>
      <c r="I204" s="82"/>
      <c r="J204" s="82"/>
      <c r="K204" s="82"/>
      <c r="L204" s="82"/>
      <c r="M204" s="82"/>
      <c r="N204" s="82"/>
      <c r="O204" s="82"/>
      <c r="P204" s="82"/>
      <c r="Q204" s="82"/>
      <c r="R204" s="82"/>
      <c r="S204" s="82"/>
      <c r="T204" s="82"/>
      <c r="U204" s="82"/>
      <c r="V204" s="82"/>
      <c r="W204" s="82"/>
      <c r="X204" s="82"/>
      <c r="Y204" s="82"/>
    </row>
    <row r="205" spans="1:25" ht="16.5" customHeight="1" x14ac:dyDescent="0.3">
      <c r="A205" s="82"/>
      <c r="B205" s="82"/>
      <c r="C205" s="83"/>
      <c r="D205" s="82"/>
      <c r="E205" s="82"/>
      <c r="F205" s="82"/>
      <c r="G205" s="82"/>
      <c r="H205" s="82"/>
      <c r="I205" s="82"/>
      <c r="J205" s="82"/>
      <c r="K205" s="82"/>
      <c r="L205" s="82"/>
      <c r="M205" s="82"/>
      <c r="N205" s="82"/>
      <c r="O205" s="82"/>
      <c r="P205" s="82"/>
      <c r="Q205" s="82"/>
      <c r="R205" s="82"/>
      <c r="S205" s="82"/>
      <c r="T205" s="82"/>
      <c r="U205" s="82"/>
      <c r="V205" s="82"/>
      <c r="W205" s="82"/>
      <c r="X205" s="82"/>
      <c r="Y205" s="82"/>
    </row>
    <row r="206" spans="1:25" ht="16.5" customHeight="1" x14ac:dyDescent="0.3">
      <c r="A206" s="82"/>
      <c r="B206" s="82"/>
      <c r="C206" s="83"/>
      <c r="D206" s="82"/>
      <c r="E206" s="82"/>
      <c r="F206" s="82"/>
      <c r="G206" s="82"/>
      <c r="H206" s="82"/>
      <c r="I206" s="82"/>
      <c r="J206" s="82"/>
      <c r="K206" s="82"/>
      <c r="L206" s="82"/>
      <c r="M206" s="82"/>
      <c r="N206" s="82"/>
      <c r="O206" s="82"/>
      <c r="P206" s="82"/>
      <c r="Q206" s="82"/>
      <c r="R206" s="82"/>
      <c r="S206" s="82"/>
      <c r="T206" s="82"/>
      <c r="U206" s="82"/>
      <c r="V206" s="82"/>
      <c r="W206" s="82"/>
      <c r="X206" s="82"/>
      <c r="Y206" s="82"/>
    </row>
    <row r="207" spans="1:25" ht="16.5" customHeight="1" x14ac:dyDescent="0.3">
      <c r="A207" s="82"/>
      <c r="B207" s="82"/>
      <c r="C207" s="83"/>
      <c r="D207" s="82"/>
      <c r="E207" s="82"/>
      <c r="F207" s="82"/>
      <c r="G207" s="82"/>
      <c r="H207" s="82"/>
      <c r="I207" s="82"/>
      <c r="J207" s="82"/>
      <c r="K207" s="82"/>
      <c r="L207" s="82"/>
      <c r="M207" s="82"/>
      <c r="N207" s="82"/>
      <c r="O207" s="82"/>
      <c r="P207" s="82"/>
      <c r="Q207" s="82"/>
      <c r="R207" s="82"/>
      <c r="S207" s="82"/>
      <c r="T207" s="82"/>
      <c r="U207" s="82"/>
      <c r="V207" s="82"/>
      <c r="W207" s="82"/>
      <c r="X207" s="82"/>
      <c r="Y207" s="82"/>
    </row>
    <row r="208" spans="1:25" ht="16.5" customHeight="1" x14ac:dyDescent="0.3">
      <c r="A208" s="82"/>
      <c r="B208" s="82"/>
      <c r="C208" s="83"/>
      <c r="D208" s="82"/>
      <c r="E208" s="82"/>
      <c r="F208" s="82"/>
      <c r="G208" s="82"/>
      <c r="H208" s="82"/>
      <c r="I208" s="82"/>
      <c r="J208" s="82"/>
      <c r="K208" s="82"/>
      <c r="L208" s="82"/>
      <c r="M208" s="82"/>
      <c r="N208" s="82"/>
      <c r="O208" s="82"/>
      <c r="P208" s="82"/>
      <c r="Q208" s="82"/>
      <c r="R208" s="82"/>
      <c r="S208" s="82"/>
      <c r="T208" s="82"/>
      <c r="U208" s="82"/>
      <c r="V208" s="82"/>
      <c r="W208" s="82"/>
      <c r="X208" s="82"/>
      <c r="Y208" s="82"/>
    </row>
    <row r="209" spans="1:25" ht="16.5" customHeight="1" x14ac:dyDescent="0.3">
      <c r="A209" s="82"/>
      <c r="B209" s="82"/>
      <c r="C209" s="83"/>
      <c r="D209" s="82"/>
      <c r="E209" s="82"/>
      <c r="F209" s="82"/>
      <c r="G209" s="82"/>
      <c r="H209" s="82"/>
      <c r="I209" s="82"/>
      <c r="J209" s="82"/>
      <c r="K209" s="82"/>
      <c r="L209" s="82"/>
      <c r="M209" s="82"/>
      <c r="N209" s="82"/>
      <c r="O209" s="82"/>
      <c r="P209" s="82"/>
      <c r="Q209" s="82"/>
      <c r="R209" s="82"/>
      <c r="S209" s="82"/>
      <c r="T209" s="82"/>
      <c r="U209" s="82"/>
      <c r="V209" s="82"/>
      <c r="W209" s="82"/>
      <c r="X209" s="82"/>
      <c r="Y209" s="82"/>
    </row>
    <row r="210" spans="1:25" ht="16.5" customHeight="1" x14ac:dyDescent="0.3">
      <c r="A210" s="82"/>
      <c r="B210" s="82"/>
      <c r="C210" s="83"/>
      <c r="D210" s="82"/>
      <c r="E210" s="82"/>
      <c r="F210" s="82"/>
      <c r="G210" s="82"/>
      <c r="H210" s="82"/>
      <c r="I210" s="82"/>
      <c r="J210" s="82"/>
      <c r="K210" s="82"/>
      <c r="L210" s="82"/>
      <c r="M210" s="82"/>
      <c r="N210" s="82"/>
      <c r="O210" s="82"/>
      <c r="P210" s="82"/>
      <c r="Q210" s="82"/>
      <c r="R210" s="82"/>
      <c r="S210" s="82"/>
      <c r="T210" s="82"/>
      <c r="U210" s="82"/>
      <c r="V210" s="82"/>
      <c r="W210" s="82"/>
      <c r="X210" s="82"/>
      <c r="Y210" s="82"/>
    </row>
    <row r="211" spans="1:25" ht="16.5" customHeight="1" x14ac:dyDescent="0.3">
      <c r="A211" s="82"/>
      <c r="B211" s="82"/>
      <c r="C211" s="83"/>
      <c r="D211" s="82"/>
      <c r="E211" s="82"/>
      <c r="F211" s="82"/>
      <c r="G211" s="82"/>
      <c r="H211" s="82"/>
      <c r="I211" s="82"/>
      <c r="J211" s="82"/>
      <c r="K211" s="82"/>
      <c r="L211" s="82"/>
      <c r="M211" s="82"/>
      <c r="N211" s="82"/>
      <c r="O211" s="82"/>
      <c r="P211" s="82"/>
      <c r="Q211" s="82"/>
      <c r="R211" s="82"/>
      <c r="S211" s="82"/>
      <c r="T211" s="82"/>
      <c r="U211" s="82"/>
      <c r="V211" s="82"/>
      <c r="W211" s="82"/>
      <c r="X211" s="82"/>
      <c r="Y211" s="82"/>
    </row>
    <row r="212" spans="1:25" ht="16.5" customHeight="1" x14ac:dyDescent="0.3">
      <c r="A212" s="82"/>
      <c r="B212" s="82"/>
      <c r="C212" s="83"/>
      <c r="D212" s="82"/>
      <c r="E212" s="82"/>
      <c r="F212" s="82"/>
      <c r="G212" s="82"/>
      <c r="H212" s="82"/>
      <c r="I212" s="82"/>
      <c r="J212" s="82"/>
      <c r="K212" s="82"/>
      <c r="L212" s="82"/>
      <c r="M212" s="82"/>
      <c r="N212" s="82"/>
      <c r="O212" s="82"/>
      <c r="P212" s="82"/>
      <c r="Q212" s="82"/>
      <c r="R212" s="82"/>
      <c r="S212" s="82"/>
      <c r="T212" s="82"/>
      <c r="U212" s="82"/>
      <c r="V212" s="82"/>
      <c r="W212" s="82"/>
      <c r="X212" s="82"/>
      <c r="Y212" s="82"/>
    </row>
    <row r="213" spans="1:25" ht="16.5" customHeight="1" x14ac:dyDescent="0.3">
      <c r="A213" s="82"/>
      <c r="B213" s="82"/>
      <c r="C213" s="83"/>
      <c r="D213" s="82"/>
      <c r="E213" s="82"/>
      <c r="F213" s="82"/>
      <c r="G213" s="82"/>
      <c r="H213" s="82"/>
      <c r="I213" s="82"/>
      <c r="J213" s="82"/>
      <c r="K213" s="82"/>
      <c r="L213" s="82"/>
      <c r="M213" s="82"/>
      <c r="N213" s="82"/>
      <c r="O213" s="82"/>
      <c r="P213" s="82"/>
      <c r="Q213" s="82"/>
      <c r="R213" s="82"/>
      <c r="S213" s="82"/>
      <c r="T213" s="82"/>
      <c r="U213" s="82"/>
      <c r="V213" s="82"/>
      <c r="W213" s="82"/>
      <c r="X213" s="82"/>
      <c r="Y213" s="82"/>
    </row>
    <row r="214" spans="1:25" ht="16.5" customHeight="1" x14ac:dyDescent="0.3">
      <c r="A214" s="82"/>
      <c r="B214" s="82"/>
      <c r="C214" s="83"/>
      <c r="D214" s="82"/>
      <c r="E214" s="82"/>
      <c r="F214" s="82"/>
      <c r="G214" s="82"/>
      <c r="H214" s="82"/>
      <c r="I214" s="82"/>
      <c r="J214" s="82"/>
      <c r="K214" s="82"/>
      <c r="L214" s="82"/>
      <c r="M214" s="82"/>
      <c r="N214" s="82"/>
      <c r="O214" s="82"/>
      <c r="P214" s="82"/>
      <c r="Q214" s="82"/>
      <c r="R214" s="82"/>
      <c r="S214" s="82"/>
      <c r="T214" s="82"/>
      <c r="U214" s="82"/>
      <c r="V214" s="82"/>
      <c r="W214" s="82"/>
      <c r="X214" s="82"/>
      <c r="Y214" s="82"/>
    </row>
    <row r="215" spans="1:25" ht="16.5" customHeight="1" x14ac:dyDescent="0.3">
      <c r="A215" s="82"/>
      <c r="B215" s="82"/>
      <c r="C215" s="83"/>
      <c r="D215" s="82"/>
      <c r="E215" s="82"/>
      <c r="F215" s="82"/>
      <c r="G215" s="82"/>
      <c r="H215" s="82"/>
      <c r="I215" s="82"/>
      <c r="J215" s="82"/>
      <c r="K215" s="82"/>
      <c r="L215" s="82"/>
      <c r="M215" s="82"/>
      <c r="N215" s="82"/>
      <c r="O215" s="82"/>
      <c r="P215" s="82"/>
      <c r="Q215" s="82"/>
      <c r="R215" s="82"/>
      <c r="S215" s="82"/>
      <c r="T215" s="82"/>
      <c r="U215" s="82"/>
      <c r="V215" s="82"/>
      <c r="W215" s="82"/>
      <c r="X215" s="82"/>
      <c r="Y215" s="82"/>
    </row>
    <row r="216" spans="1:25" ht="16.5" customHeight="1" x14ac:dyDescent="0.3">
      <c r="A216" s="82"/>
      <c r="B216" s="82"/>
      <c r="C216" s="83"/>
      <c r="D216" s="82"/>
      <c r="E216" s="82"/>
      <c r="F216" s="82"/>
      <c r="G216" s="82"/>
      <c r="H216" s="82"/>
      <c r="I216" s="82"/>
      <c r="J216" s="82"/>
      <c r="K216" s="82"/>
      <c r="L216" s="82"/>
      <c r="M216" s="82"/>
      <c r="N216" s="82"/>
      <c r="O216" s="82"/>
      <c r="P216" s="82"/>
      <c r="Q216" s="82"/>
      <c r="R216" s="82"/>
      <c r="S216" s="82"/>
      <c r="T216" s="82"/>
      <c r="U216" s="82"/>
      <c r="V216" s="82"/>
      <c r="W216" s="82"/>
      <c r="X216" s="82"/>
      <c r="Y216" s="82"/>
    </row>
    <row r="217" spans="1:25" ht="16.5" customHeight="1" x14ac:dyDescent="0.3">
      <c r="A217" s="82"/>
      <c r="B217" s="82"/>
      <c r="C217" s="83"/>
      <c r="D217" s="82"/>
      <c r="E217" s="82"/>
      <c r="F217" s="82"/>
      <c r="G217" s="82"/>
      <c r="H217" s="82"/>
      <c r="I217" s="82"/>
      <c r="J217" s="82"/>
      <c r="K217" s="82"/>
      <c r="L217" s="82"/>
      <c r="M217" s="82"/>
      <c r="N217" s="82"/>
      <c r="O217" s="82"/>
      <c r="P217" s="82"/>
      <c r="Q217" s="82"/>
      <c r="R217" s="82"/>
      <c r="S217" s="82"/>
      <c r="T217" s="82"/>
      <c r="U217" s="82"/>
      <c r="V217" s="82"/>
      <c r="W217" s="82"/>
      <c r="X217" s="82"/>
      <c r="Y217" s="82"/>
    </row>
    <row r="218" spans="1:25" ht="16.5" customHeight="1" x14ac:dyDescent="0.3">
      <c r="A218" s="82"/>
      <c r="B218" s="82"/>
      <c r="C218" s="83"/>
      <c r="D218" s="82"/>
      <c r="E218" s="82"/>
      <c r="F218" s="82"/>
      <c r="G218" s="82"/>
      <c r="H218" s="82"/>
      <c r="I218" s="82"/>
      <c r="J218" s="82"/>
      <c r="K218" s="82"/>
      <c r="L218" s="82"/>
      <c r="M218" s="82"/>
      <c r="N218" s="82"/>
      <c r="O218" s="82"/>
      <c r="P218" s="82"/>
      <c r="Q218" s="82"/>
      <c r="R218" s="82"/>
      <c r="S218" s="82"/>
      <c r="T218" s="82"/>
      <c r="U218" s="82"/>
      <c r="V218" s="82"/>
      <c r="W218" s="82"/>
      <c r="X218" s="82"/>
      <c r="Y218" s="82"/>
    </row>
    <row r="219" spans="1:25" ht="16.5" customHeight="1" x14ac:dyDescent="0.3">
      <c r="A219" s="82"/>
      <c r="B219" s="82"/>
      <c r="C219" s="83"/>
      <c r="D219" s="82"/>
      <c r="E219" s="82"/>
      <c r="F219" s="82"/>
      <c r="G219" s="82"/>
      <c r="H219" s="82"/>
      <c r="I219" s="82"/>
      <c r="J219" s="82"/>
      <c r="K219" s="82"/>
      <c r="L219" s="82"/>
      <c r="M219" s="82"/>
      <c r="N219" s="82"/>
      <c r="O219" s="82"/>
      <c r="P219" s="82"/>
      <c r="Q219" s="82"/>
      <c r="R219" s="82"/>
      <c r="S219" s="82"/>
      <c r="T219" s="82"/>
      <c r="U219" s="82"/>
      <c r="V219" s="82"/>
      <c r="W219" s="82"/>
      <c r="X219" s="82"/>
      <c r="Y219" s="82"/>
    </row>
    <row r="220" spans="1:25" ht="16.5" customHeight="1" x14ac:dyDescent="0.3">
      <c r="A220" s="82"/>
      <c r="B220" s="82"/>
      <c r="C220" s="83"/>
      <c r="D220" s="82"/>
      <c r="E220" s="82"/>
      <c r="F220" s="82"/>
      <c r="G220" s="82"/>
      <c r="H220" s="82"/>
      <c r="I220" s="82"/>
      <c r="J220" s="82"/>
      <c r="K220" s="82"/>
      <c r="L220" s="82"/>
      <c r="M220" s="82"/>
      <c r="N220" s="82"/>
      <c r="O220" s="82"/>
      <c r="P220" s="82"/>
      <c r="Q220" s="82"/>
      <c r="R220" s="82"/>
      <c r="S220" s="82"/>
      <c r="T220" s="82"/>
      <c r="U220" s="82"/>
      <c r="V220" s="82"/>
      <c r="W220" s="82"/>
      <c r="X220" s="82"/>
      <c r="Y220" s="82"/>
    </row>
    <row r="221" spans="1:25" ht="15.75" customHeight="1" x14ac:dyDescent="0.2"/>
    <row r="222" spans="1:25" ht="15.75" customHeight="1" x14ac:dyDescent="0.2"/>
    <row r="223" spans="1:25" ht="15.75" customHeight="1" x14ac:dyDescent="0.2"/>
    <row r="224" spans="1:25"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B4:F4"/>
  </mergeCells>
  <printOptions horizontalCentered="1"/>
  <pageMargins left="0.39370078740157483" right="0.39370078740157483" top="0.98425196850393704" bottom="0.78740157480314965" header="0" footer="0"/>
  <pageSetup paperSize="9" orientation="landscape" r:id="rId1"/>
  <headerFooter>
    <oddFooter>&amp;CBEP - &amp;P</oddFooter>
  </headerFooter>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C1006"/>
  <sheetViews>
    <sheetView showGridLines="0" zoomScale="85" zoomScaleNormal="85" zoomScaleSheetLayoutView="85" workbookViewId="0">
      <selection activeCell="F21" sqref="F21"/>
    </sheetView>
  </sheetViews>
  <sheetFormatPr defaultColWidth="12.5703125" defaultRowHeight="15" customHeight="1" x14ac:dyDescent="0.2"/>
  <cols>
    <col min="1" max="1" width="12.7109375" style="94" customWidth="1"/>
    <col min="2" max="2" width="33.42578125" style="94" customWidth="1"/>
    <col min="3" max="3" width="9.42578125" style="94" bestFit="1" customWidth="1"/>
    <col min="4" max="4" width="21.28515625" style="94" customWidth="1"/>
    <col min="5" max="5" width="8.28515625" style="94" customWidth="1"/>
    <col min="6" max="6" width="22.7109375" style="94" customWidth="1"/>
    <col min="7" max="7" width="6" style="94" customWidth="1"/>
    <col min="8" max="8" width="20.42578125" style="94" customWidth="1"/>
    <col min="9" max="9" width="7.42578125" style="94" customWidth="1"/>
    <col min="10" max="10" width="20.85546875" style="94" customWidth="1"/>
    <col min="11" max="11" width="8" style="167" customWidth="1"/>
    <col min="12" max="12" width="18.7109375" style="94" customWidth="1"/>
    <col min="13" max="13" width="7.42578125" style="94" customWidth="1"/>
    <col min="14" max="14" width="20.85546875" style="94" customWidth="1"/>
    <col min="15" max="15" width="5" style="167" bestFit="1" customWidth="1"/>
    <col min="16" max="16" width="15.5703125" style="94" customWidth="1"/>
    <col min="17" max="29" width="8.5703125" style="94" customWidth="1"/>
    <col min="30" max="16384" width="12.5703125" style="94"/>
  </cols>
  <sheetData>
    <row r="1" spans="1:29" ht="24.75" customHeight="1" x14ac:dyDescent="0.35">
      <c r="B1" s="146" t="s">
        <v>529</v>
      </c>
      <c r="C1" s="147"/>
      <c r="D1" s="147"/>
      <c r="E1" s="147"/>
      <c r="F1" s="147"/>
      <c r="G1" s="147"/>
      <c r="H1" s="147"/>
      <c r="I1" s="147"/>
      <c r="J1" s="147"/>
      <c r="K1" s="157"/>
      <c r="L1" s="147"/>
      <c r="M1" s="147"/>
      <c r="N1" s="147"/>
      <c r="O1" s="157"/>
      <c r="P1" s="147"/>
    </row>
    <row r="3" spans="1:29" ht="24.75" customHeight="1" x14ac:dyDescent="0.2">
      <c r="A3" s="55" t="s">
        <v>6</v>
      </c>
      <c r="B3" s="55" t="s">
        <v>7</v>
      </c>
      <c r="C3" s="56" t="s">
        <v>6</v>
      </c>
      <c r="D3" s="56" t="s">
        <v>8</v>
      </c>
      <c r="E3" s="79" t="s">
        <v>6</v>
      </c>
      <c r="F3" s="79" t="s">
        <v>625</v>
      </c>
      <c r="G3" s="56" t="s">
        <v>6</v>
      </c>
      <c r="H3" s="57" t="s">
        <v>634</v>
      </c>
      <c r="I3" s="58" t="s">
        <v>6</v>
      </c>
      <c r="J3" s="58" t="s">
        <v>607</v>
      </c>
      <c r="K3" s="158" t="s">
        <v>6</v>
      </c>
      <c r="L3" s="59" t="s">
        <v>661</v>
      </c>
      <c r="M3" s="58" t="s">
        <v>6</v>
      </c>
      <c r="N3" s="58" t="s">
        <v>9</v>
      </c>
      <c r="O3" s="158" t="s">
        <v>6</v>
      </c>
      <c r="P3" s="59" t="s">
        <v>10</v>
      </c>
      <c r="Q3" s="75"/>
      <c r="R3" s="75"/>
      <c r="S3" s="75"/>
      <c r="T3" s="75"/>
      <c r="U3" s="75"/>
      <c r="V3" s="75"/>
      <c r="W3" s="75"/>
      <c r="X3" s="75"/>
      <c r="Y3" s="75"/>
      <c r="Z3" s="75"/>
      <c r="AA3" s="75"/>
      <c r="AB3" s="75"/>
      <c r="AC3" s="75"/>
    </row>
    <row r="4" spans="1:29" ht="38.25" x14ac:dyDescent="0.2">
      <c r="A4" s="95" t="s">
        <v>709</v>
      </c>
      <c r="B4" s="95" t="s">
        <v>710</v>
      </c>
      <c r="C4" s="96" t="s">
        <v>711</v>
      </c>
      <c r="D4" s="97" t="s">
        <v>712</v>
      </c>
      <c r="E4" s="96" t="s">
        <v>546</v>
      </c>
      <c r="F4" s="95" t="s">
        <v>626</v>
      </c>
      <c r="G4" s="96" t="s">
        <v>11</v>
      </c>
      <c r="H4" s="95" t="s">
        <v>635</v>
      </c>
      <c r="I4" s="96" t="s">
        <v>659</v>
      </c>
      <c r="J4" s="95" t="s">
        <v>629</v>
      </c>
      <c r="K4" s="156" t="s">
        <v>608</v>
      </c>
      <c r="L4" s="156" t="s">
        <v>613</v>
      </c>
      <c r="M4" s="96" t="s">
        <v>27</v>
      </c>
      <c r="N4" s="95" t="s">
        <v>32</v>
      </c>
      <c r="O4" s="159" t="s">
        <v>13</v>
      </c>
      <c r="P4" s="62"/>
      <c r="Q4" s="75"/>
      <c r="R4" s="75"/>
      <c r="S4" s="75"/>
      <c r="T4" s="75"/>
      <c r="U4" s="75"/>
      <c r="V4" s="75"/>
      <c r="W4" s="75"/>
      <c r="X4" s="75"/>
      <c r="Y4" s="75"/>
      <c r="Z4" s="75"/>
      <c r="AA4" s="75"/>
      <c r="AB4" s="75"/>
      <c r="AC4" s="75"/>
    </row>
    <row r="5" spans="1:29" ht="39.75" customHeight="1" x14ac:dyDescent="0.2">
      <c r="A5" s="63"/>
      <c r="B5" s="64"/>
      <c r="C5" s="96" t="s">
        <v>713</v>
      </c>
      <c r="D5" s="97" t="s">
        <v>714</v>
      </c>
      <c r="E5" s="96" t="s">
        <v>627</v>
      </c>
      <c r="F5" s="95" t="s">
        <v>683</v>
      </c>
      <c r="G5" s="96" t="s">
        <v>14</v>
      </c>
      <c r="H5" s="95" t="s">
        <v>636</v>
      </c>
      <c r="I5" s="96" t="s">
        <v>631</v>
      </c>
      <c r="J5" s="95" t="s">
        <v>630</v>
      </c>
      <c r="K5" s="156" t="s">
        <v>609</v>
      </c>
      <c r="L5" s="156" t="s">
        <v>614</v>
      </c>
      <c r="M5" s="96" t="s">
        <v>33</v>
      </c>
      <c r="N5" s="95" t="s">
        <v>34</v>
      </c>
      <c r="O5" s="159" t="s">
        <v>17</v>
      </c>
      <c r="P5" s="62"/>
      <c r="Q5" s="75"/>
      <c r="R5" s="75"/>
      <c r="S5" s="75"/>
      <c r="T5" s="75"/>
      <c r="U5" s="75"/>
      <c r="V5" s="75"/>
      <c r="W5" s="75"/>
      <c r="X5" s="75"/>
      <c r="Y5" s="75"/>
      <c r="Z5" s="75"/>
      <c r="AA5" s="75"/>
      <c r="AB5" s="75"/>
      <c r="AC5" s="75"/>
    </row>
    <row r="6" spans="1:29" ht="24.75" customHeight="1" x14ac:dyDescent="0.2">
      <c r="A6" s="63"/>
      <c r="B6" s="65"/>
      <c r="C6" s="96" t="s">
        <v>447</v>
      </c>
      <c r="D6" s="97" t="s">
        <v>715</v>
      </c>
      <c r="E6" s="96" t="s">
        <v>539</v>
      </c>
      <c r="F6" s="95" t="s">
        <v>533</v>
      </c>
      <c r="G6" s="96" t="s">
        <v>716</v>
      </c>
      <c r="H6" s="95" t="s">
        <v>717</v>
      </c>
      <c r="I6" s="96" t="s">
        <v>632</v>
      </c>
      <c r="J6" s="95" t="s">
        <v>637</v>
      </c>
      <c r="K6" s="156" t="s">
        <v>610</v>
      </c>
      <c r="L6" s="156" t="s">
        <v>615</v>
      </c>
      <c r="M6" s="96" t="s">
        <v>15</v>
      </c>
      <c r="N6" s="95" t="s">
        <v>639</v>
      </c>
      <c r="O6" s="159" t="s">
        <v>90</v>
      </c>
      <c r="P6" s="98"/>
      <c r="Q6" s="75"/>
      <c r="R6" s="75"/>
      <c r="S6" s="75"/>
      <c r="T6" s="75"/>
      <c r="U6" s="75"/>
      <c r="V6" s="75"/>
      <c r="W6" s="75"/>
      <c r="X6" s="75"/>
      <c r="Y6" s="75"/>
      <c r="Z6" s="75"/>
      <c r="AA6" s="75"/>
      <c r="AB6" s="75"/>
      <c r="AC6" s="75"/>
    </row>
    <row r="7" spans="1:29" ht="24.75" customHeight="1" x14ac:dyDescent="0.2">
      <c r="A7" s="63"/>
      <c r="B7" s="65"/>
      <c r="C7" s="96" t="s">
        <v>801</v>
      </c>
      <c r="D7" s="97" t="s">
        <v>802</v>
      </c>
      <c r="E7" s="96" t="s">
        <v>540</v>
      </c>
      <c r="F7" s="95" t="s">
        <v>532</v>
      </c>
      <c r="G7" s="96" t="s">
        <v>718</v>
      </c>
      <c r="H7" s="95" t="s">
        <v>695</v>
      </c>
      <c r="I7" s="96" t="s">
        <v>633</v>
      </c>
      <c r="J7" s="95" t="s">
        <v>638</v>
      </c>
      <c r="K7" s="156" t="s">
        <v>620</v>
      </c>
      <c r="L7" s="156" t="s">
        <v>621</v>
      </c>
      <c r="M7" s="96" t="s">
        <v>640</v>
      </c>
      <c r="N7" s="95" t="s">
        <v>641</v>
      </c>
      <c r="O7" s="74"/>
      <c r="P7" s="98"/>
      <c r="Q7" s="75"/>
      <c r="R7" s="75"/>
      <c r="S7" s="154"/>
      <c r="T7" s="75"/>
      <c r="U7" s="75"/>
      <c r="V7" s="75"/>
      <c r="W7" s="75"/>
      <c r="X7" s="75"/>
      <c r="Y7" s="75"/>
      <c r="Z7" s="75"/>
      <c r="AA7" s="75"/>
      <c r="AB7" s="75"/>
      <c r="AC7" s="75"/>
    </row>
    <row r="8" spans="1:29" ht="24.75" customHeight="1" x14ac:dyDescent="0.2">
      <c r="A8" s="68"/>
      <c r="B8" s="69"/>
      <c r="C8" s="96"/>
      <c r="D8" s="97"/>
      <c r="E8" s="96" t="s">
        <v>541</v>
      </c>
      <c r="F8" s="95" t="s">
        <v>534</v>
      </c>
      <c r="G8" s="96"/>
      <c r="H8" s="95"/>
      <c r="I8" s="96" t="s">
        <v>547</v>
      </c>
      <c r="J8" s="95" t="s">
        <v>660</v>
      </c>
      <c r="K8" s="156" t="s">
        <v>611</v>
      </c>
      <c r="L8" s="156" t="s">
        <v>616</v>
      </c>
      <c r="M8" s="96" t="s">
        <v>36</v>
      </c>
      <c r="N8" s="95" t="s">
        <v>37</v>
      </c>
      <c r="O8" s="160"/>
      <c r="P8" s="98"/>
      <c r="Q8" s="75"/>
      <c r="R8" s="75"/>
      <c r="S8" s="154"/>
      <c r="T8" s="75"/>
      <c r="U8" s="75"/>
      <c r="V8" s="75"/>
      <c r="W8" s="75"/>
      <c r="X8" s="75"/>
      <c r="Y8" s="75"/>
      <c r="Z8" s="75"/>
      <c r="AA8" s="75"/>
      <c r="AB8" s="75"/>
      <c r="AC8" s="75"/>
    </row>
    <row r="9" spans="1:29" ht="24.75" customHeight="1" x14ac:dyDescent="0.2">
      <c r="A9" s="136"/>
      <c r="B9" s="136"/>
      <c r="C9" s="70"/>
      <c r="D9" s="70"/>
      <c r="E9" s="168" t="s">
        <v>542</v>
      </c>
      <c r="F9" s="143" t="s">
        <v>535</v>
      </c>
      <c r="G9" s="78"/>
      <c r="H9" s="150"/>
      <c r="I9" s="96"/>
      <c r="J9" s="95"/>
      <c r="K9" s="156" t="s">
        <v>612</v>
      </c>
      <c r="L9" s="156" t="s">
        <v>617</v>
      </c>
      <c r="M9" s="96" t="s">
        <v>38</v>
      </c>
      <c r="N9" s="95" t="s">
        <v>39</v>
      </c>
      <c r="O9" s="74"/>
      <c r="P9" s="98"/>
      <c r="Q9" s="75"/>
      <c r="R9" s="75"/>
      <c r="S9" s="154"/>
      <c r="T9" s="75"/>
      <c r="U9" s="75"/>
      <c r="V9" s="75"/>
      <c r="W9" s="75"/>
      <c r="X9" s="75"/>
      <c r="Y9" s="75"/>
      <c r="Z9" s="75"/>
      <c r="AA9" s="75"/>
      <c r="AB9" s="75"/>
      <c r="AC9" s="75"/>
    </row>
    <row r="10" spans="1:29" ht="24.75" customHeight="1" x14ac:dyDescent="0.2">
      <c r="A10" s="81"/>
      <c r="B10" s="81"/>
      <c r="C10" s="70"/>
      <c r="D10" s="70"/>
      <c r="E10" s="96" t="s">
        <v>543</v>
      </c>
      <c r="F10" s="95" t="s">
        <v>536</v>
      </c>
      <c r="G10" s="78"/>
      <c r="H10" s="150"/>
      <c r="I10" s="96"/>
      <c r="J10" s="95"/>
      <c r="K10" s="169" t="s">
        <v>548</v>
      </c>
      <c r="L10" s="156" t="s">
        <v>647</v>
      </c>
      <c r="M10" s="96" t="s">
        <v>41</v>
      </c>
      <c r="N10" s="95" t="s">
        <v>42</v>
      </c>
      <c r="O10" s="160"/>
      <c r="P10" s="98"/>
      <c r="Q10" s="75"/>
      <c r="R10" s="75"/>
      <c r="S10" s="154"/>
      <c r="T10" s="75"/>
      <c r="U10" s="75"/>
      <c r="V10" s="75"/>
      <c r="W10" s="75"/>
      <c r="X10" s="75"/>
      <c r="Y10" s="75"/>
      <c r="Z10" s="75"/>
      <c r="AA10" s="75"/>
      <c r="AB10" s="75"/>
      <c r="AC10" s="75"/>
    </row>
    <row r="11" spans="1:29" ht="24.75" customHeight="1" x14ac:dyDescent="0.2">
      <c r="A11" s="81"/>
      <c r="B11" s="81"/>
      <c r="C11" s="70"/>
      <c r="D11" s="70"/>
      <c r="E11" s="96" t="s">
        <v>544</v>
      </c>
      <c r="F11" s="95" t="s">
        <v>537</v>
      </c>
      <c r="G11" s="78"/>
      <c r="H11" s="150"/>
      <c r="I11" s="96"/>
      <c r="J11" s="95"/>
      <c r="K11" s="169" t="s">
        <v>549</v>
      </c>
      <c r="L11" s="156" t="s">
        <v>648</v>
      </c>
      <c r="M11" s="96" t="s">
        <v>719</v>
      </c>
      <c r="N11" s="95" t="s">
        <v>720</v>
      </c>
      <c r="O11" s="74"/>
      <c r="P11" s="98"/>
      <c r="Q11" s="75"/>
      <c r="R11" s="75"/>
      <c r="S11" s="154"/>
      <c r="T11" s="75"/>
      <c r="U11" s="75"/>
      <c r="V11" s="75"/>
      <c r="W11" s="75"/>
      <c r="X11" s="75"/>
      <c r="Y11" s="75"/>
      <c r="Z11" s="75"/>
      <c r="AA11" s="75"/>
      <c r="AB11" s="75"/>
      <c r="AC11" s="75"/>
    </row>
    <row r="12" spans="1:29" ht="24.75" customHeight="1" x14ac:dyDescent="0.2">
      <c r="A12" s="81"/>
      <c r="B12" s="81"/>
      <c r="C12" s="70"/>
      <c r="D12" s="70"/>
      <c r="E12" s="96" t="s">
        <v>545</v>
      </c>
      <c r="F12" s="95" t="s">
        <v>342</v>
      </c>
      <c r="G12" s="78"/>
      <c r="H12" s="150"/>
      <c r="I12" s="96"/>
      <c r="J12" s="95"/>
      <c r="K12" s="169" t="s">
        <v>649</v>
      </c>
      <c r="L12" s="156" t="s">
        <v>650</v>
      </c>
      <c r="M12" s="96" t="s">
        <v>43</v>
      </c>
      <c r="N12" s="95" t="s">
        <v>642</v>
      </c>
      <c r="O12" s="161"/>
      <c r="P12" s="98"/>
      <c r="Q12" s="75"/>
      <c r="R12" s="75"/>
      <c r="S12" s="154"/>
      <c r="T12" s="75"/>
      <c r="U12" s="75"/>
      <c r="V12" s="75"/>
      <c r="W12" s="75"/>
      <c r="X12" s="75"/>
      <c r="Y12" s="75"/>
      <c r="Z12" s="75"/>
      <c r="AA12" s="75"/>
      <c r="AB12" s="75"/>
      <c r="AC12" s="75"/>
    </row>
    <row r="13" spans="1:29" ht="24.75" customHeight="1" x14ac:dyDescent="0.2">
      <c r="A13" s="81"/>
      <c r="B13" s="81"/>
      <c r="C13" s="70"/>
      <c r="D13" s="70"/>
      <c r="E13" s="96" t="s">
        <v>624</v>
      </c>
      <c r="F13" s="95" t="s">
        <v>376</v>
      </c>
      <c r="G13" s="78"/>
      <c r="H13" s="150"/>
      <c r="I13" s="96"/>
      <c r="J13" s="95"/>
      <c r="K13" s="169" t="s">
        <v>651</v>
      </c>
      <c r="L13" s="156" t="s">
        <v>652</v>
      </c>
      <c r="M13" s="96" t="s">
        <v>44</v>
      </c>
      <c r="N13" s="95" t="s">
        <v>45</v>
      </c>
      <c r="O13" s="161"/>
      <c r="P13" s="98"/>
      <c r="Q13" s="75"/>
      <c r="R13" s="75"/>
      <c r="S13" s="154"/>
      <c r="T13" s="75"/>
      <c r="U13" s="75"/>
      <c r="V13" s="75"/>
      <c r="W13" s="75"/>
      <c r="X13" s="75"/>
      <c r="Y13" s="75"/>
      <c r="Z13" s="75"/>
      <c r="AA13" s="75"/>
      <c r="AB13" s="75"/>
      <c r="AC13" s="75"/>
    </row>
    <row r="14" spans="1:29" ht="24.75" customHeight="1" x14ac:dyDescent="0.2">
      <c r="A14" s="81"/>
      <c r="B14" s="81"/>
      <c r="C14" s="70"/>
      <c r="D14" s="70"/>
      <c r="E14" s="96" t="s">
        <v>628</v>
      </c>
      <c r="F14" s="95" t="s">
        <v>770</v>
      </c>
      <c r="G14" s="78"/>
      <c r="H14" s="150"/>
      <c r="I14" s="96"/>
      <c r="J14" s="95"/>
      <c r="K14" s="169" t="s">
        <v>11</v>
      </c>
      <c r="L14" s="156" t="s">
        <v>653</v>
      </c>
      <c r="M14" s="96" t="s">
        <v>643</v>
      </c>
      <c r="N14" s="95" t="s">
        <v>644</v>
      </c>
      <c r="O14" s="161"/>
      <c r="P14" s="98"/>
      <c r="Q14" s="75"/>
      <c r="R14" s="75"/>
      <c r="S14" s="154"/>
      <c r="T14" s="75"/>
      <c r="U14" s="75"/>
      <c r="V14" s="75"/>
      <c r="W14" s="75"/>
      <c r="X14" s="75"/>
      <c r="Y14" s="75"/>
      <c r="Z14" s="75"/>
      <c r="AA14" s="75"/>
      <c r="AB14" s="75"/>
      <c r="AC14" s="75"/>
    </row>
    <row r="15" spans="1:29" ht="24.75" customHeight="1" x14ac:dyDescent="0.2">
      <c r="A15" s="81"/>
      <c r="B15" s="81"/>
      <c r="C15" s="70"/>
      <c r="D15" s="70"/>
      <c r="E15" s="96" t="s">
        <v>806</v>
      </c>
      <c r="F15" s="95" t="s">
        <v>804</v>
      </c>
      <c r="G15" s="78"/>
      <c r="H15" s="150"/>
      <c r="I15" s="96"/>
      <c r="J15" s="95"/>
      <c r="K15" s="169" t="s">
        <v>14</v>
      </c>
      <c r="L15" s="156" t="s">
        <v>654</v>
      </c>
      <c r="M15" s="96" t="s">
        <v>645</v>
      </c>
      <c r="N15" s="95" t="s">
        <v>646</v>
      </c>
      <c r="O15" s="161"/>
      <c r="P15" s="98"/>
      <c r="Q15" s="75"/>
      <c r="R15" s="75"/>
      <c r="S15" s="154"/>
      <c r="T15" s="75"/>
      <c r="U15" s="75"/>
      <c r="V15" s="75"/>
      <c r="W15" s="75"/>
      <c r="X15" s="75"/>
      <c r="Y15" s="75"/>
      <c r="Z15" s="75"/>
      <c r="AA15" s="75"/>
      <c r="AB15" s="75"/>
      <c r="AC15" s="75"/>
    </row>
    <row r="16" spans="1:29" ht="24.75" customHeight="1" x14ac:dyDescent="0.2">
      <c r="A16" s="81"/>
      <c r="B16" s="81"/>
      <c r="C16" s="70"/>
      <c r="D16" s="70"/>
      <c r="E16" s="96"/>
      <c r="F16" s="95"/>
      <c r="G16" s="2"/>
      <c r="H16" s="151"/>
      <c r="I16" s="96"/>
      <c r="J16" s="95"/>
      <c r="K16" s="160" t="s">
        <v>655</v>
      </c>
      <c r="L16" s="250" t="s">
        <v>656</v>
      </c>
      <c r="M16" s="96" t="s">
        <v>669</v>
      </c>
      <c r="N16" s="95" t="s">
        <v>670</v>
      </c>
      <c r="O16" s="160"/>
      <c r="P16" s="99"/>
      <c r="Q16" s="75"/>
      <c r="R16" s="75"/>
      <c r="S16" s="154"/>
      <c r="T16" s="75"/>
      <c r="U16" s="75"/>
      <c r="V16" s="75"/>
      <c r="W16" s="75"/>
      <c r="X16" s="75"/>
      <c r="Y16" s="75"/>
      <c r="Z16" s="75"/>
      <c r="AA16" s="75"/>
      <c r="AB16" s="75"/>
      <c r="AC16" s="75"/>
    </row>
    <row r="17" spans="1:29" ht="24.75" customHeight="1" x14ac:dyDescent="0.2">
      <c r="A17" s="81"/>
      <c r="B17" s="81"/>
      <c r="C17" s="70"/>
      <c r="D17" s="70"/>
      <c r="E17" s="148"/>
      <c r="F17" s="149"/>
      <c r="G17" s="2"/>
      <c r="H17" s="151"/>
      <c r="I17" s="96"/>
      <c r="J17" s="95"/>
      <c r="K17" s="160" t="s">
        <v>657</v>
      </c>
      <c r="L17" s="251" t="s">
        <v>658</v>
      </c>
      <c r="M17" s="96"/>
      <c r="N17" s="95"/>
      <c r="O17" s="74"/>
      <c r="P17" s="99"/>
      <c r="Q17" s="75"/>
      <c r="R17" s="75"/>
      <c r="S17" s="75"/>
      <c r="T17" s="75"/>
      <c r="U17" s="75"/>
      <c r="V17" s="75"/>
      <c r="W17" s="75"/>
      <c r="X17" s="75"/>
      <c r="Y17" s="75"/>
      <c r="Z17" s="75"/>
      <c r="AA17" s="75"/>
      <c r="AB17" s="75"/>
      <c r="AC17" s="75"/>
    </row>
    <row r="18" spans="1:29" ht="24.75" customHeight="1" x14ac:dyDescent="0.2">
      <c r="A18" s="81"/>
      <c r="B18" s="81"/>
      <c r="C18" s="70"/>
      <c r="D18" s="70"/>
      <c r="E18" s="148"/>
      <c r="F18" s="149"/>
      <c r="G18" s="2"/>
      <c r="H18" s="151"/>
      <c r="I18" s="96"/>
      <c r="J18" s="95"/>
      <c r="K18" s="160"/>
      <c r="L18" s="62"/>
      <c r="M18" s="96"/>
      <c r="N18" s="95"/>
      <c r="O18" s="160"/>
      <c r="P18" s="99"/>
      <c r="Q18" s="75"/>
      <c r="R18" s="75"/>
      <c r="S18" s="75"/>
      <c r="T18" s="75"/>
      <c r="U18" s="75"/>
      <c r="V18" s="75"/>
      <c r="W18" s="75"/>
      <c r="X18" s="75"/>
      <c r="Y18" s="75"/>
      <c r="Z18" s="75"/>
      <c r="AA18" s="75"/>
      <c r="AB18" s="75"/>
      <c r="AC18" s="75"/>
    </row>
    <row r="19" spans="1:29" ht="24.75" customHeight="1" x14ac:dyDescent="0.2">
      <c r="A19" s="81"/>
      <c r="B19" s="81"/>
      <c r="C19" s="70"/>
      <c r="D19" s="70"/>
      <c r="E19" s="148"/>
      <c r="F19" s="149"/>
      <c r="G19" s="67"/>
      <c r="H19" s="152"/>
      <c r="I19" s="96"/>
      <c r="J19" s="95"/>
      <c r="K19" s="160"/>
      <c r="L19" s="62"/>
      <c r="M19" s="96"/>
      <c r="N19" s="95"/>
      <c r="O19" s="74"/>
      <c r="P19" s="74"/>
      <c r="Q19" s="75"/>
      <c r="R19" s="75"/>
      <c r="S19" s="75"/>
      <c r="T19" s="75"/>
      <c r="U19" s="75"/>
      <c r="V19" s="75"/>
      <c r="W19" s="75"/>
      <c r="X19" s="75"/>
      <c r="Y19" s="75"/>
      <c r="Z19" s="75"/>
      <c r="AA19" s="75"/>
      <c r="AB19" s="75"/>
      <c r="AC19" s="75"/>
    </row>
    <row r="20" spans="1:29" ht="24.75" customHeight="1" x14ac:dyDescent="0.2">
      <c r="A20" s="81"/>
      <c r="B20" s="81"/>
      <c r="C20" s="70"/>
      <c r="D20" s="70"/>
      <c r="E20" s="142"/>
      <c r="F20" s="142"/>
      <c r="G20" s="67"/>
      <c r="H20" s="152"/>
      <c r="I20" s="96"/>
      <c r="J20" s="95"/>
      <c r="K20" s="160"/>
      <c r="L20" s="62"/>
      <c r="M20" s="96"/>
      <c r="N20" s="95"/>
      <c r="O20" s="160"/>
      <c r="P20" s="74"/>
      <c r="Q20" s="75"/>
      <c r="R20" s="75"/>
      <c r="S20" s="75"/>
      <c r="T20" s="75"/>
      <c r="U20" s="75"/>
      <c r="V20" s="75"/>
      <c r="W20" s="75"/>
      <c r="X20" s="75"/>
      <c r="Y20" s="75"/>
      <c r="Z20" s="75"/>
      <c r="AA20" s="75"/>
      <c r="AB20" s="75"/>
      <c r="AC20" s="75"/>
    </row>
    <row r="21" spans="1:29" ht="24.75" customHeight="1" x14ac:dyDescent="0.2">
      <c r="A21" s="81"/>
      <c r="B21" s="81"/>
      <c r="C21" s="137"/>
      <c r="D21" s="137"/>
      <c r="E21" s="142"/>
      <c r="F21" s="142"/>
      <c r="G21" s="67"/>
      <c r="H21" s="152"/>
      <c r="I21" s="96"/>
      <c r="J21" s="95"/>
      <c r="K21" s="160"/>
      <c r="L21" s="62"/>
      <c r="M21" s="96"/>
      <c r="N21" s="95"/>
      <c r="O21" s="74"/>
      <c r="P21" s="74"/>
      <c r="Q21" s="75"/>
      <c r="R21" s="75"/>
      <c r="S21" s="75"/>
      <c r="T21" s="75"/>
      <c r="U21" s="75"/>
      <c r="V21" s="75"/>
      <c r="W21" s="75"/>
      <c r="X21" s="75"/>
      <c r="Y21" s="75"/>
      <c r="Z21" s="75"/>
      <c r="AA21" s="75"/>
      <c r="AB21" s="75"/>
      <c r="AC21" s="75"/>
    </row>
    <row r="22" spans="1:29" ht="24.75" customHeight="1" x14ac:dyDescent="0.2">
      <c r="A22" s="81"/>
      <c r="B22" s="81"/>
      <c r="C22" s="137"/>
      <c r="D22" s="137"/>
      <c r="E22" s="142"/>
      <c r="F22" s="142"/>
      <c r="G22" s="67"/>
      <c r="H22" s="152"/>
      <c r="I22" s="96"/>
      <c r="J22" s="95"/>
      <c r="K22" s="160"/>
      <c r="L22" s="62"/>
      <c r="M22" s="96"/>
      <c r="N22" s="95"/>
      <c r="O22" s="74"/>
      <c r="P22" s="67"/>
      <c r="Q22" s="75"/>
      <c r="R22" s="75"/>
      <c r="S22" s="75"/>
      <c r="T22" s="75"/>
      <c r="U22" s="75"/>
      <c r="V22" s="75"/>
      <c r="W22" s="75"/>
      <c r="X22" s="75"/>
      <c r="Y22" s="75"/>
      <c r="Z22" s="75"/>
      <c r="AA22" s="75"/>
      <c r="AB22" s="75"/>
      <c r="AC22" s="75"/>
    </row>
    <row r="23" spans="1:29" ht="24.75" customHeight="1" x14ac:dyDescent="0.2">
      <c r="A23" s="81"/>
      <c r="B23" s="81"/>
      <c r="C23" s="137"/>
      <c r="D23" s="137"/>
      <c r="E23" s="145"/>
      <c r="F23" s="145"/>
      <c r="G23" s="67"/>
      <c r="H23" s="152"/>
      <c r="I23" s="96"/>
      <c r="J23" s="95"/>
      <c r="K23" s="160"/>
      <c r="L23" s="61"/>
      <c r="M23" s="96"/>
      <c r="N23" s="95"/>
      <c r="O23" s="74"/>
      <c r="P23" s="67"/>
      <c r="Q23" s="75"/>
      <c r="R23" s="75"/>
      <c r="S23" s="75"/>
      <c r="T23" s="75"/>
      <c r="U23" s="75"/>
      <c r="V23" s="75"/>
      <c r="W23" s="75"/>
      <c r="X23" s="75"/>
      <c r="Y23" s="75"/>
      <c r="Z23" s="75"/>
      <c r="AA23" s="75"/>
      <c r="AB23" s="75"/>
      <c r="AC23" s="75"/>
    </row>
    <row r="24" spans="1:29" ht="24.75" customHeight="1" x14ac:dyDescent="0.2">
      <c r="A24" s="81"/>
      <c r="B24" s="81"/>
      <c r="C24" s="137"/>
      <c r="D24" s="137"/>
      <c r="E24" s="145"/>
      <c r="F24" s="145"/>
      <c r="G24" s="129"/>
      <c r="H24" s="129"/>
      <c r="I24" s="130"/>
      <c r="J24" s="131"/>
      <c r="K24" s="160"/>
      <c r="L24" s="77"/>
      <c r="M24" s="130"/>
      <c r="N24" s="131"/>
      <c r="O24" s="162"/>
      <c r="P24" s="129"/>
      <c r="Q24" s="75"/>
      <c r="R24" s="75"/>
      <c r="S24" s="75"/>
      <c r="T24" s="75"/>
      <c r="U24" s="75"/>
      <c r="V24" s="75"/>
      <c r="W24" s="75"/>
      <c r="X24" s="75"/>
      <c r="Y24" s="75"/>
      <c r="Z24" s="75"/>
      <c r="AA24" s="75"/>
      <c r="AB24" s="75"/>
      <c r="AC24" s="75"/>
    </row>
    <row r="25" spans="1:29" ht="24.75" customHeight="1" x14ac:dyDescent="0.2">
      <c r="A25" s="81"/>
      <c r="B25" s="81"/>
      <c r="C25" s="137"/>
      <c r="D25" s="138"/>
      <c r="E25" s="144"/>
      <c r="F25" s="144"/>
      <c r="G25" s="132"/>
      <c r="H25" s="132"/>
      <c r="I25" s="60"/>
      <c r="J25" s="66"/>
      <c r="K25" s="164"/>
      <c r="L25" s="133"/>
      <c r="M25" s="60"/>
      <c r="N25" s="66"/>
      <c r="O25" s="163"/>
      <c r="P25" s="132"/>
      <c r="Q25" s="75"/>
      <c r="R25" s="75"/>
      <c r="S25" s="75"/>
      <c r="T25" s="75"/>
      <c r="U25" s="75"/>
      <c r="V25" s="75"/>
      <c r="W25" s="75"/>
      <c r="X25" s="75"/>
      <c r="Y25" s="75"/>
      <c r="Z25" s="75"/>
      <c r="AA25" s="75"/>
      <c r="AB25" s="75"/>
      <c r="AC25" s="75"/>
    </row>
    <row r="26" spans="1:29" ht="24.75" customHeight="1" x14ac:dyDescent="0.2">
      <c r="A26" s="81"/>
      <c r="B26" s="81"/>
      <c r="C26" s="137"/>
      <c r="D26" s="138"/>
      <c r="E26" s="73"/>
      <c r="F26" s="73"/>
      <c r="G26" s="132"/>
      <c r="H26" s="132"/>
      <c r="I26" s="60"/>
      <c r="J26" s="66"/>
      <c r="K26" s="164"/>
      <c r="L26" s="133"/>
      <c r="M26" s="60"/>
      <c r="N26" s="66"/>
      <c r="O26" s="163"/>
      <c r="P26" s="132"/>
      <c r="Q26" s="75"/>
      <c r="R26" s="75"/>
      <c r="S26" s="75"/>
      <c r="T26" s="75"/>
      <c r="U26" s="75"/>
      <c r="V26" s="75"/>
      <c r="W26" s="75"/>
      <c r="X26" s="75"/>
      <c r="Y26" s="75"/>
      <c r="Z26" s="75"/>
      <c r="AA26" s="75"/>
      <c r="AB26" s="75"/>
      <c r="AC26" s="75"/>
    </row>
    <row r="27" spans="1:29" ht="24.75" customHeight="1" x14ac:dyDescent="0.2">
      <c r="A27" s="81"/>
      <c r="B27" s="81"/>
      <c r="C27" s="137"/>
      <c r="D27" s="138"/>
      <c r="E27" s="73"/>
      <c r="F27" s="73"/>
      <c r="G27" s="132"/>
      <c r="H27" s="132"/>
      <c r="I27" s="133"/>
      <c r="J27" s="133"/>
      <c r="K27" s="164"/>
      <c r="L27" s="133"/>
      <c r="M27" s="133"/>
      <c r="N27" s="133"/>
      <c r="O27" s="163"/>
      <c r="P27" s="132"/>
      <c r="Q27" s="75"/>
      <c r="R27" s="75"/>
      <c r="S27" s="75"/>
      <c r="T27" s="75"/>
      <c r="U27" s="75"/>
      <c r="V27" s="75"/>
      <c r="W27" s="75"/>
      <c r="X27" s="75"/>
      <c r="Y27" s="75"/>
      <c r="Z27" s="75"/>
      <c r="AA27" s="75"/>
      <c r="AB27" s="75"/>
      <c r="AC27" s="75"/>
    </row>
    <row r="28" spans="1:29" ht="24.75" customHeight="1" x14ac:dyDescent="0.2">
      <c r="A28" s="81"/>
      <c r="B28" s="81"/>
      <c r="C28" s="137"/>
      <c r="D28" s="138"/>
      <c r="E28" s="73"/>
      <c r="F28" s="73"/>
      <c r="G28" s="132"/>
      <c r="H28" s="132"/>
      <c r="I28" s="133"/>
      <c r="J28" s="133"/>
      <c r="K28" s="163"/>
      <c r="L28" s="132"/>
      <c r="M28" s="133"/>
      <c r="N28" s="133"/>
      <c r="O28" s="163"/>
      <c r="P28" s="132"/>
      <c r="Q28" s="75"/>
      <c r="R28" s="75"/>
      <c r="S28" s="75"/>
      <c r="T28" s="75"/>
      <c r="U28" s="75"/>
      <c r="V28" s="75"/>
      <c r="W28" s="75"/>
      <c r="X28" s="75"/>
      <c r="Y28" s="75"/>
      <c r="Z28" s="75"/>
      <c r="AA28" s="75"/>
      <c r="AB28" s="75"/>
      <c r="AC28" s="75"/>
    </row>
    <row r="29" spans="1:29" ht="24.75" customHeight="1" x14ac:dyDescent="0.2">
      <c r="A29" s="81"/>
      <c r="B29" s="81"/>
      <c r="C29" s="137"/>
      <c r="D29" s="138"/>
      <c r="E29" s="73"/>
      <c r="F29" s="73"/>
      <c r="G29" s="132"/>
      <c r="H29" s="132"/>
      <c r="I29" s="133"/>
      <c r="J29" s="133"/>
      <c r="K29" s="62"/>
      <c r="L29" s="61"/>
      <c r="M29" s="133"/>
      <c r="N29" s="133"/>
      <c r="O29" s="163"/>
      <c r="P29" s="132"/>
      <c r="Q29" s="75"/>
      <c r="R29" s="75"/>
      <c r="S29" s="75"/>
      <c r="T29" s="75"/>
      <c r="U29" s="75"/>
      <c r="V29" s="75"/>
      <c r="W29" s="75"/>
      <c r="X29" s="75"/>
      <c r="Y29" s="75"/>
      <c r="Z29" s="75"/>
      <c r="AA29" s="75"/>
      <c r="AB29" s="75"/>
      <c r="AC29" s="75"/>
    </row>
    <row r="30" spans="1:29" ht="24.75" customHeight="1" x14ac:dyDescent="0.2">
      <c r="A30" s="81"/>
      <c r="B30" s="81"/>
      <c r="C30" s="137"/>
      <c r="D30" s="138"/>
      <c r="E30" s="73"/>
      <c r="F30" s="73"/>
      <c r="G30" s="132"/>
      <c r="H30" s="132"/>
      <c r="I30" s="133"/>
      <c r="J30" s="133"/>
      <c r="K30" s="62"/>
      <c r="L30" s="61"/>
      <c r="M30" s="133"/>
      <c r="N30" s="133"/>
      <c r="O30" s="163"/>
      <c r="P30" s="132"/>
      <c r="Q30" s="75"/>
      <c r="R30" s="75"/>
      <c r="S30" s="75"/>
      <c r="T30" s="75"/>
      <c r="U30" s="75"/>
      <c r="V30" s="75"/>
      <c r="W30" s="75"/>
      <c r="X30" s="75"/>
      <c r="Y30" s="75"/>
      <c r="Z30" s="75"/>
      <c r="AA30" s="75"/>
      <c r="AB30" s="75"/>
      <c r="AC30" s="75"/>
    </row>
    <row r="31" spans="1:29" ht="24.75" customHeight="1" x14ac:dyDescent="0.2">
      <c r="A31" s="81"/>
      <c r="B31" s="81"/>
      <c r="C31" s="137"/>
      <c r="D31" s="138"/>
      <c r="E31" s="66"/>
      <c r="F31" s="73"/>
      <c r="G31" s="132"/>
      <c r="H31" s="132"/>
      <c r="I31" s="134"/>
      <c r="J31" s="134"/>
      <c r="K31" s="62"/>
      <c r="L31" s="61"/>
      <c r="M31" s="134"/>
      <c r="N31" s="134"/>
      <c r="O31" s="163"/>
      <c r="P31" s="132"/>
      <c r="Q31" s="75"/>
      <c r="R31" s="75"/>
      <c r="S31" s="75"/>
      <c r="T31" s="75"/>
      <c r="U31" s="75"/>
      <c r="V31" s="75"/>
      <c r="W31" s="75"/>
      <c r="X31" s="75"/>
      <c r="Y31" s="75"/>
      <c r="Z31" s="75"/>
      <c r="AA31" s="75"/>
      <c r="AB31" s="75"/>
      <c r="AC31" s="75"/>
    </row>
    <row r="32" spans="1:29" ht="24.75" customHeight="1" x14ac:dyDescent="0.2">
      <c r="A32" s="81"/>
      <c r="B32" s="81"/>
      <c r="C32" s="137"/>
      <c r="D32" s="138"/>
      <c r="E32" s="73"/>
      <c r="F32" s="73"/>
      <c r="G32" s="132"/>
      <c r="H32" s="132"/>
      <c r="I32" s="134"/>
      <c r="J32" s="134"/>
      <c r="K32" s="62"/>
      <c r="L32" s="61"/>
      <c r="M32" s="134"/>
      <c r="N32" s="134"/>
      <c r="O32" s="163"/>
      <c r="P32" s="132"/>
      <c r="Q32" s="75"/>
      <c r="R32" s="75"/>
      <c r="S32" s="75"/>
      <c r="T32" s="75"/>
      <c r="U32" s="75"/>
      <c r="V32" s="75"/>
      <c r="W32" s="75"/>
      <c r="X32" s="75"/>
      <c r="Y32" s="75"/>
      <c r="Z32" s="75"/>
      <c r="AA32" s="75"/>
      <c r="AB32" s="75"/>
      <c r="AC32" s="75"/>
    </row>
    <row r="33" spans="1:29" ht="24.75" customHeight="1" x14ac:dyDescent="0.2">
      <c r="A33" s="81"/>
      <c r="B33" s="81"/>
      <c r="C33" s="137"/>
      <c r="D33" s="138"/>
      <c r="E33" s="66"/>
      <c r="F33" s="73"/>
      <c r="G33" s="132"/>
      <c r="H33" s="132"/>
      <c r="I33" s="134"/>
      <c r="J33" s="134"/>
      <c r="K33" s="62"/>
      <c r="L33" s="61"/>
      <c r="M33" s="134"/>
      <c r="N33" s="134"/>
      <c r="O33" s="163"/>
      <c r="P33" s="132"/>
      <c r="Q33" s="75"/>
      <c r="R33" s="75"/>
      <c r="S33" s="75"/>
      <c r="T33" s="75"/>
      <c r="U33" s="75"/>
      <c r="V33" s="75"/>
      <c r="W33" s="75"/>
      <c r="X33" s="75"/>
      <c r="Y33" s="75"/>
      <c r="Z33" s="75"/>
      <c r="AA33" s="75"/>
      <c r="AB33" s="75"/>
      <c r="AC33" s="75"/>
    </row>
    <row r="34" spans="1:29" ht="24.75" customHeight="1" x14ac:dyDescent="0.2">
      <c r="A34" s="301"/>
      <c r="B34" s="302"/>
      <c r="C34" s="303"/>
      <c r="D34" s="302"/>
      <c r="E34" s="66"/>
      <c r="F34" s="73"/>
      <c r="G34" s="133"/>
      <c r="H34" s="135"/>
      <c r="I34" s="134"/>
      <c r="J34" s="134"/>
      <c r="K34" s="164"/>
      <c r="L34" s="135"/>
      <c r="M34" s="134"/>
      <c r="N34" s="134"/>
      <c r="O34" s="164"/>
      <c r="P34" s="135"/>
      <c r="Q34" s="75"/>
      <c r="R34" s="75"/>
      <c r="S34" s="75"/>
      <c r="T34" s="75"/>
      <c r="U34" s="75"/>
      <c r="V34" s="75"/>
      <c r="W34" s="75"/>
      <c r="X34" s="75"/>
      <c r="Y34" s="75"/>
      <c r="Z34" s="75"/>
      <c r="AA34" s="75"/>
      <c r="AB34" s="75"/>
      <c r="AC34" s="75"/>
    </row>
    <row r="35" spans="1:29" ht="24.75" customHeight="1" x14ac:dyDescent="0.2">
      <c r="A35" s="81"/>
      <c r="B35" s="81"/>
      <c r="C35" s="137"/>
      <c r="D35" s="138"/>
      <c r="E35" s="73"/>
      <c r="F35" s="73"/>
      <c r="G35" s="61"/>
      <c r="H35" s="61"/>
      <c r="I35" s="66"/>
      <c r="J35" s="66"/>
      <c r="K35" s="62"/>
      <c r="L35" s="61"/>
      <c r="M35" s="66"/>
      <c r="N35" s="66"/>
      <c r="O35" s="62"/>
      <c r="P35" s="61"/>
      <c r="Q35" s="75"/>
      <c r="R35" s="75"/>
      <c r="S35" s="75"/>
      <c r="T35" s="75"/>
      <c r="U35" s="75"/>
      <c r="V35" s="75"/>
      <c r="W35" s="75"/>
      <c r="X35" s="75"/>
      <c r="Y35" s="75"/>
      <c r="Z35" s="75"/>
      <c r="AA35" s="75"/>
      <c r="AB35" s="75"/>
      <c r="AC35" s="75"/>
    </row>
    <row r="36" spans="1:29" ht="24.75" customHeight="1" x14ac:dyDescent="0.2">
      <c r="A36" s="81"/>
      <c r="B36" s="81"/>
      <c r="C36" s="137"/>
      <c r="D36" s="138"/>
      <c r="E36" s="73"/>
      <c r="F36" s="73"/>
      <c r="G36" s="61"/>
      <c r="H36" s="61"/>
      <c r="I36" s="66"/>
      <c r="J36" s="66"/>
      <c r="K36" s="62"/>
      <c r="L36" s="61"/>
      <c r="M36" s="66"/>
      <c r="N36" s="66"/>
      <c r="O36" s="62"/>
      <c r="P36" s="61"/>
      <c r="Q36" s="75"/>
      <c r="R36" s="75"/>
      <c r="S36" s="75"/>
      <c r="T36" s="75"/>
      <c r="U36" s="75"/>
      <c r="V36" s="75"/>
      <c r="W36" s="75"/>
      <c r="X36" s="75"/>
      <c r="Y36" s="75"/>
      <c r="Z36" s="75"/>
      <c r="AA36" s="75"/>
      <c r="AB36" s="75"/>
      <c r="AC36" s="75"/>
    </row>
    <row r="37" spans="1:29" ht="24.75" customHeight="1" x14ac:dyDescent="0.2">
      <c r="A37" s="81"/>
      <c r="B37" s="81"/>
      <c r="C37" s="137"/>
      <c r="D37" s="138"/>
      <c r="E37" s="73"/>
      <c r="F37" s="73"/>
      <c r="G37" s="61"/>
      <c r="H37" s="61"/>
      <c r="I37" s="66"/>
      <c r="J37" s="66"/>
      <c r="K37" s="62"/>
      <c r="L37" s="61"/>
      <c r="M37" s="66"/>
      <c r="N37" s="66"/>
      <c r="O37" s="62"/>
      <c r="P37" s="61"/>
      <c r="Q37" s="75"/>
      <c r="R37" s="75"/>
      <c r="S37" s="75"/>
      <c r="T37" s="75"/>
      <c r="U37" s="75"/>
      <c r="V37" s="75"/>
      <c r="W37" s="75"/>
      <c r="X37" s="75"/>
      <c r="Y37" s="75"/>
      <c r="Z37" s="75"/>
      <c r="AA37" s="75"/>
      <c r="AB37" s="75"/>
      <c r="AC37" s="75"/>
    </row>
    <row r="38" spans="1:29" ht="24.75" customHeight="1" x14ac:dyDescent="0.2">
      <c r="A38" s="139"/>
      <c r="B38" s="139"/>
      <c r="C38" s="140"/>
      <c r="D38" s="141"/>
      <c r="E38" s="66"/>
      <c r="F38" s="66"/>
      <c r="G38" s="61"/>
      <c r="H38" s="61"/>
      <c r="I38" s="66"/>
      <c r="J38" s="66"/>
      <c r="K38" s="62"/>
      <c r="L38" s="61"/>
      <c r="M38" s="66"/>
      <c r="N38" s="66"/>
      <c r="O38" s="62"/>
      <c r="P38" s="61"/>
      <c r="Q38" s="75"/>
      <c r="R38" s="75"/>
      <c r="S38" s="75"/>
      <c r="T38" s="75"/>
      <c r="U38" s="75"/>
      <c r="V38" s="75"/>
      <c r="W38" s="75"/>
      <c r="X38" s="75"/>
      <c r="Y38" s="75"/>
      <c r="Z38" s="75"/>
      <c r="AA38" s="75"/>
      <c r="AB38" s="75"/>
      <c r="AC38" s="75"/>
    </row>
    <row r="39" spans="1:29" ht="24.75" customHeight="1" x14ac:dyDescent="0.2">
      <c r="A39" s="304" t="s">
        <v>49</v>
      </c>
      <c r="B39" s="300"/>
      <c r="C39" s="299" t="s">
        <v>49</v>
      </c>
      <c r="D39" s="300"/>
      <c r="E39" s="304" t="s">
        <v>49</v>
      </c>
      <c r="F39" s="300"/>
      <c r="G39" s="299" t="s">
        <v>49</v>
      </c>
      <c r="H39" s="300"/>
      <c r="I39" s="304" t="s">
        <v>49</v>
      </c>
      <c r="J39" s="300"/>
      <c r="K39" s="299" t="s">
        <v>49</v>
      </c>
      <c r="L39" s="300"/>
      <c r="M39" s="304" t="s">
        <v>49</v>
      </c>
      <c r="N39" s="300"/>
      <c r="O39" s="299" t="s">
        <v>49</v>
      </c>
      <c r="P39" s="300"/>
      <c r="Q39" s="75"/>
      <c r="R39" s="75"/>
      <c r="S39" s="75"/>
      <c r="T39" s="75"/>
      <c r="U39" s="75"/>
      <c r="V39" s="75"/>
      <c r="W39" s="75"/>
      <c r="X39" s="75"/>
      <c r="Y39" s="75"/>
      <c r="Z39" s="75"/>
      <c r="AA39" s="75"/>
      <c r="AB39" s="75"/>
      <c r="AC39" s="75"/>
    </row>
    <row r="40" spans="1:29" ht="24.75" customHeight="1" x14ac:dyDescent="0.2">
      <c r="A40" s="71"/>
      <c r="B40" s="72"/>
      <c r="C40" s="75"/>
      <c r="D40" s="76"/>
      <c r="E40" s="71"/>
      <c r="F40" s="72"/>
      <c r="G40" s="75"/>
      <c r="H40" s="76"/>
      <c r="I40" s="71"/>
      <c r="J40" s="72"/>
      <c r="K40" s="165"/>
      <c r="L40" s="76"/>
      <c r="M40" s="71"/>
      <c r="N40" s="72"/>
      <c r="O40" s="165"/>
      <c r="P40" s="76"/>
      <c r="Q40" s="75"/>
      <c r="R40" s="75"/>
      <c r="S40" s="75"/>
      <c r="T40" s="75"/>
      <c r="U40" s="75"/>
      <c r="V40" s="75"/>
      <c r="W40" s="75"/>
      <c r="X40" s="75"/>
      <c r="Y40" s="75"/>
      <c r="Z40" s="75"/>
      <c r="AA40" s="75"/>
      <c r="AB40" s="75"/>
      <c r="AC40" s="75"/>
    </row>
    <row r="41" spans="1:29" ht="15.75" customHeight="1" x14ac:dyDescent="0.2">
      <c r="A41" s="100"/>
      <c r="B41" s="101"/>
      <c r="E41" s="102"/>
      <c r="F41" s="101"/>
      <c r="I41" s="102"/>
      <c r="J41" s="101"/>
      <c r="M41" s="102"/>
      <c r="N41" s="101"/>
      <c r="O41" s="166"/>
    </row>
    <row r="42" spans="1:29" ht="24.75" customHeight="1" x14ac:dyDescent="0.2">
      <c r="A42" s="71"/>
      <c r="B42" s="72"/>
      <c r="C42" s="75"/>
      <c r="D42" s="76"/>
      <c r="E42" s="71"/>
      <c r="F42" s="72"/>
      <c r="G42" s="75"/>
      <c r="H42" s="76"/>
      <c r="I42" s="71"/>
      <c r="J42" s="72"/>
      <c r="K42" s="165"/>
      <c r="L42" s="76"/>
      <c r="M42" s="71"/>
      <c r="N42" s="72"/>
      <c r="O42" s="165"/>
      <c r="P42" s="76"/>
      <c r="Q42" s="75"/>
      <c r="R42" s="75"/>
      <c r="S42" s="75"/>
      <c r="T42" s="75"/>
      <c r="U42" s="75"/>
      <c r="V42" s="75"/>
      <c r="W42" s="75"/>
      <c r="X42" s="75"/>
      <c r="Y42" s="75"/>
      <c r="Z42" s="75"/>
      <c r="AA42" s="75"/>
      <c r="AB42" s="75"/>
      <c r="AC42" s="75"/>
    </row>
    <row r="43" spans="1:29" ht="24.75" customHeight="1" x14ac:dyDescent="0.2">
      <c r="A43" s="71"/>
      <c r="B43" s="72"/>
      <c r="C43" s="75"/>
      <c r="D43" s="76"/>
      <c r="E43" s="71"/>
      <c r="F43" s="72"/>
      <c r="G43" s="75"/>
      <c r="H43" s="76"/>
      <c r="I43" s="71"/>
      <c r="J43" s="72"/>
      <c r="K43" s="165"/>
      <c r="L43" s="76"/>
      <c r="M43" s="71"/>
      <c r="N43" s="72"/>
      <c r="O43" s="165"/>
      <c r="P43" s="76"/>
      <c r="Q43" s="75"/>
      <c r="R43" s="75"/>
      <c r="S43" s="75"/>
      <c r="T43" s="75"/>
      <c r="U43" s="75"/>
      <c r="V43" s="75"/>
      <c r="W43" s="75"/>
      <c r="X43" s="75"/>
      <c r="Y43" s="75"/>
      <c r="Z43" s="75"/>
      <c r="AA43" s="75"/>
      <c r="AB43" s="75"/>
      <c r="AC43" s="75"/>
    </row>
    <row r="44" spans="1:29" ht="24.75" customHeight="1" x14ac:dyDescent="0.2">
      <c r="A44" s="71"/>
      <c r="B44" s="72"/>
      <c r="C44" s="75"/>
      <c r="D44" s="76"/>
      <c r="E44" s="71"/>
      <c r="F44" s="72"/>
      <c r="G44" s="75"/>
      <c r="H44" s="76"/>
      <c r="I44" s="71"/>
      <c r="J44" s="72"/>
      <c r="K44" s="165"/>
      <c r="L44" s="76"/>
      <c r="M44" s="71"/>
      <c r="N44" s="72"/>
      <c r="O44" s="165"/>
      <c r="P44" s="76"/>
      <c r="Q44" s="75"/>
      <c r="R44" s="75"/>
      <c r="S44" s="75"/>
      <c r="T44" s="75"/>
      <c r="U44" s="75"/>
      <c r="V44" s="75"/>
      <c r="W44" s="75"/>
      <c r="X44" s="75"/>
      <c r="Y44" s="75"/>
      <c r="Z44" s="75"/>
      <c r="AA44" s="75"/>
      <c r="AB44" s="75"/>
      <c r="AC44" s="75"/>
    </row>
    <row r="45" spans="1:29" ht="24.75" customHeight="1" x14ac:dyDescent="0.2">
      <c r="A45" s="71"/>
      <c r="B45" s="72"/>
      <c r="C45" s="75"/>
      <c r="D45" s="76"/>
      <c r="E45" s="71"/>
      <c r="F45" s="72"/>
      <c r="G45" s="75"/>
      <c r="H45" s="76"/>
      <c r="I45" s="71"/>
      <c r="J45" s="72"/>
      <c r="K45" s="165"/>
      <c r="L45" s="76"/>
      <c r="M45" s="71"/>
      <c r="N45" s="72"/>
      <c r="O45" s="165"/>
      <c r="P45" s="76"/>
      <c r="Q45" s="75"/>
      <c r="R45" s="75"/>
      <c r="S45" s="75"/>
      <c r="T45" s="75"/>
      <c r="U45" s="75"/>
      <c r="V45" s="75"/>
      <c r="W45" s="75"/>
      <c r="X45" s="75"/>
      <c r="Y45" s="75"/>
      <c r="Z45" s="75"/>
      <c r="AA45" s="75"/>
      <c r="AB45" s="75"/>
      <c r="AC45" s="75"/>
    </row>
    <row r="46" spans="1:29" ht="24.75" customHeight="1" x14ac:dyDescent="0.2">
      <c r="A46" s="71"/>
      <c r="B46" s="72"/>
      <c r="C46" s="75"/>
      <c r="D46" s="76"/>
      <c r="E46" s="71"/>
      <c r="F46" s="72"/>
      <c r="G46" s="75"/>
      <c r="H46" s="76"/>
      <c r="I46" s="71"/>
      <c r="J46" s="72"/>
      <c r="K46" s="165"/>
      <c r="L46" s="76"/>
      <c r="M46" s="71"/>
      <c r="N46" s="72"/>
      <c r="O46" s="165"/>
      <c r="P46" s="76"/>
      <c r="Q46" s="75"/>
      <c r="R46" s="75"/>
      <c r="S46" s="75"/>
      <c r="T46" s="75"/>
      <c r="U46" s="75"/>
      <c r="V46" s="75"/>
      <c r="W46" s="75"/>
      <c r="X46" s="75"/>
      <c r="Y46" s="75"/>
      <c r="Z46" s="75"/>
      <c r="AA46" s="75"/>
      <c r="AB46" s="75"/>
      <c r="AC46" s="75"/>
    </row>
    <row r="47" spans="1:29" ht="24.75" customHeight="1" x14ac:dyDescent="0.2">
      <c r="A47" s="71"/>
      <c r="B47" s="72"/>
      <c r="C47" s="75"/>
      <c r="D47" s="76"/>
      <c r="E47" s="71"/>
      <c r="F47" s="72"/>
      <c r="G47" s="75"/>
      <c r="H47" s="76"/>
      <c r="I47" s="71"/>
      <c r="J47" s="72"/>
      <c r="K47" s="165"/>
      <c r="L47" s="76"/>
      <c r="M47" s="71"/>
      <c r="N47" s="72"/>
      <c r="O47" s="165"/>
      <c r="P47" s="76"/>
      <c r="Q47" s="75"/>
      <c r="R47" s="75"/>
      <c r="S47" s="75"/>
      <c r="T47" s="75"/>
      <c r="U47" s="75"/>
      <c r="V47" s="75"/>
      <c r="W47" s="75"/>
      <c r="X47" s="75"/>
      <c r="Y47" s="75"/>
      <c r="Z47" s="75"/>
      <c r="AA47" s="75"/>
      <c r="AB47" s="75"/>
      <c r="AC47" s="75"/>
    </row>
    <row r="48" spans="1:29" ht="24.75" customHeight="1" x14ac:dyDescent="0.2">
      <c r="A48" s="71"/>
      <c r="B48" s="72"/>
      <c r="C48" s="75"/>
      <c r="D48" s="76"/>
      <c r="E48" s="71"/>
      <c r="F48" s="72"/>
      <c r="G48" s="75"/>
      <c r="H48" s="76"/>
      <c r="I48" s="71"/>
      <c r="J48" s="72"/>
      <c r="K48" s="165"/>
      <c r="L48" s="76"/>
      <c r="M48" s="71"/>
      <c r="N48" s="72"/>
      <c r="O48" s="165"/>
      <c r="P48" s="76"/>
      <c r="Q48" s="75"/>
      <c r="R48" s="75"/>
      <c r="S48" s="75"/>
      <c r="T48" s="75"/>
      <c r="U48" s="75"/>
      <c r="V48" s="75"/>
      <c r="W48" s="75"/>
      <c r="X48" s="75"/>
      <c r="Y48" s="75"/>
      <c r="Z48" s="75"/>
      <c r="AA48" s="75"/>
      <c r="AB48" s="75"/>
      <c r="AC48" s="75"/>
    </row>
    <row r="49" spans="1:29" ht="24.75" customHeight="1" x14ac:dyDescent="0.2">
      <c r="A49" s="71"/>
      <c r="B49" s="72"/>
      <c r="C49" s="75"/>
      <c r="D49" s="76"/>
      <c r="E49" s="71"/>
      <c r="F49" s="72"/>
      <c r="G49" s="75"/>
      <c r="H49" s="76"/>
      <c r="I49" s="71"/>
      <c r="J49" s="72"/>
      <c r="K49" s="165"/>
      <c r="L49" s="76"/>
      <c r="M49" s="71"/>
      <c r="N49" s="72"/>
      <c r="O49" s="165"/>
      <c r="P49" s="76"/>
      <c r="Q49" s="75"/>
      <c r="R49" s="75"/>
      <c r="S49" s="75"/>
      <c r="T49" s="75"/>
      <c r="U49" s="75"/>
      <c r="V49" s="75"/>
      <c r="W49" s="75"/>
      <c r="X49" s="75"/>
      <c r="Y49" s="75"/>
      <c r="Z49" s="75"/>
      <c r="AA49" s="75"/>
      <c r="AB49" s="75"/>
      <c r="AC49" s="75"/>
    </row>
    <row r="50" spans="1:29" ht="24.75" customHeight="1" x14ac:dyDescent="0.2">
      <c r="A50" s="71"/>
      <c r="B50" s="72"/>
      <c r="C50" s="75"/>
      <c r="D50" s="76"/>
      <c r="E50" s="71"/>
      <c r="F50" s="72"/>
      <c r="G50" s="75"/>
      <c r="H50" s="76"/>
      <c r="I50" s="71"/>
      <c r="J50" s="72"/>
      <c r="K50" s="165"/>
      <c r="L50" s="76"/>
      <c r="M50" s="71"/>
      <c r="N50" s="72"/>
      <c r="O50" s="165"/>
      <c r="P50" s="76"/>
      <c r="Q50" s="75"/>
      <c r="R50" s="75"/>
      <c r="S50" s="75"/>
      <c r="T50" s="75"/>
      <c r="U50" s="75"/>
      <c r="V50" s="75"/>
      <c r="W50" s="75"/>
      <c r="X50" s="75"/>
      <c r="Y50" s="75"/>
      <c r="Z50" s="75"/>
      <c r="AA50" s="75"/>
      <c r="AB50" s="75"/>
      <c r="AC50" s="75"/>
    </row>
    <row r="51" spans="1:29" ht="24.75" customHeight="1" x14ac:dyDescent="0.2">
      <c r="A51" s="71"/>
      <c r="B51" s="72"/>
      <c r="C51" s="75"/>
      <c r="D51" s="76"/>
      <c r="E51" s="71"/>
      <c r="F51" s="72"/>
      <c r="G51" s="75"/>
      <c r="H51" s="76"/>
      <c r="I51" s="71"/>
      <c r="J51" s="72"/>
      <c r="K51" s="165"/>
      <c r="L51" s="76"/>
      <c r="M51" s="71"/>
      <c r="N51" s="72"/>
      <c r="O51" s="165"/>
      <c r="P51" s="76"/>
      <c r="Q51" s="75"/>
      <c r="R51" s="75"/>
      <c r="S51" s="75"/>
      <c r="T51" s="75"/>
      <c r="U51" s="75"/>
      <c r="V51" s="75"/>
      <c r="W51" s="75"/>
      <c r="X51" s="75"/>
      <c r="Y51" s="75"/>
      <c r="Z51" s="75"/>
      <c r="AA51" s="75"/>
      <c r="AB51" s="75"/>
      <c r="AC51" s="75"/>
    </row>
    <row r="52" spans="1:29" ht="24.75" customHeight="1" x14ac:dyDescent="0.2">
      <c r="A52" s="71"/>
      <c r="B52" s="72"/>
      <c r="C52" s="75"/>
      <c r="D52" s="76"/>
      <c r="E52" s="71"/>
      <c r="F52" s="72"/>
      <c r="G52" s="75"/>
      <c r="H52" s="76"/>
      <c r="I52" s="71"/>
      <c r="J52" s="72"/>
      <c r="K52" s="165"/>
      <c r="L52" s="76"/>
      <c r="M52" s="71"/>
      <c r="N52" s="72"/>
      <c r="O52" s="165"/>
      <c r="P52" s="76"/>
      <c r="Q52" s="75"/>
      <c r="R52" s="75"/>
      <c r="S52" s="75"/>
      <c r="T52" s="75"/>
      <c r="U52" s="75"/>
      <c r="V52" s="75"/>
      <c r="W52" s="75"/>
      <c r="X52" s="75"/>
      <c r="Y52" s="75"/>
      <c r="Z52" s="75"/>
      <c r="AA52" s="75"/>
      <c r="AB52" s="75"/>
      <c r="AC52" s="75"/>
    </row>
    <row r="53" spans="1:29" ht="24.75" customHeight="1" x14ac:dyDescent="0.2">
      <c r="A53" s="71"/>
      <c r="B53" s="72"/>
      <c r="C53" s="75"/>
      <c r="D53" s="76"/>
      <c r="E53" s="71"/>
      <c r="F53" s="72"/>
      <c r="G53" s="75"/>
      <c r="H53" s="76"/>
      <c r="I53" s="71"/>
      <c r="J53" s="72"/>
      <c r="K53" s="165"/>
      <c r="L53" s="76"/>
      <c r="M53" s="71"/>
      <c r="N53" s="72"/>
      <c r="O53" s="165"/>
      <c r="P53" s="76"/>
      <c r="Q53" s="75"/>
      <c r="R53" s="75"/>
      <c r="S53" s="75"/>
      <c r="T53" s="75"/>
      <c r="U53" s="75"/>
      <c r="V53" s="75"/>
      <c r="W53" s="75"/>
      <c r="X53" s="75"/>
      <c r="Y53" s="75"/>
      <c r="Z53" s="75"/>
      <c r="AA53" s="75"/>
      <c r="AB53" s="75"/>
      <c r="AC53" s="75"/>
    </row>
    <row r="54" spans="1:29" ht="24.75" customHeight="1" x14ac:dyDescent="0.2">
      <c r="A54" s="71"/>
      <c r="B54" s="72"/>
      <c r="C54" s="75"/>
      <c r="D54" s="76"/>
      <c r="E54" s="71"/>
      <c r="F54" s="72"/>
      <c r="G54" s="75"/>
      <c r="H54" s="76"/>
      <c r="I54" s="71"/>
      <c r="J54" s="72"/>
      <c r="K54" s="165"/>
      <c r="L54" s="76"/>
      <c r="M54" s="71"/>
      <c r="N54" s="72"/>
      <c r="O54" s="165"/>
      <c r="P54" s="76"/>
      <c r="Q54" s="75"/>
      <c r="R54" s="75"/>
      <c r="S54" s="75"/>
      <c r="T54" s="75"/>
      <c r="U54" s="75"/>
      <c r="V54" s="75"/>
      <c r="W54" s="75"/>
      <c r="X54" s="75"/>
      <c r="Y54" s="75"/>
      <c r="Z54" s="75"/>
      <c r="AA54" s="75"/>
      <c r="AB54" s="75"/>
      <c r="AC54" s="75"/>
    </row>
    <row r="55" spans="1:29" ht="24.75" customHeight="1" x14ac:dyDescent="0.2">
      <c r="A55" s="71"/>
      <c r="B55" s="72"/>
      <c r="C55" s="75"/>
      <c r="D55" s="76"/>
      <c r="E55" s="71"/>
      <c r="F55" s="72"/>
      <c r="G55" s="75"/>
      <c r="H55" s="76"/>
      <c r="I55" s="71"/>
      <c r="J55" s="72"/>
      <c r="K55" s="165"/>
      <c r="L55" s="76"/>
      <c r="M55" s="71"/>
      <c r="N55" s="72"/>
      <c r="O55" s="165"/>
      <c r="P55" s="76"/>
      <c r="Q55" s="75"/>
      <c r="R55" s="75"/>
      <c r="S55" s="75"/>
      <c r="T55" s="75"/>
      <c r="U55" s="75"/>
      <c r="V55" s="75"/>
      <c r="W55" s="75"/>
      <c r="X55" s="75"/>
      <c r="Y55" s="75"/>
      <c r="Z55" s="75"/>
      <c r="AA55" s="75"/>
      <c r="AB55" s="75"/>
      <c r="AC55" s="75"/>
    </row>
    <row r="56" spans="1:29" ht="24.75" customHeight="1" x14ac:dyDescent="0.2">
      <c r="A56" s="71"/>
      <c r="B56" s="72"/>
      <c r="C56" s="75"/>
      <c r="D56" s="76"/>
      <c r="E56" s="71"/>
      <c r="F56" s="72"/>
      <c r="G56" s="75"/>
      <c r="H56" s="76"/>
      <c r="I56" s="71"/>
      <c r="J56" s="72"/>
      <c r="K56" s="165"/>
      <c r="L56" s="76"/>
      <c r="M56" s="71"/>
      <c r="N56" s="72"/>
      <c r="O56" s="165"/>
      <c r="P56" s="76"/>
      <c r="Q56" s="75"/>
      <c r="R56" s="75"/>
      <c r="S56" s="75"/>
      <c r="T56" s="75"/>
      <c r="U56" s="75"/>
      <c r="V56" s="75"/>
      <c r="W56" s="75"/>
      <c r="X56" s="75"/>
      <c r="Y56" s="75"/>
      <c r="Z56" s="75"/>
      <c r="AA56" s="75"/>
      <c r="AB56" s="75"/>
      <c r="AC56" s="75"/>
    </row>
    <row r="57" spans="1:29" ht="24.75" customHeight="1" x14ac:dyDescent="0.2">
      <c r="A57" s="71"/>
      <c r="B57" s="72"/>
      <c r="C57" s="75"/>
      <c r="D57" s="76"/>
      <c r="E57" s="71"/>
      <c r="F57" s="72"/>
      <c r="G57" s="75"/>
      <c r="H57" s="76"/>
      <c r="I57" s="71"/>
      <c r="J57" s="72"/>
      <c r="K57" s="165"/>
      <c r="L57" s="76"/>
      <c r="M57" s="71"/>
      <c r="N57" s="72"/>
      <c r="O57" s="165"/>
      <c r="P57" s="76"/>
      <c r="Q57" s="75"/>
      <c r="R57" s="75"/>
      <c r="S57" s="75"/>
      <c r="T57" s="75"/>
      <c r="U57" s="75"/>
      <c r="V57" s="75"/>
      <c r="W57" s="75"/>
      <c r="X57" s="75"/>
      <c r="Y57" s="75"/>
      <c r="Z57" s="75"/>
      <c r="AA57" s="75"/>
      <c r="AB57" s="75"/>
      <c r="AC57" s="75"/>
    </row>
    <row r="58" spans="1:29" ht="24.75" customHeight="1" x14ac:dyDescent="0.2">
      <c r="A58" s="71"/>
      <c r="B58" s="72"/>
      <c r="C58" s="75"/>
      <c r="D58" s="76"/>
      <c r="E58" s="71"/>
      <c r="F58" s="72"/>
      <c r="G58" s="75"/>
      <c r="H58" s="76"/>
      <c r="I58" s="71"/>
      <c r="J58" s="72"/>
      <c r="K58" s="165"/>
      <c r="L58" s="76"/>
      <c r="M58" s="71"/>
      <c r="N58" s="72"/>
      <c r="O58" s="165"/>
      <c r="P58" s="76"/>
      <c r="Q58" s="75"/>
      <c r="R58" s="75"/>
      <c r="S58" s="75"/>
      <c r="T58" s="75"/>
      <c r="U58" s="75"/>
      <c r="V58" s="75"/>
      <c r="W58" s="75"/>
      <c r="X58" s="75"/>
      <c r="Y58" s="75"/>
      <c r="Z58" s="75"/>
      <c r="AA58" s="75"/>
      <c r="AB58" s="75"/>
      <c r="AC58" s="75"/>
    </row>
    <row r="59" spans="1:29" ht="24.75" customHeight="1" x14ac:dyDescent="0.2">
      <c r="A59" s="71"/>
      <c r="B59" s="72"/>
      <c r="C59" s="75"/>
      <c r="D59" s="76"/>
      <c r="E59" s="71"/>
      <c r="F59" s="72"/>
      <c r="G59" s="75"/>
      <c r="H59" s="76"/>
      <c r="I59" s="71"/>
      <c r="J59" s="72"/>
      <c r="K59" s="165"/>
      <c r="L59" s="76"/>
      <c r="M59" s="71"/>
      <c r="N59" s="72"/>
      <c r="O59" s="165"/>
      <c r="P59" s="76"/>
      <c r="Q59" s="75"/>
      <c r="R59" s="75"/>
      <c r="S59" s="75"/>
      <c r="T59" s="75"/>
      <c r="U59" s="75"/>
      <c r="V59" s="75"/>
      <c r="W59" s="75"/>
      <c r="X59" s="75"/>
      <c r="Y59" s="75"/>
      <c r="Z59" s="75"/>
      <c r="AA59" s="75"/>
      <c r="AB59" s="75"/>
      <c r="AC59" s="75"/>
    </row>
    <row r="60" spans="1:29" ht="24.75" customHeight="1" x14ac:dyDescent="0.2">
      <c r="A60" s="71"/>
      <c r="B60" s="72"/>
      <c r="C60" s="75"/>
      <c r="D60" s="76"/>
      <c r="E60" s="71"/>
      <c r="F60" s="72"/>
      <c r="G60" s="75"/>
      <c r="H60" s="76"/>
      <c r="I60" s="71"/>
      <c r="J60" s="72"/>
      <c r="K60" s="165"/>
      <c r="L60" s="76"/>
      <c r="M60" s="71"/>
      <c r="N60" s="72"/>
      <c r="O60" s="165"/>
      <c r="P60" s="76"/>
      <c r="Q60" s="75"/>
      <c r="R60" s="75"/>
      <c r="S60" s="75"/>
      <c r="T60" s="75"/>
      <c r="U60" s="75"/>
      <c r="V60" s="75"/>
      <c r="W60" s="75"/>
      <c r="X60" s="75"/>
      <c r="Y60" s="75"/>
      <c r="Z60" s="75"/>
      <c r="AA60" s="75"/>
      <c r="AB60" s="75"/>
      <c r="AC60" s="75"/>
    </row>
    <row r="61" spans="1:29" ht="24.75" customHeight="1" x14ac:dyDescent="0.2">
      <c r="A61" s="71"/>
      <c r="B61" s="72"/>
      <c r="C61" s="75"/>
      <c r="D61" s="76"/>
      <c r="E61" s="71"/>
      <c r="F61" s="72"/>
      <c r="G61" s="75"/>
      <c r="H61" s="76"/>
      <c r="I61" s="71"/>
      <c r="J61" s="72"/>
      <c r="K61" s="165"/>
      <c r="L61" s="76"/>
      <c r="M61" s="71"/>
      <c r="N61" s="72"/>
      <c r="O61" s="165"/>
      <c r="P61" s="76"/>
      <c r="Q61" s="75"/>
      <c r="R61" s="75"/>
      <c r="S61" s="75"/>
      <c r="T61" s="75"/>
      <c r="U61" s="75"/>
      <c r="V61" s="75"/>
      <c r="W61" s="75"/>
      <c r="X61" s="75"/>
      <c r="Y61" s="75"/>
      <c r="Z61" s="75"/>
      <c r="AA61" s="75"/>
      <c r="AB61" s="75"/>
      <c r="AC61" s="75"/>
    </row>
    <row r="62" spans="1:29" ht="24.75" customHeight="1" x14ac:dyDescent="0.2">
      <c r="A62" s="71"/>
      <c r="B62" s="72"/>
      <c r="C62" s="75"/>
      <c r="D62" s="76"/>
      <c r="E62" s="71"/>
      <c r="F62" s="72"/>
      <c r="G62" s="75"/>
      <c r="H62" s="76"/>
      <c r="I62" s="71"/>
      <c r="J62" s="72"/>
      <c r="K62" s="165"/>
      <c r="L62" s="76"/>
      <c r="M62" s="71"/>
      <c r="N62" s="72"/>
      <c r="O62" s="165"/>
      <c r="P62" s="76"/>
      <c r="Q62" s="75"/>
      <c r="R62" s="75"/>
      <c r="S62" s="75"/>
      <c r="T62" s="75"/>
      <c r="U62" s="75"/>
      <c r="V62" s="75"/>
      <c r="W62" s="75"/>
      <c r="X62" s="75"/>
      <c r="Y62" s="75"/>
      <c r="Z62" s="75"/>
      <c r="AA62" s="75"/>
      <c r="AB62" s="75"/>
      <c r="AC62" s="75"/>
    </row>
    <row r="63" spans="1:29" ht="24.75" customHeight="1" x14ac:dyDescent="0.2">
      <c r="A63" s="71"/>
      <c r="B63" s="72"/>
      <c r="C63" s="75"/>
      <c r="D63" s="76"/>
      <c r="E63" s="71"/>
      <c r="F63" s="72"/>
      <c r="G63" s="75"/>
      <c r="H63" s="76"/>
      <c r="I63" s="71"/>
      <c r="J63" s="72"/>
      <c r="K63" s="165"/>
      <c r="L63" s="76"/>
      <c r="M63" s="71"/>
      <c r="N63" s="72"/>
      <c r="O63" s="165"/>
      <c r="P63" s="76"/>
      <c r="Q63" s="75"/>
      <c r="R63" s="75"/>
      <c r="S63" s="75"/>
      <c r="T63" s="75"/>
      <c r="U63" s="75"/>
      <c r="V63" s="75"/>
      <c r="W63" s="75"/>
      <c r="X63" s="75"/>
      <c r="Y63" s="75"/>
      <c r="Z63" s="75"/>
      <c r="AA63" s="75"/>
      <c r="AB63" s="75"/>
      <c r="AC63" s="75"/>
    </row>
    <row r="64" spans="1:29" ht="24.75" customHeight="1" x14ac:dyDescent="0.2">
      <c r="A64" s="71"/>
      <c r="B64" s="72"/>
      <c r="C64" s="75"/>
      <c r="D64" s="76"/>
      <c r="E64" s="71"/>
      <c r="F64" s="72"/>
      <c r="G64" s="75"/>
      <c r="H64" s="76"/>
      <c r="I64" s="71"/>
      <c r="J64" s="72"/>
      <c r="K64" s="165"/>
      <c r="L64" s="76"/>
      <c r="M64" s="71"/>
      <c r="N64" s="72"/>
      <c r="O64" s="165"/>
      <c r="P64" s="76"/>
      <c r="Q64" s="75"/>
      <c r="R64" s="75"/>
      <c r="S64" s="75"/>
      <c r="T64" s="75"/>
      <c r="U64" s="75"/>
      <c r="V64" s="75"/>
      <c r="W64" s="75"/>
      <c r="X64" s="75"/>
      <c r="Y64" s="75"/>
      <c r="Z64" s="75"/>
      <c r="AA64" s="75"/>
      <c r="AB64" s="75"/>
      <c r="AC64" s="75"/>
    </row>
    <row r="65" spans="1:29" ht="24.75" customHeight="1" x14ac:dyDescent="0.2">
      <c r="A65" s="71"/>
      <c r="B65" s="72"/>
      <c r="C65" s="75"/>
      <c r="D65" s="76"/>
      <c r="E65" s="71"/>
      <c r="F65" s="72"/>
      <c r="G65" s="75"/>
      <c r="H65" s="76"/>
      <c r="I65" s="71"/>
      <c r="J65" s="72"/>
      <c r="K65" s="165"/>
      <c r="L65" s="76"/>
      <c r="M65" s="71"/>
      <c r="N65" s="72"/>
      <c r="O65" s="165"/>
      <c r="P65" s="76"/>
      <c r="Q65" s="75"/>
      <c r="R65" s="75"/>
      <c r="S65" s="75"/>
      <c r="T65" s="75"/>
      <c r="U65" s="75"/>
      <c r="V65" s="75"/>
      <c r="W65" s="75"/>
      <c r="X65" s="75"/>
      <c r="Y65" s="75"/>
      <c r="Z65" s="75"/>
      <c r="AA65" s="75"/>
      <c r="AB65" s="75"/>
      <c r="AC65" s="75"/>
    </row>
    <row r="66" spans="1:29" ht="24.75" customHeight="1" x14ac:dyDescent="0.2">
      <c r="A66" s="71"/>
      <c r="B66" s="72"/>
      <c r="C66" s="75"/>
      <c r="D66" s="76"/>
      <c r="E66" s="71"/>
      <c r="F66" s="72"/>
      <c r="G66" s="75"/>
      <c r="H66" s="76"/>
      <c r="I66" s="71"/>
      <c r="J66" s="72"/>
      <c r="K66" s="165"/>
      <c r="L66" s="76"/>
      <c r="M66" s="71"/>
      <c r="N66" s="72"/>
      <c r="O66" s="165"/>
      <c r="P66" s="76"/>
      <c r="Q66" s="75"/>
      <c r="R66" s="75"/>
      <c r="S66" s="75"/>
      <c r="T66" s="75"/>
      <c r="U66" s="75"/>
      <c r="V66" s="75"/>
      <c r="W66" s="75"/>
      <c r="X66" s="75"/>
      <c r="Y66" s="75"/>
      <c r="Z66" s="75"/>
      <c r="AA66" s="75"/>
      <c r="AB66" s="75"/>
      <c r="AC66" s="75"/>
    </row>
    <row r="67" spans="1:29" ht="24.75" customHeight="1" x14ac:dyDescent="0.2">
      <c r="A67" s="71"/>
      <c r="B67" s="72"/>
      <c r="C67" s="75"/>
      <c r="D67" s="76"/>
      <c r="E67" s="71"/>
      <c r="F67" s="72"/>
      <c r="G67" s="75"/>
      <c r="H67" s="76"/>
      <c r="I67" s="71"/>
      <c r="J67" s="72"/>
      <c r="K67" s="165"/>
      <c r="L67" s="76"/>
      <c r="M67" s="71"/>
      <c r="N67" s="72"/>
      <c r="O67" s="165"/>
      <c r="P67" s="76"/>
      <c r="Q67" s="75"/>
      <c r="R67" s="75"/>
      <c r="S67" s="75"/>
      <c r="T67" s="75"/>
      <c r="U67" s="75"/>
      <c r="V67" s="75"/>
      <c r="W67" s="75"/>
      <c r="X67" s="75"/>
      <c r="Y67" s="75"/>
      <c r="Z67" s="75"/>
      <c r="AA67" s="75"/>
      <c r="AB67" s="75"/>
      <c r="AC67" s="75"/>
    </row>
    <row r="68" spans="1:29" ht="24.75" customHeight="1" x14ac:dyDescent="0.2">
      <c r="A68" s="71"/>
      <c r="B68" s="72"/>
      <c r="C68" s="75"/>
      <c r="D68" s="76"/>
      <c r="E68" s="71"/>
      <c r="F68" s="72"/>
      <c r="G68" s="75"/>
      <c r="H68" s="76"/>
      <c r="I68" s="71"/>
      <c r="J68" s="72"/>
      <c r="K68" s="165"/>
      <c r="L68" s="76"/>
      <c r="M68" s="71"/>
      <c r="N68" s="72"/>
      <c r="O68" s="165"/>
      <c r="P68" s="76"/>
      <c r="Q68" s="75"/>
      <c r="R68" s="75"/>
      <c r="S68" s="75"/>
      <c r="T68" s="75"/>
      <c r="U68" s="75"/>
      <c r="V68" s="75"/>
      <c r="W68" s="75"/>
      <c r="X68" s="75"/>
      <c r="Y68" s="75"/>
      <c r="Z68" s="75"/>
      <c r="AA68" s="75"/>
      <c r="AB68" s="75"/>
      <c r="AC68" s="75"/>
    </row>
    <row r="69" spans="1:29" ht="24.75" customHeight="1" x14ac:dyDescent="0.2">
      <c r="A69" s="71"/>
      <c r="B69" s="72"/>
      <c r="C69" s="75"/>
      <c r="D69" s="76"/>
      <c r="E69" s="71"/>
      <c r="F69" s="72"/>
      <c r="G69" s="75"/>
      <c r="H69" s="76"/>
      <c r="I69" s="71"/>
      <c r="J69" s="72"/>
      <c r="K69" s="165"/>
      <c r="L69" s="76"/>
      <c r="M69" s="71"/>
      <c r="N69" s="72"/>
      <c r="O69" s="165"/>
      <c r="P69" s="76"/>
      <c r="Q69" s="75"/>
      <c r="R69" s="75"/>
      <c r="S69" s="75"/>
      <c r="T69" s="75"/>
      <c r="U69" s="75"/>
      <c r="V69" s="75"/>
      <c r="W69" s="75"/>
      <c r="X69" s="75"/>
      <c r="Y69" s="75"/>
      <c r="Z69" s="75"/>
      <c r="AA69" s="75"/>
      <c r="AB69" s="75"/>
      <c r="AC69" s="75"/>
    </row>
    <row r="70" spans="1:29" ht="24.75" customHeight="1" x14ac:dyDescent="0.2">
      <c r="A70" s="71"/>
      <c r="B70" s="72"/>
      <c r="C70" s="75"/>
      <c r="D70" s="76"/>
      <c r="E70" s="71"/>
      <c r="F70" s="72"/>
      <c r="G70" s="75"/>
      <c r="H70" s="76"/>
      <c r="I70" s="71"/>
      <c r="J70" s="72"/>
      <c r="K70" s="165"/>
      <c r="L70" s="76"/>
      <c r="M70" s="71"/>
      <c r="N70" s="72"/>
      <c r="O70" s="165"/>
      <c r="P70" s="76"/>
      <c r="Q70" s="75"/>
      <c r="R70" s="75"/>
      <c r="S70" s="75"/>
      <c r="T70" s="75"/>
      <c r="U70" s="75"/>
      <c r="V70" s="75"/>
      <c r="W70" s="75"/>
      <c r="X70" s="75"/>
      <c r="Y70" s="75"/>
      <c r="Z70" s="75"/>
      <c r="AA70" s="75"/>
      <c r="AB70" s="75"/>
      <c r="AC70" s="75"/>
    </row>
    <row r="71" spans="1:29" ht="24.75" customHeight="1" x14ac:dyDescent="0.2">
      <c r="A71" s="71"/>
      <c r="B71" s="72"/>
      <c r="C71" s="75"/>
      <c r="D71" s="76"/>
      <c r="E71" s="71"/>
      <c r="F71" s="72"/>
      <c r="G71" s="75"/>
      <c r="H71" s="76"/>
      <c r="I71" s="71"/>
      <c r="J71" s="72"/>
      <c r="K71" s="165"/>
      <c r="L71" s="76"/>
      <c r="M71" s="71"/>
      <c r="N71" s="72"/>
      <c r="O71" s="165"/>
      <c r="P71" s="76"/>
      <c r="Q71" s="75"/>
      <c r="R71" s="75"/>
      <c r="S71" s="75"/>
      <c r="T71" s="75"/>
      <c r="U71" s="75"/>
      <c r="V71" s="75"/>
      <c r="W71" s="75"/>
      <c r="X71" s="75"/>
      <c r="Y71" s="75"/>
      <c r="Z71" s="75"/>
      <c r="AA71" s="75"/>
      <c r="AB71" s="75"/>
      <c r="AC71" s="75"/>
    </row>
    <row r="72" spans="1:29" ht="24.75" customHeight="1" x14ac:dyDescent="0.2">
      <c r="A72" s="71"/>
      <c r="B72" s="72"/>
      <c r="C72" s="75"/>
      <c r="D72" s="76"/>
      <c r="E72" s="71"/>
      <c r="F72" s="72"/>
      <c r="G72" s="75"/>
      <c r="H72" s="76"/>
      <c r="I72" s="71"/>
      <c r="J72" s="72"/>
      <c r="K72" s="165"/>
      <c r="L72" s="76"/>
      <c r="M72" s="71"/>
      <c r="N72" s="72"/>
      <c r="O72" s="165"/>
      <c r="P72" s="76"/>
      <c r="Q72" s="75"/>
      <c r="R72" s="75"/>
      <c r="S72" s="75"/>
      <c r="T72" s="75"/>
      <c r="U72" s="75"/>
      <c r="V72" s="75"/>
      <c r="W72" s="75"/>
      <c r="X72" s="75"/>
      <c r="Y72" s="75"/>
      <c r="Z72" s="75"/>
      <c r="AA72" s="75"/>
      <c r="AB72" s="75"/>
      <c r="AC72" s="75"/>
    </row>
    <row r="73" spans="1:29" ht="24.75" customHeight="1" x14ac:dyDescent="0.2">
      <c r="A73" s="71"/>
      <c r="B73" s="72"/>
      <c r="C73" s="75"/>
      <c r="D73" s="76"/>
      <c r="E73" s="71"/>
      <c r="F73" s="72"/>
      <c r="G73" s="75"/>
      <c r="H73" s="76"/>
      <c r="I73" s="71"/>
      <c r="J73" s="72"/>
      <c r="K73" s="165"/>
      <c r="L73" s="76"/>
      <c r="M73" s="71"/>
      <c r="N73" s="72"/>
      <c r="O73" s="165"/>
      <c r="P73" s="76"/>
      <c r="Q73" s="75"/>
      <c r="R73" s="75"/>
      <c r="S73" s="75"/>
      <c r="T73" s="75"/>
      <c r="U73" s="75"/>
      <c r="V73" s="75"/>
      <c r="W73" s="75"/>
      <c r="X73" s="75"/>
      <c r="Y73" s="75"/>
      <c r="Z73" s="75"/>
      <c r="AA73" s="75"/>
      <c r="AB73" s="75"/>
      <c r="AC73" s="75"/>
    </row>
    <row r="74" spans="1:29" ht="24.75" customHeight="1" x14ac:dyDescent="0.2">
      <c r="A74" s="71"/>
      <c r="B74" s="72"/>
      <c r="C74" s="75"/>
      <c r="D74" s="76"/>
      <c r="E74" s="71"/>
      <c r="F74" s="72"/>
      <c r="G74" s="75"/>
      <c r="H74" s="76"/>
      <c r="I74" s="71"/>
      <c r="J74" s="72"/>
      <c r="K74" s="165"/>
      <c r="L74" s="76"/>
      <c r="M74" s="71"/>
      <c r="N74" s="72"/>
      <c r="O74" s="165"/>
      <c r="P74" s="76"/>
      <c r="Q74" s="75"/>
      <c r="R74" s="75"/>
      <c r="S74" s="75"/>
      <c r="T74" s="75"/>
      <c r="U74" s="75"/>
      <c r="V74" s="75"/>
      <c r="W74" s="75"/>
      <c r="X74" s="75"/>
      <c r="Y74" s="75"/>
      <c r="Z74" s="75"/>
      <c r="AA74" s="75"/>
      <c r="AB74" s="75"/>
      <c r="AC74" s="75"/>
    </row>
    <row r="75" spans="1:29" ht="24.75" customHeight="1" x14ac:dyDescent="0.2">
      <c r="A75" s="71"/>
      <c r="B75" s="72"/>
      <c r="C75" s="75"/>
      <c r="D75" s="76"/>
      <c r="E75" s="71"/>
      <c r="F75" s="72"/>
      <c r="G75" s="75"/>
      <c r="H75" s="76"/>
      <c r="I75" s="71"/>
      <c r="J75" s="72"/>
      <c r="K75" s="165"/>
      <c r="L75" s="76"/>
      <c r="M75" s="71"/>
      <c r="N75" s="72"/>
      <c r="O75" s="165"/>
      <c r="P75" s="76"/>
      <c r="Q75" s="75"/>
      <c r="R75" s="75"/>
      <c r="S75" s="75"/>
      <c r="T75" s="75"/>
      <c r="U75" s="75"/>
      <c r="V75" s="75"/>
      <c r="W75" s="75"/>
      <c r="X75" s="75"/>
      <c r="Y75" s="75"/>
      <c r="Z75" s="75"/>
      <c r="AA75" s="75"/>
      <c r="AB75" s="75"/>
      <c r="AC75" s="75"/>
    </row>
    <row r="76" spans="1:29" ht="24.75" customHeight="1" x14ac:dyDescent="0.2">
      <c r="A76" s="71"/>
      <c r="B76" s="72"/>
      <c r="C76" s="75"/>
      <c r="D76" s="76"/>
      <c r="E76" s="71"/>
      <c r="F76" s="72"/>
      <c r="G76" s="75"/>
      <c r="H76" s="76"/>
      <c r="I76" s="71"/>
      <c r="J76" s="72"/>
      <c r="K76" s="165"/>
      <c r="L76" s="76"/>
      <c r="M76" s="71"/>
      <c r="N76" s="72"/>
      <c r="O76" s="165"/>
      <c r="P76" s="76"/>
      <c r="Q76" s="75"/>
      <c r="R76" s="75"/>
      <c r="S76" s="75"/>
      <c r="T76" s="75"/>
      <c r="U76" s="75"/>
      <c r="V76" s="75"/>
      <c r="W76" s="75"/>
      <c r="X76" s="75"/>
      <c r="Y76" s="75"/>
      <c r="Z76" s="75"/>
      <c r="AA76" s="75"/>
      <c r="AB76" s="75"/>
      <c r="AC76" s="75"/>
    </row>
    <row r="77" spans="1:29" ht="24.75" customHeight="1" x14ac:dyDescent="0.2">
      <c r="A77" s="71"/>
      <c r="B77" s="72"/>
      <c r="C77" s="75"/>
      <c r="D77" s="76"/>
      <c r="E77" s="71"/>
      <c r="F77" s="72"/>
      <c r="G77" s="75"/>
      <c r="H77" s="76"/>
      <c r="I77" s="71"/>
      <c r="J77" s="72"/>
      <c r="K77" s="165"/>
      <c r="L77" s="76"/>
      <c r="M77" s="71"/>
      <c r="N77" s="72"/>
      <c r="O77" s="165"/>
      <c r="P77" s="76"/>
      <c r="Q77" s="75"/>
      <c r="R77" s="75"/>
      <c r="S77" s="75"/>
      <c r="T77" s="75"/>
      <c r="U77" s="75"/>
      <c r="V77" s="75"/>
      <c r="W77" s="75"/>
      <c r="X77" s="75"/>
      <c r="Y77" s="75"/>
      <c r="Z77" s="75"/>
      <c r="AA77" s="75"/>
      <c r="AB77" s="75"/>
      <c r="AC77" s="75"/>
    </row>
    <row r="78" spans="1:29" ht="24.75" customHeight="1" x14ac:dyDescent="0.2">
      <c r="A78" s="71"/>
      <c r="B78" s="72"/>
      <c r="C78" s="75"/>
      <c r="D78" s="76"/>
      <c r="E78" s="71"/>
      <c r="F78" s="72"/>
      <c r="G78" s="75"/>
      <c r="H78" s="76"/>
      <c r="I78" s="71"/>
      <c r="J78" s="72"/>
      <c r="K78" s="165"/>
      <c r="L78" s="76"/>
      <c r="M78" s="71"/>
      <c r="N78" s="72"/>
      <c r="O78" s="165"/>
      <c r="P78" s="76"/>
      <c r="Q78" s="75"/>
      <c r="R78" s="75"/>
      <c r="S78" s="75"/>
      <c r="T78" s="75"/>
      <c r="U78" s="75"/>
      <c r="V78" s="75"/>
      <c r="W78" s="75"/>
      <c r="X78" s="75"/>
      <c r="Y78" s="75"/>
      <c r="Z78" s="75"/>
      <c r="AA78" s="75"/>
      <c r="AB78" s="75"/>
      <c r="AC78" s="75"/>
    </row>
    <row r="79" spans="1:29" ht="24.75" customHeight="1" x14ac:dyDescent="0.2">
      <c r="A79" s="71"/>
      <c r="B79" s="72"/>
      <c r="C79" s="75"/>
      <c r="D79" s="76"/>
      <c r="E79" s="71"/>
      <c r="F79" s="72"/>
      <c r="G79" s="75"/>
      <c r="H79" s="76"/>
      <c r="I79" s="71"/>
      <c r="J79" s="72"/>
      <c r="K79" s="165"/>
      <c r="L79" s="76"/>
      <c r="M79" s="71"/>
      <c r="N79" s="72"/>
      <c r="O79" s="165"/>
      <c r="P79" s="76"/>
      <c r="Q79" s="75"/>
      <c r="R79" s="75"/>
      <c r="S79" s="75"/>
      <c r="T79" s="75"/>
      <c r="U79" s="75"/>
      <c r="V79" s="75"/>
      <c r="W79" s="75"/>
      <c r="X79" s="75"/>
      <c r="Y79" s="75"/>
      <c r="Z79" s="75"/>
      <c r="AA79" s="75"/>
      <c r="AB79" s="75"/>
      <c r="AC79" s="75"/>
    </row>
    <row r="80" spans="1:29" ht="24.75" customHeight="1" x14ac:dyDescent="0.2">
      <c r="A80" s="71"/>
      <c r="B80" s="72"/>
      <c r="C80" s="75"/>
      <c r="D80" s="76"/>
      <c r="E80" s="71"/>
      <c r="F80" s="72"/>
      <c r="G80" s="75"/>
      <c r="H80" s="76"/>
      <c r="I80" s="71"/>
      <c r="J80" s="72"/>
      <c r="K80" s="165"/>
      <c r="L80" s="76"/>
      <c r="M80" s="71"/>
      <c r="N80" s="72"/>
      <c r="O80" s="165"/>
      <c r="P80" s="76"/>
      <c r="Q80" s="75"/>
      <c r="R80" s="75"/>
      <c r="S80" s="75"/>
      <c r="T80" s="75"/>
      <c r="U80" s="75"/>
      <c r="V80" s="75"/>
      <c r="W80" s="75"/>
      <c r="X80" s="75"/>
      <c r="Y80" s="75"/>
      <c r="Z80" s="75"/>
      <c r="AA80" s="75"/>
      <c r="AB80" s="75"/>
      <c r="AC80" s="75"/>
    </row>
    <row r="81" spans="1:29" ht="24.75" customHeight="1" x14ac:dyDescent="0.2">
      <c r="A81" s="71"/>
      <c r="B81" s="72"/>
      <c r="C81" s="75"/>
      <c r="D81" s="76"/>
      <c r="E81" s="71"/>
      <c r="F81" s="72"/>
      <c r="G81" s="75"/>
      <c r="H81" s="76"/>
      <c r="I81" s="71"/>
      <c r="J81" s="72"/>
      <c r="K81" s="165"/>
      <c r="L81" s="76"/>
      <c r="M81" s="71"/>
      <c r="N81" s="72"/>
      <c r="O81" s="165"/>
      <c r="P81" s="76"/>
      <c r="Q81" s="75"/>
      <c r="R81" s="75"/>
      <c r="S81" s="75"/>
      <c r="T81" s="75"/>
      <c r="U81" s="75"/>
      <c r="V81" s="75"/>
      <c r="W81" s="75"/>
      <c r="X81" s="75"/>
      <c r="Y81" s="75"/>
      <c r="Z81" s="75"/>
      <c r="AA81" s="75"/>
      <c r="AB81" s="75"/>
      <c r="AC81" s="75"/>
    </row>
    <row r="82" spans="1:29" ht="24.75" customHeight="1" x14ac:dyDescent="0.2">
      <c r="A82" s="71"/>
      <c r="B82" s="72"/>
      <c r="C82" s="75"/>
      <c r="D82" s="76"/>
      <c r="E82" s="71"/>
      <c r="F82" s="72"/>
      <c r="G82" s="75"/>
      <c r="H82" s="76"/>
      <c r="I82" s="71"/>
      <c r="J82" s="72"/>
      <c r="K82" s="165"/>
      <c r="L82" s="76"/>
      <c r="M82" s="71"/>
      <c r="N82" s="72"/>
      <c r="O82" s="165"/>
      <c r="P82" s="76"/>
      <c r="Q82" s="75"/>
      <c r="R82" s="75"/>
      <c r="S82" s="75"/>
      <c r="T82" s="75"/>
      <c r="U82" s="75"/>
      <c r="V82" s="75"/>
      <c r="W82" s="75"/>
      <c r="X82" s="75"/>
      <c r="Y82" s="75"/>
      <c r="Z82" s="75"/>
      <c r="AA82" s="75"/>
      <c r="AB82" s="75"/>
      <c r="AC82" s="75"/>
    </row>
    <row r="83" spans="1:29" ht="24.75" customHeight="1" x14ac:dyDescent="0.2">
      <c r="A83" s="71"/>
      <c r="B83" s="72"/>
      <c r="C83" s="75"/>
      <c r="D83" s="76"/>
      <c r="E83" s="71"/>
      <c r="F83" s="72"/>
      <c r="G83" s="75"/>
      <c r="H83" s="76"/>
      <c r="I83" s="71"/>
      <c r="J83" s="72"/>
      <c r="K83" s="165"/>
      <c r="L83" s="76"/>
      <c r="M83" s="71"/>
      <c r="N83" s="72"/>
      <c r="O83" s="165"/>
      <c r="P83" s="76"/>
      <c r="Q83" s="75"/>
      <c r="R83" s="75"/>
      <c r="S83" s="75"/>
      <c r="T83" s="75"/>
      <c r="U83" s="75"/>
      <c r="V83" s="75"/>
      <c r="W83" s="75"/>
      <c r="X83" s="75"/>
      <c r="Y83" s="75"/>
      <c r="Z83" s="75"/>
      <c r="AA83" s="75"/>
      <c r="AB83" s="75"/>
      <c r="AC83" s="75"/>
    </row>
    <row r="84" spans="1:29" ht="24.75" customHeight="1" x14ac:dyDescent="0.2">
      <c r="A84" s="71"/>
      <c r="B84" s="72"/>
      <c r="C84" s="75"/>
      <c r="D84" s="76"/>
      <c r="E84" s="71"/>
      <c r="F84" s="72"/>
      <c r="G84" s="75"/>
      <c r="H84" s="76"/>
      <c r="I84" s="71"/>
      <c r="J84" s="72"/>
      <c r="K84" s="165"/>
      <c r="L84" s="76"/>
      <c r="M84" s="71"/>
      <c r="N84" s="72"/>
      <c r="O84" s="165"/>
      <c r="P84" s="76"/>
      <c r="Q84" s="75"/>
      <c r="R84" s="75"/>
      <c r="S84" s="75"/>
      <c r="T84" s="75"/>
      <c r="U84" s="75"/>
      <c r="V84" s="75"/>
      <c r="W84" s="75"/>
      <c r="X84" s="75"/>
      <c r="Y84" s="75"/>
      <c r="Z84" s="75"/>
      <c r="AA84" s="75"/>
      <c r="AB84" s="75"/>
      <c r="AC84" s="75"/>
    </row>
    <row r="85" spans="1:29" ht="24.75" customHeight="1" x14ac:dyDescent="0.2">
      <c r="A85" s="71"/>
      <c r="B85" s="72"/>
      <c r="C85" s="75"/>
      <c r="D85" s="76"/>
      <c r="E85" s="71"/>
      <c r="F85" s="72"/>
      <c r="G85" s="75"/>
      <c r="H85" s="76"/>
      <c r="I85" s="71"/>
      <c r="J85" s="72"/>
      <c r="K85" s="165"/>
      <c r="L85" s="76"/>
      <c r="M85" s="71"/>
      <c r="N85" s="72"/>
      <c r="O85" s="165"/>
      <c r="P85" s="76"/>
      <c r="Q85" s="75"/>
      <c r="R85" s="75"/>
      <c r="S85" s="75"/>
      <c r="T85" s="75"/>
      <c r="U85" s="75"/>
      <c r="V85" s="75"/>
      <c r="W85" s="75"/>
      <c r="X85" s="75"/>
      <c r="Y85" s="75"/>
      <c r="Z85" s="75"/>
      <c r="AA85" s="75"/>
      <c r="AB85" s="75"/>
      <c r="AC85" s="75"/>
    </row>
    <row r="86" spans="1:29" ht="24.75" customHeight="1" x14ac:dyDescent="0.2">
      <c r="A86" s="71"/>
      <c r="B86" s="72"/>
      <c r="C86" s="75"/>
      <c r="D86" s="76"/>
      <c r="E86" s="71"/>
      <c r="F86" s="72"/>
      <c r="G86" s="75"/>
      <c r="H86" s="76"/>
      <c r="I86" s="71"/>
      <c r="J86" s="72"/>
      <c r="K86" s="165"/>
      <c r="L86" s="76"/>
      <c r="M86" s="71"/>
      <c r="N86" s="72"/>
      <c r="O86" s="165"/>
      <c r="P86" s="76"/>
      <c r="Q86" s="75"/>
      <c r="R86" s="75"/>
      <c r="S86" s="75"/>
      <c r="T86" s="75"/>
      <c r="U86" s="75"/>
      <c r="V86" s="75"/>
      <c r="W86" s="75"/>
      <c r="X86" s="75"/>
      <c r="Y86" s="75"/>
      <c r="Z86" s="75"/>
      <c r="AA86" s="75"/>
      <c r="AB86" s="75"/>
      <c r="AC86" s="75"/>
    </row>
    <row r="87" spans="1:29" ht="24.75" customHeight="1" x14ac:dyDescent="0.2">
      <c r="A87" s="71"/>
      <c r="B87" s="72"/>
      <c r="C87" s="75"/>
      <c r="D87" s="76"/>
      <c r="E87" s="71"/>
      <c r="F87" s="72"/>
      <c r="G87" s="75"/>
      <c r="H87" s="76"/>
      <c r="I87" s="71"/>
      <c r="J87" s="72"/>
      <c r="K87" s="165"/>
      <c r="L87" s="76"/>
      <c r="M87" s="71"/>
      <c r="N87" s="72"/>
      <c r="O87" s="165"/>
      <c r="P87" s="76"/>
      <c r="Q87" s="75"/>
      <c r="R87" s="75"/>
      <c r="S87" s="75"/>
      <c r="T87" s="75"/>
      <c r="U87" s="75"/>
      <c r="V87" s="75"/>
      <c r="W87" s="75"/>
      <c r="X87" s="75"/>
      <c r="Y87" s="75"/>
      <c r="Z87" s="75"/>
      <c r="AA87" s="75"/>
      <c r="AB87" s="75"/>
      <c r="AC87" s="75"/>
    </row>
    <row r="88" spans="1:29" ht="24.75" customHeight="1" x14ac:dyDescent="0.2">
      <c r="A88" s="71"/>
      <c r="B88" s="72"/>
      <c r="C88" s="75"/>
      <c r="D88" s="76"/>
      <c r="E88" s="71"/>
      <c r="F88" s="72"/>
      <c r="G88" s="75"/>
      <c r="H88" s="76"/>
      <c r="I88" s="71"/>
      <c r="J88" s="72"/>
      <c r="K88" s="165"/>
      <c r="L88" s="76"/>
      <c r="M88" s="71"/>
      <c r="N88" s="72"/>
      <c r="O88" s="165"/>
      <c r="P88" s="76"/>
      <c r="Q88" s="75"/>
      <c r="R88" s="75"/>
      <c r="S88" s="75"/>
      <c r="T88" s="75"/>
      <c r="U88" s="75"/>
      <c r="V88" s="75"/>
      <c r="W88" s="75"/>
      <c r="X88" s="75"/>
      <c r="Y88" s="75"/>
      <c r="Z88" s="75"/>
      <c r="AA88" s="75"/>
      <c r="AB88" s="75"/>
      <c r="AC88" s="75"/>
    </row>
    <row r="89" spans="1:29" ht="24.75" customHeight="1" x14ac:dyDescent="0.2">
      <c r="A89" s="71"/>
      <c r="B89" s="72"/>
      <c r="C89" s="75"/>
      <c r="D89" s="76"/>
      <c r="E89" s="71"/>
      <c r="F89" s="72"/>
      <c r="G89" s="75"/>
      <c r="H89" s="76"/>
      <c r="I89" s="71"/>
      <c r="J89" s="72"/>
      <c r="K89" s="165"/>
      <c r="L89" s="76"/>
      <c r="M89" s="71"/>
      <c r="N89" s="72"/>
      <c r="O89" s="165"/>
      <c r="P89" s="76"/>
      <c r="Q89" s="75"/>
      <c r="R89" s="75"/>
      <c r="S89" s="75"/>
      <c r="T89" s="75"/>
      <c r="U89" s="75"/>
      <c r="V89" s="75"/>
      <c r="W89" s="75"/>
      <c r="X89" s="75"/>
      <c r="Y89" s="75"/>
      <c r="Z89" s="75"/>
      <c r="AA89" s="75"/>
      <c r="AB89" s="75"/>
      <c r="AC89" s="75"/>
    </row>
    <row r="90" spans="1:29" ht="24.75" customHeight="1" x14ac:dyDescent="0.2">
      <c r="A90" s="71"/>
      <c r="B90" s="72"/>
      <c r="C90" s="75"/>
      <c r="D90" s="76"/>
      <c r="E90" s="71"/>
      <c r="F90" s="72"/>
      <c r="G90" s="75"/>
      <c r="H90" s="76"/>
      <c r="I90" s="71"/>
      <c r="J90" s="72"/>
      <c r="K90" s="165"/>
      <c r="L90" s="76"/>
      <c r="M90" s="71"/>
      <c r="N90" s="72"/>
      <c r="O90" s="165"/>
      <c r="P90" s="76"/>
      <c r="Q90" s="75"/>
      <c r="R90" s="75"/>
      <c r="S90" s="75"/>
      <c r="T90" s="75"/>
      <c r="U90" s="75"/>
      <c r="V90" s="75"/>
      <c r="W90" s="75"/>
      <c r="X90" s="75"/>
      <c r="Y90" s="75"/>
      <c r="Z90" s="75"/>
      <c r="AA90" s="75"/>
      <c r="AB90" s="75"/>
      <c r="AC90" s="75"/>
    </row>
    <row r="91" spans="1:29" ht="24.75" customHeight="1" x14ac:dyDescent="0.2">
      <c r="A91" s="71"/>
      <c r="B91" s="72"/>
      <c r="C91" s="75"/>
      <c r="D91" s="76"/>
      <c r="E91" s="71"/>
      <c r="F91" s="72"/>
      <c r="G91" s="75"/>
      <c r="H91" s="76"/>
      <c r="I91" s="71"/>
      <c r="J91" s="72"/>
      <c r="K91" s="165"/>
      <c r="L91" s="76"/>
      <c r="M91" s="71"/>
      <c r="N91" s="72"/>
      <c r="O91" s="165"/>
      <c r="P91" s="76"/>
      <c r="Q91" s="75"/>
      <c r="R91" s="75"/>
      <c r="S91" s="75"/>
      <c r="T91" s="75"/>
      <c r="U91" s="75"/>
      <c r="V91" s="75"/>
      <c r="W91" s="75"/>
      <c r="X91" s="75"/>
      <c r="Y91" s="75"/>
      <c r="Z91" s="75"/>
      <c r="AA91" s="75"/>
      <c r="AB91" s="75"/>
      <c r="AC91" s="75"/>
    </row>
    <row r="92" spans="1:29" ht="24.75" customHeight="1" x14ac:dyDescent="0.2">
      <c r="A92" s="71"/>
      <c r="B92" s="72"/>
      <c r="C92" s="75"/>
      <c r="D92" s="76"/>
      <c r="E92" s="71"/>
      <c r="F92" s="72"/>
      <c r="G92" s="75"/>
      <c r="H92" s="76"/>
      <c r="I92" s="71"/>
      <c r="J92" s="72"/>
      <c r="K92" s="165"/>
      <c r="L92" s="76"/>
      <c r="M92" s="71"/>
      <c r="N92" s="72"/>
      <c r="O92" s="165"/>
      <c r="P92" s="76"/>
      <c r="Q92" s="75"/>
      <c r="R92" s="75"/>
      <c r="S92" s="75"/>
      <c r="T92" s="75"/>
      <c r="U92" s="75"/>
      <c r="V92" s="75"/>
      <c r="W92" s="75"/>
      <c r="X92" s="75"/>
      <c r="Y92" s="75"/>
      <c r="Z92" s="75"/>
      <c r="AA92" s="75"/>
      <c r="AB92" s="75"/>
      <c r="AC92" s="75"/>
    </row>
    <row r="93" spans="1:29" ht="24.75" customHeight="1" x14ac:dyDescent="0.2">
      <c r="A93" s="71"/>
      <c r="B93" s="72"/>
      <c r="C93" s="75"/>
      <c r="D93" s="76"/>
      <c r="E93" s="71"/>
      <c r="F93" s="72"/>
      <c r="G93" s="75"/>
      <c r="H93" s="76"/>
      <c r="I93" s="71"/>
      <c r="J93" s="72"/>
      <c r="K93" s="165"/>
      <c r="L93" s="76"/>
      <c r="M93" s="71"/>
      <c r="N93" s="72"/>
      <c r="O93" s="165"/>
      <c r="P93" s="76"/>
      <c r="Q93" s="75"/>
      <c r="R93" s="75"/>
      <c r="S93" s="75"/>
      <c r="T93" s="75"/>
      <c r="U93" s="75"/>
      <c r="V93" s="75"/>
      <c r="W93" s="75"/>
      <c r="X93" s="75"/>
      <c r="Y93" s="75"/>
      <c r="Z93" s="75"/>
      <c r="AA93" s="75"/>
      <c r="AB93" s="75"/>
      <c r="AC93" s="75"/>
    </row>
    <row r="94" spans="1:29" ht="24.75" customHeight="1" x14ac:dyDescent="0.2">
      <c r="A94" s="71"/>
      <c r="B94" s="72"/>
      <c r="C94" s="75"/>
      <c r="D94" s="76"/>
      <c r="E94" s="71"/>
      <c r="F94" s="72"/>
      <c r="G94" s="75"/>
      <c r="H94" s="76"/>
      <c r="I94" s="71"/>
      <c r="J94" s="72"/>
      <c r="K94" s="165"/>
      <c r="L94" s="76"/>
      <c r="M94" s="71"/>
      <c r="N94" s="72"/>
      <c r="O94" s="165"/>
      <c r="P94" s="76"/>
      <c r="Q94" s="75"/>
      <c r="R94" s="75"/>
      <c r="S94" s="75"/>
      <c r="T94" s="75"/>
      <c r="U94" s="75"/>
      <c r="V94" s="75"/>
      <c r="W94" s="75"/>
      <c r="X94" s="75"/>
      <c r="Y94" s="75"/>
      <c r="Z94" s="75"/>
      <c r="AA94" s="75"/>
      <c r="AB94" s="75"/>
      <c r="AC94" s="75"/>
    </row>
    <row r="95" spans="1:29" ht="24.75" customHeight="1" x14ac:dyDescent="0.2">
      <c r="A95" s="71"/>
      <c r="B95" s="72"/>
      <c r="C95" s="75"/>
      <c r="D95" s="76"/>
      <c r="E95" s="71"/>
      <c r="F95" s="72"/>
      <c r="G95" s="75"/>
      <c r="H95" s="76"/>
      <c r="I95" s="71"/>
      <c r="J95" s="72"/>
      <c r="K95" s="165"/>
      <c r="L95" s="76"/>
      <c r="M95" s="71"/>
      <c r="N95" s="72"/>
      <c r="O95" s="165"/>
      <c r="P95" s="76"/>
      <c r="Q95" s="75"/>
      <c r="R95" s="75"/>
      <c r="S95" s="75"/>
      <c r="T95" s="75"/>
      <c r="U95" s="75"/>
      <c r="V95" s="75"/>
      <c r="W95" s="75"/>
      <c r="X95" s="75"/>
      <c r="Y95" s="75"/>
      <c r="Z95" s="75"/>
      <c r="AA95" s="75"/>
      <c r="AB95" s="75"/>
      <c r="AC95" s="75"/>
    </row>
    <row r="96" spans="1:29" ht="24.75" customHeight="1" x14ac:dyDescent="0.2">
      <c r="A96" s="71"/>
      <c r="B96" s="72"/>
      <c r="C96" s="75"/>
      <c r="D96" s="76"/>
      <c r="E96" s="71"/>
      <c r="F96" s="72"/>
      <c r="G96" s="75"/>
      <c r="H96" s="76"/>
      <c r="I96" s="71"/>
      <c r="J96" s="72"/>
      <c r="K96" s="165"/>
      <c r="L96" s="76"/>
      <c r="M96" s="71"/>
      <c r="N96" s="72"/>
      <c r="O96" s="165"/>
      <c r="P96" s="76"/>
      <c r="Q96" s="75"/>
      <c r="R96" s="75"/>
      <c r="S96" s="75"/>
      <c r="T96" s="75"/>
      <c r="U96" s="75"/>
      <c r="V96" s="75"/>
      <c r="W96" s="75"/>
      <c r="X96" s="75"/>
      <c r="Y96" s="75"/>
      <c r="Z96" s="75"/>
      <c r="AA96" s="75"/>
      <c r="AB96" s="75"/>
      <c r="AC96" s="75"/>
    </row>
    <row r="97" spans="1:29" ht="24.75" customHeight="1" x14ac:dyDescent="0.2">
      <c r="A97" s="71"/>
      <c r="B97" s="72"/>
      <c r="C97" s="75"/>
      <c r="D97" s="76"/>
      <c r="E97" s="71"/>
      <c r="F97" s="72"/>
      <c r="G97" s="75"/>
      <c r="H97" s="76"/>
      <c r="I97" s="71"/>
      <c r="J97" s="72"/>
      <c r="K97" s="165"/>
      <c r="L97" s="76"/>
      <c r="M97" s="71"/>
      <c r="N97" s="72"/>
      <c r="O97" s="165"/>
      <c r="P97" s="76"/>
      <c r="Q97" s="75"/>
      <c r="R97" s="75"/>
      <c r="S97" s="75"/>
      <c r="T97" s="75"/>
      <c r="U97" s="75"/>
      <c r="V97" s="75"/>
      <c r="W97" s="75"/>
      <c r="X97" s="75"/>
      <c r="Y97" s="75"/>
      <c r="Z97" s="75"/>
      <c r="AA97" s="75"/>
      <c r="AB97" s="75"/>
      <c r="AC97" s="75"/>
    </row>
    <row r="98" spans="1:29" ht="24.75" customHeight="1" x14ac:dyDescent="0.2">
      <c r="A98" s="71"/>
      <c r="B98" s="72"/>
      <c r="C98" s="75"/>
      <c r="D98" s="76"/>
      <c r="E98" s="71"/>
      <c r="F98" s="72"/>
      <c r="G98" s="75"/>
      <c r="H98" s="76"/>
      <c r="I98" s="71"/>
      <c r="J98" s="72"/>
      <c r="K98" s="165"/>
      <c r="L98" s="76"/>
      <c r="M98" s="71"/>
      <c r="N98" s="72"/>
      <c r="O98" s="165"/>
      <c r="P98" s="76"/>
      <c r="Q98" s="75"/>
      <c r="R98" s="75"/>
      <c r="S98" s="75"/>
      <c r="T98" s="75"/>
      <c r="U98" s="75"/>
      <c r="V98" s="75"/>
      <c r="W98" s="75"/>
      <c r="X98" s="75"/>
      <c r="Y98" s="75"/>
      <c r="Z98" s="75"/>
      <c r="AA98" s="75"/>
      <c r="AB98" s="75"/>
      <c r="AC98" s="75"/>
    </row>
    <row r="99" spans="1:29" ht="24.75" customHeight="1" x14ac:dyDescent="0.2">
      <c r="A99" s="71"/>
      <c r="B99" s="72"/>
      <c r="C99" s="75"/>
      <c r="D99" s="76"/>
      <c r="E99" s="71"/>
      <c r="F99" s="72"/>
      <c r="G99" s="75"/>
      <c r="H99" s="76"/>
      <c r="I99" s="71"/>
      <c r="J99" s="72"/>
      <c r="K99" s="165"/>
      <c r="L99" s="76"/>
      <c r="M99" s="71"/>
      <c r="N99" s="72"/>
      <c r="O99" s="165"/>
      <c r="P99" s="76"/>
      <c r="Q99" s="75"/>
      <c r="R99" s="75"/>
      <c r="S99" s="75"/>
      <c r="T99" s="75"/>
      <c r="U99" s="75"/>
      <c r="V99" s="75"/>
      <c r="W99" s="75"/>
      <c r="X99" s="75"/>
      <c r="Y99" s="75"/>
      <c r="Z99" s="75"/>
      <c r="AA99" s="75"/>
      <c r="AB99" s="75"/>
      <c r="AC99" s="75"/>
    </row>
    <row r="100" spans="1:29" ht="24.75" customHeight="1" x14ac:dyDescent="0.2">
      <c r="A100" s="71"/>
      <c r="B100" s="72"/>
      <c r="C100" s="75"/>
      <c r="D100" s="76"/>
      <c r="E100" s="71"/>
      <c r="F100" s="72"/>
      <c r="G100" s="75"/>
      <c r="H100" s="76"/>
      <c r="I100" s="71"/>
      <c r="J100" s="72"/>
      <c r="K100" s="165"/>
      <c r="L100" s="76"/>
      <c r="M100" s="71"/>
      <c r="N100" s="72"/>
      <c r="O100" s="165"/>
      <c r="P100" s="76"/>
      <c r="Q100" s="75"/>
      <c r="R100" s="75"/>
      <c r="S100" s="75"/>
      <c r="T100" s="75"/>
      <c r="U100" s="75"/>
      <c r="V100" s="75"/>
      <c r="W100" s="75"/>
      <c r="X100" s="75"/>
      <c r="Y100" s="75"/>
      <c r="Z100" s="75"/>
      <c r="AA100" s="75"/>
      <c r="AB100" s="75"/>
      <c r="AC100" s="75"/>
    </row>
    <row r="101" spans="1:29" ht="24.75" customHeight="1" x14ac:dyDescent="0.2">
      <c r="A101" s="71"/>
      <c r="B101" s="72"/>
      <c r="C101" s="75"/>
      <c r="D101" s="76"/>
      <c r="E101" s="71"/>
      <c r="F101" s="72"/>
      <c r="G101" s="75"/>
      <c r="H101" s="76"/>
      <c r="I101" s="71"/>
      <c r="J101" s="72"/>
      <c r="K101" s="165"/>
      <c r="L101" s="76"/>
      <c r="M101" s="71"/>
      <c r="N101" s="72"/>
      <c r="O101" s="165"/>
      <c r="P101" s="76"/>
      <c r="Q101" s="75"/>
      <c r="R101" s="75"/>
      <c r="S101" s="75"/>
      <c r="T101" s="75"/>
      <c r="U101" s="75"/>
      <c r="V101" s="75"/>
      <c r="W101" s="75"/>
      <c r="X101" s="75"/>
      <c r="Y101" s="75"/>
      <c r="Z101" s="75"/>
      <c r="AA101" s="75"/>
      <c r="AB101" s="75"/>
      <c r="AC101" s="75"/>
    </row>
    <row r="102" spans="1:29" ht="24.75" customHeight="1" x14ac:dyDescent="0.2">
      <c r="A102" s="71"/>
      <c r="B102" s="72"/>
      <c r="C102" s="75"/>
      <c r="D102" s="76"/>
      <c r="E102" s="71"/>
      <c r="F102" s="72"/>
      <c r="G102" s="75"/>
      <c r="H102" s="76"/>
      <c r="I102" s="71"/>
      <c r="J102" s="72"/>
      <c r="K102" s="165"/>
      <c r="L102" s="76"/>
      <c r="M102" s="71"/>
      <c r="N102" s="72"/>
      <c r="O102" s="165"/>
      <c r="P102" s="76"/>
      <c r="Q102" s="75"/>
      <c r="R102" s="75"/>
      <c r="S102" s="75"/>
      <c r="T102" s="75"/>
      <c r="U102" s="75"/>
      <c r="V102" s="75"/>
      <c r="W102" s="75"/>
      <c r="X102" s="75"/>
      <c r="Y102" s="75"/>
      <c r="Z102" s="75"/>
      <c r="AA102" s="75"/>
      <c r="AB102" s="75"/>
      <c r="AC102" s="75"/>
    </row>
    <row r="103" spans="1:29" ht="24.75" customHeight="1" x14ac:dyDescent="0.2">
      <c r="A103" s="71"/>
      <c r="B103" s="72"/>
      <c r="C103" s="75"/>
      <c r="D103" s="76"/>
      <c r="E103" s="71"/>
      <c r="F103" s="72"/>
      <c r="G103" s="75"/>
      <c r="H103" s="76"/>
      <c r="I103" s="71"/>
      <c r="J103" s="72"/>
      <c r="K103" s="165"/>
      <c r="L103" s="76"/>
      <c r="M103" s="71"/>
      <c r="N103" s="72"/>
      <c r="O103" s="165"/>
      <c r="P103" s="76"/>
      <c r="Q103" s="75"/>
      <c r="R103" s="75"/>
      <c r="S103" s="75"/>
      <c r="T103" s="75"/>
      <c r="U103" s="75"/>
      <c r="V103" s="75"/>
      <c r="W103" s="75"/>
      <c r="X103" s="75"/>
      <c r="Y103" s="75"/>
      <c r="Z103" s="75"/>
      <c r="AA103" s="75"/>
      <c r="AB103" s="75"/>
      <c r="AC103" s="75"/>
    </row>
    <row r="104" spans="1:29" ht="24.75" customHeight="1" x14ac:dyDescent="0.2">
      <c r="A104" s="71"/>
      <c r="B104" s="72"/>
      <c r="C104" s="75"/>
      <c r="D104" s="76"/>
      <c r="E104" s="71"/>
      <c r="F104" s="72"/>
      <c r="G104" s="75"/>
      <c r="H104" s="76"/>
      <c r="I104" s="71"/>
      <c r="J104" s="72"/>
      <c r="K104" s="165"/>
      <c r="L104" s="76"/>
      <c r="M104" s="71"/>
      <c r="N104" s="72"/>
      <c r="O104" s="165"/>
      <c r="P104" s="76"/>
      <c r="Q104" s="75"/>
      <c r="R104" s="75"/>
      <c r="S104" s="75"/>
      <c r="T104" s="75"/>
      <c r="U104" s="75"/>
      <c r="V104" s="75"/>
      <c r="W104" s="75"/>
      <c r="X104" s="75"/>
      <c r="Y104" s="75"/>
      <c r="Z104" s="75"/>
      <c r="AA104" s="75"/>
      <c r="AB104" s="75"/>
      <c r="AC104" s="75"/>
    </row>
    <row r="105" spans="1:29" ht="24.75" customHeight="1" x14ac:dyDescent="0.2">
      <c r="A105" s="71"/>
      <c r="B105" s="72"/>
      <c r="C105" s="75"/>
      <c r="D105" s="76"/>
      <c r="E105" s="71"/>
      <c r="F105" s="72"/>
      <c r="G105" s="75"/>
      <c r="H105" s="76"/>
      <c r="I105" s="71"/>
      <c r="J105" s="72"/>
      <c r="K105" s="165"/>
      <c r="L105" s="76"/>
      <c r="M105" s="71"/>
      <c r="N105" s="72"/>
      <c r="O105" s="165"/>
      <c r="P105" s="76"/>
      <c r="Q105" s="75"/>
      <c r="R105" s="75"/>
      <c r="S105" s="75"/>
      <c r="T105" s="75"/>
      <c r="U105" s="75"/>
      <c r="V105" s="75"/>
      <c r="W105" s="75"/>
      <c r="X105" s="75"/>
      <c r="Y105" s="75"/>
      <c r="Z105" s="75"/>
      <c r="AA105" s="75"/>
      <c r="AB105" s="75"/>
      <c r="AC105" s="75"/>
    </row>
    <row r="106" spans="1:29" ht="24.75" customHeight="1" x14ac:dyDescent="0.2">
      <c r="A106" s="71"/>
      <c r="B106" s="72"/>
      <c r="C106" s="75"/>
      <c r="D106" s="76"/>
      <c r="E106" s="71"/>
      <c r="F106" s="72"/>
      <c r="G106" s="75"/>
      <c r="H106" s="76"/>
      <c r="I106" s="71"/>
      <c r="J106" s="72"/>
      <c r="K106" s="165"/>
      <c r="L106" s="76"/>
      <c r="M106" s="71"/>
      <c r="N106" s="72"/>
      <c r="O106" s="165"/>
      <c r="P106" s="76"/>
      <c r="Q106" s="75"/>
      <c r="R106" s="75"/>
      <c r="S106" s="75"/>
      <c r="T106" s="75"/>
      <c r="U106" s="75"/>
      <c r="V106" s="75"/>
      <c r="W106" s="75"/>
      <c r="X106" s="75"/>
      <c r="Y106" s="75"/>
      <c r="Z106" s="75"/>
      <c r="AA106" s="75"/>
      <c r="AB106" s="75"/>
      <c r="AC106" s="75"/>
    </row>
    <row r="107" spans="1:29" ht="24.75" customHeight="1" x14ac:dyDescent="0.2">
      <c r="A107" s="71"/>
      <c r="B107" s="72"/>
      <c r="C107" s="75"/>
      <c r="D107" s="76"/>
      <c r="E107" s="71"/>
      <c r="F107" s="72"/>
      <c r="G107" s="75"/>
      <c r="H107" s="76"/>
      <c r="I107" s="71"/>
      <c r="J107" s="72"/>
      <c r="K107" s="165"/>
      <c r="L107" s="76"/>
      <c r="M107" s="71"/>
      <c r="N107" s="72"/>
      <c r="O107" s="165"/>
      <c r="P107" s="76"/>
      <c r="Q107" s="75"/>
      <c r="R107" s="75"/>
      <c r="S107" s="75"/>
      <c r="T107" s="75"/>
      <c r="U107" s="75"/>
      <c r="V107" s="75"/>
      <c r="W107" s="75"/>
      <c r="X107" s="75"/>
      <c r="Y107" s="75"/>
      <c r="Z107" s="75"/>
      <c r="AA107" s="75"/>
      <c r="AB107" s="75"/>
      <c r="AC107" s="75"/>
    </row>
    <row r="108" spans="1:29" ht="24.75" customHeight="1" x14ac:dyDescent="0.2">
      <c r="A108" s="71"/>
      <c r="B108" s="72"/>
      <c r="C108" s="75"/>
      <c r="D108" s="76"/>
      <c r="E108" s="71"/>
      <c r="F108" s="72"/>
      <c r="G108" s="75"/>
      <c r="H108" s="76"/>
      <c r="I108" s="71"/>
      <c r="J108" s="72"/>
      <c r="K108" s="165"/>
      <c r="L108" s="76"/>
      <c r="M108" s="71"/>
      <c r="N108" s="72"/>
      <c r="O108" s="165"/>
      <c r="P108" s="76"/>
      <c r="Q108" s="75"/>
      <c r="R108" s="75"/>
      <c r="S108" s="75"/>
      <c r="T108" s="75"/>
      <c r="U108" s="75"/>
      <c r="V108" s="75"/>
      <c r="W108" s="75"/>
      <c r="X108" s="75"/>
      <c r="Y108" s="75"/>
      <c r="Z108" s="75"/>
      <c r="AA108" s="75"/>
      <c r="AB108" s="75"/>
      <c r="AC108" s="75"/>
    </row>
    <row r="109" spans="1:29" ht="24.75" customHeight="1" x14ac:dyDescent="0.2">
      <c r="A109" s="71"/>
      <c r="B109" s="72"/>
      <c r="C109" s="75"/>
      <c r="D109" s="76"/>
      <c r="E109" s="71"/>
      <c r="F109" s="72"/>
      <c r="G109" s="75"/>
      <c r="H109" s="76"/>
      <c r="I109" s="71"/>
      <c r="J109" s="72"/>
      <c r="K109" s="165"/>
      <c r="L109" s="76"/>
      <c r="M109" s="71"/>
      <c r="N109" s="72"/>
      <c r="O109" s="165"/>
      <c r="P109" s="76"/>
      <c r="Q109" s="75"/>
      <c r="R109" s="75"/>
      <c r="S109" s="75"/>
      <c r="T109" s="75"/>
      <c r="U109" s="75"/>
      <c r="V109" s="75"/>
      <c r="W109" s="75"/>
      <c r="X109" s="75"/>
      <c r="Y109" s="75"/>
      <c r="Z109" s="75"/>
      <c r="AA109" s="75"/>
      <c r="AB109" s="75"/>
      <c r="AC109" s="75"/>
    </row>
    <row r="110" spans="1:29" ht="24.75" customHeight="1" x14ac:dyDescent="0.2">
      <c r="A110" s="71"/>
      <c r="B110" s="72"/>
      <c r="C110" s="75"/>
      <c r="D110" s="76"/>
      <c r="E110" s="71"/>
      <c r="F110" s="72"/>
      <c r="G110" s="75"/>
      <c r="H110" s="76"/>
      <c r="I110" s="71"/>
      <c r="J110" s="72"/>
      <c r="K110" s="165"/>
      <c r="L110" s="76"/>
      <c r="M110" s="71"/>
      <c r="N110" s="72"/>
      <c r="O110" s="165"/>
      <c r="P110" s="76"/>
      <c r="Q110" s="75"/>
      <c r="R110" s="75"/>
      <c r="S110" s="75"/>
      <c r="T110" s="75"/>
      <c r="U110" s="75"/>
      <c r="V110" s="75"/>
      <c r="W110" s="75"/>
      <c r="X110" s="75"/>
      <c r="Y110" s="75"/>
      <c r="Z110" s="75"/>
      <c r="AA110" s="75"/>
      <c r="AB110" s="75"/>
      <c r="AC110" s="75"/>
    </row>
    <row r="111" spans="1:29" ht="24.75" customHeight="1" x14ac:dyDescent="0.2">
      <c r="A111" s="71"/>
      <c r="B111" s="72"/>
      <c r="C111" s="75"/>
      <c r="D111" s="76"/>
      <c r="E111" s="71"/>
      <c r="F111" s="72"/>
      <c r="G111" s="75"/>
      <c r="H111" s="76"/>
      <c r="I111" s="71"/>
      <c r="J111" s="72"/>
      <c r="K111" s="165"/>
      <c r="L111" s="76"/>
      <c r="M111" s="71"/>
      <c r="N111" s="72"/>
      <c r="O111" s="165"/>
      <c r="P111" s="76"/>
      <c r="Q111" s="75"/>
      <c r="R111" s="75"/>
      <c r="S111" s="75"/>
      <c r="T111" s="75"/>
      <c r="U111" s="75"/>
      <c r="V111" s="75"/>
      <c r="W111" s="75"/>
      <c r="X111" s="75"/>
      <c r="Y111" s="75"/>
      <c r="Z111" s="75"/>
      <c r="AA111" s="75"/>
      <c r="AB111" s="75"/>
      <c r="AC111" s="75"/>
    </row>
    <row r="112" spans="1:29" ht="24.75" customHeight="1" x14ac:dyDescent="0.2">
      <c r="A112" s="71"/>
      <c r="B112" s="72"/>
      <c r="C112" s="75"/>
      <c r="D112" s="76"/>
      <c r="E112" s="71"/>
      <c r="F112" s="72"/>
      <c r="G112" s="75"/>
      <c r="H112" s="76"/>
      <c r="I112" s="71"/>
      <c r="J112" s="72"/>
      <c r="K112" s="165"/>
      <c r="L112" s="76"/>
      <c r="M112" s="71"/>
      <c r="N112" s="72"/>
      <c r="O112" s="165"/>
      <c r="P112" s="76"/>
      <c r="Q112" s="75"/>
      <c r="R112" s="75"/>
      <c r="S112" s="75"/>
      <c r="T112" s="75"/>
      <c r="U112" s="75"/>
      <c r="V112" s="75"/>
      <c r="W112" s="75"/>
      <c r="X112" s="75"/>
      <c r="Y112" s="75"/>
      <c r="Z112" s="75"/>
      <c r="AA112" s="75"/>
      <c r="AB112" s="75"/>
      <c r="AC112" s="75"/>
    </row>
    <row r="113" spans="1:29" ht="24.75" customHeight="1" x14ac:dyDescent="0.2">
      <c r="A113" s="71"/>
      <c r="B113" s="72"/>
      <c r="C113" s="75"/>
      <c r="D113" s="76"/>
      <c r="E113" s="71"/>
      <c r="F113" s="72"/>
      <c r="G113" s="75"/>
      <c r="H113" s="76"/>
      <c r="I113" s="71"/>
      <c r="J113" s="72"/>
      <c r="K113" s="165"/>
      <c r="L113" s="76"/>
      <c r="M113" s="71"/>
      <c r="N113" s="72"/>
      <c r="O113" s="165"/>
      <c r="P113" s="76"/>
      <c r="Q113" s="75"/>
      <c r="R113" s="75"/>
      <c r="S113" s="75"/>
      <c r="T113" s="75"/>
      <c r="U113" s="75"/>
      <c r="V113" s="75"/>
      <c r="W113" s="75"/>
      <c r="X113" s="75"/>
      <c r="Y113" s="75"/>
      <c r="Z113" s="75"/>
      <c r="AA113" s="75"/>
      <c r="AB113" s="75"/>
      <c r="AC113" s="75"/>
    </row>
    <row r="114" spans="1:29" ht="24.75" customHeight="1" x14ac:dyDescent="0.2">
      <c r="A114" s="71"/>
      <c r="B114" s="72"/>
      <c r="C114" s="75"/>
      <c r="D114" s="76"/>
      <c r="E114" s="71"/>
      <c r="F114" s="72"/>
      <c r="G114" s="75"/>
      <c r="H114" s="76"/>
      <c r="I114" s="71"/>
      <c r="J114" s="72"/>
      <c r="K114" s="165"/>
      <c r="L114" s="76"/>
      <c r="M114" s="71"/>
      <c r="N114" s="72"/>
      <c r="O114" s="165"/>
      <c r="P114" s="76"/>
      <c r="Q114" s="75"/>
      <c r="R114" s="75"/>
      <c r="S114" s="75"/>
      <c r="T114" s="75"/>
      <c r="U114" s="75"/>
      <c r="V114" s="75"/>
      <c r="W114" s="75"/>
      <c r="X114" s="75"/>
      <c r="Y114" s="75"/>
      <c r="Z114" s="75"/>
      <c r="AA114" s="75"/>
      <c r="AB114" s="75"/>
      <c r="AC114" s="75"/>
    </row>
    <row r="115" spans="1:29" ht="24.75" customHeight="1" x14ac:dyDescent="0.2">
      <c r="A115" s="71"/>
      <c r="B115" s="72"/>
      <c r="C115" s="75"/>
      <c r="D115" s="76"/>
      <c r="E115" s="71"/>
      <c r="F115" s="72"/>
      <c r="G115" s="75"/>
      <c r="H115" s="76"/>
      <c r="I115" s="71"/>
      <c r="J115" s="72"/>
      <c r="K115" s="165"/>
      <c r="L115" s="76"/>
      <c r="M115" s="71"/>
      <c r="N115" s="72"/>
      <c r="O115" s="165"/>
      <c r="P115" s="76"/>
      <c r="Q115" s="75"/>
      <c r="R115" s="75"/>
      <c r="S115" s="75"/>
      <c r="T115" s="75"/>
      <c r="U115" s="75"/>
      <c r="V115" s="75"/>
      <c r="W115" s="75"/>
      <c r="X115" s="75"/>
      <c r="Y115" s="75"/>
      <c r="Z115" s="75"/>
      <c r="AA115" s="75"/>
      <c r="AB115" s="75"/>
      <c r="AC115" s="75"/>
    </row>
    <row r="116" spans="1:29" ht="24.75" customHeight="1" x14ac:dyDescent="0.2">
      <c r="A116" s="71"/>
      <c r="B116" s="72"/>
      <c r="C116" s="75"/>
      <c r="D116" s="76"/>
      <c r="E116" s="71"/>
      <c r="F116" s="72"/>
      <c r="G116" s="75"/>
      <c r="H116" s="76"/>
      <c r="I116" s="71"/>
      <c r="J116" s="72"/>
      <c r="K116" s="165"/>
      <c r="L116" s="76"/>
      <c r="M116" s="71"/>
      <c r="N116" s="72"/>
      <c r="O116" s="165"/>
      <c r="P116" s="76"/>
      <c r="Q116" s="75"/>
      <c r="R116" s="75"/>
      <c r="S116" s="75"/>
      <c r="T116" s="75"/>
      <c r="U116" s="75"/>
      <c r="V116" s="75"/>
      <c r="W116" s="75"/>
      <c r="X116" s="75"/>
      <c r="Y116" s="75"/>
      <c r="Z116" s="75"/>
      <c r="AA116" s="75"/>
      <c r="AB116" s="75"/>
      <c r="AC116" s="75"/>
    </row>
    <row r="117" spans="1:29" ht="24.75" customHeight="1" x14ac:dyDescent="0.2">
      <c r="A117" s="71"/>
      <c r="B117" s="72"/>
      <c r="C117" s="75"/>
      <c r="D117" s="76"/>
      <c r="E117" s="71"/>
      <c r="F117" s="72"/>
      <c r="G117" s="75"/>
      <c r="H117" s="76"/>
      <c r="I117" s="71"/>
      <c r="J117" s="72"/>
      <c r="K117" s="165"/>
      <c r="L117" s="76"/>
      <c r="M117" s="71"/>
      <c r="N117" s="72"/>
      <c r="O117" s="165"/>
      <c r="P117" s="76"/>
      <c r="Q117" s="75"/>
      <c r="R117" s="75"/>
      <c r="S117" s="75"/>
      <c r="T117" s="75"/>
      <c r="U117" s="75"/>
      <c r="V117" s="75"/>
      <c r="W117" s="75"/>
      <c r="X117" s="75"/>
      <c r="Y117" s="75"/>
      <c r="Z117" s="75"/>
      <c r="AA117" s="75"/>
      <c r="AB117" s="75"/>
      <c r="AC117" s="75"/>
    </row>
    <row r="118" spans="1:29" ht="24.75" customHeight="1" x14ac:dyDescent="0.2">
      <c r="A118" s="71"/>
      <c r="B118" s="72"/>
      <c r="C118" s="75"/>
      <c r="D118" s="76"/>
      <c r="E118" s="71"/>
      <c r="F118" s="72"/>
      <c r="G118" s="75"/>
      <c r="H118" s="76"/>
      <c r="I118" s="71"/>
      <c r="J118" s="72"/>
      <c r="K118" s="165"/>
      <c r="L118" s="76"/>
      <c r="M118" s="71"/>
      <c r="N118" s="72"/>
      <c r="O118" s="165"/>
      <c r="P118" s="76"/>
      <c r="Q118" s="75"/>
      <c r="R118" s="75"/>
      <c r="S118" s="75"/>
      <c r="T118" s="75"/>
      <c r="U118" s="75"/>
      <c r="V118" s="75"/>
      <c r="W118" s="75"/>
      <c r="X118" s="75"/>
      <c r="Y118" s="75"/>
      <c r="Z118" s="75"/>
      <c r="AA118" s="75"/>
      <c r="AB118" s="75"/>
      <c r="AC118" s="75"/>
    </row>
    <row r="119" spans="1:29" ht="24.75" customHeight="1" x14ac:dyDescent="0.2">
      <c r="A119" s="71"/>
      <c r="B119" s="72"/>
      <c r="C119" s="75"/>
      <c r="D119" s="76"/>
      <c r="E119" s="71"/>
      <c r="F119" s="72"/>
      <c r="G119" s="75"/>
      <c r="H119" s="76"/>
      <c r="I119" s="71"/>
      <c r="J119" s="72"/>
      <c r="K119" s="165"/>
      <c r="L119" s="76"/>
      <c r="M119" s="71"/>
      <c r="N119" s="72"/>
      <c r="O119" s="165"/>
      <c r="P119" s="76"/>
      <c r="Q119" s="75"/>
      <c r="R119" s="75"/>
      <c r="S119" s="75"/>
      <c r="T119" s="75"/>
      <c r="U119" s="75"/>
      <c r="V119" s="75"/>
      <c r="W119" s="75"/>
      <c r="X119" s="75"/>
      <c r="Y119" s="75"/>
      <c r="Z119" s="75"/>
      <c r="AA119" s="75"/>
      <c r="AB119" s="75"/>
      <c r="AC119" s="75"/>
    </row>
    <row r="120" spans="1:29" ht="24.75" customHeight="1" x14ac:dyDescent="0.2">
      <c r="A120" s="71"/>
      <c r="B120" s="72"/>
      <c r="C120" s="75"/>
      <c r="D120" s="76"/>
      <c r="E120" s="71"/>
      <c r="F120" s="72"/>
      <c r="G120" s="75"/>
      <c r="H120" s="76"/>
      <c r="I120" s="71"/>
      <c r="J120" s="72"/>
      <c r="K120" s="165"/>
      <c r="L120" s="76"/>
      <c r="M120" s="71"/>
      <c r="N120" s="72"/>
      <c r="O120" s="165"/>
      <c r="P120" s="76"/>
      <c r="Q120" s="75"/>
      <c r="R120" s="75"/>
      <c r="S120" s="75"/>
      <c r="T120" s="75"/>
      <c r="U120" s="75"/>
      <c r="V120" s="75"/>
      <c r="W120" s="75"/>
      <c r="X120" s="75"/>
      <c r="Y120" s="75"/>
      <c r="Z120" s="75"/>
      <c r="AA120" s="75"/>
      <c r="AB120" s="75"/>
      <c r="AC120" s="75"/>
    </row>
    <row r="121" spans="1:29" ht="24.75" customHeight="1" x14ac:dyDescent="0.2">
      <c r="A121" s="71"/>
      <c r="B121" s="72"/>
      <c r="C121" s="75"/>
      <c r="D121" s="76"/>
      <c r="E121" s="71"/>
      <c r="F121" s="72"/>
      <c r="G121" s="75"/>
      <c r="H121" s="76"/>
      <c r="I121" s="71"/>
      <c r="J121" s="72"/>
      <c r="K121" s="165"/>
      <c r="L121" s="76"/>
      <c r="M121" s="71"/>
      <c r="N121" s="72"/>
      <c r="O121" s="165"/>
      <c r="P121" s="76"/>
      <c r="Q121" s="75"/>
      <c r="R121" s="75"/>
      <c r="S121" s="75"/>
      <c r="T121" s="75"/>
      <c r="U121" s="75"/>
      <c r="V121" s="75"/>
      <c r="W121" s="75"/>
      <c r="X121" s="75"/>
      <c r="Y121" s="75"/>
      <c r="Z121" s="75"/>
      <c r="AA121" s="75"/>
      <c r="AB121" s="75"/>
      <c r="AC121" s="75"/>
    </row>
    <row r="122" spans="1:29" ht="24.75" customHeight="1" x14ac:dyDescent="0.2">
      <c r="A122" s="71"/>
      <c r="B122" s="72"/>
      <c r="C122" s="75"/>
      <c r="D122" s="76"/>
      <c r="E122" s="71"/>
      <c r="F122" s="72"/>
      <c r="G122" s="75"/>
      <c r="H122" s="76"/>
      <c r="I122" s="71"/>
      <c r="J122" s="72"/>
      <c r="K122" s="165"/>
      <c r="L122" s="76"/>
      <c r="M122" s="71"/>
      <c r="N122" s="72"/>
      <c r="O122" s="165"/>
      <c r="P122" s="76"/>
      <c r="Q122" s="75"/>
      <c r="R122" s="75"/>
      <c r="S122" s="75"/>
      <c r="T122" s="75"/>
      <c r="U122" s="75"/>
      <c r="V122" s="75"/>
      <c r="W122" s="75"/>
      <c r="X122" s="75"/>
      <c r="Y122" s="75"/>
      <c r="Z122" s="75"/>
      <c r="AA122" s="75"/>
      <c r="AB122" s="75"/>
      <c r="AC122" s="75"/>
    </row>
    <row r="123" spans="1:29" ht="24.75" customHeight="1" x14ac:dyDescent="0.2">
      <c r="A123" s="71"/>
      <c r="B123" s="72"/>
      <c r="C123" s="75"/>
      <c r="D123" s="76"/>
      <c r="E123" s="71"/>
      <c r="F123" s="72"/>
      <c r="G123" s="75"/>
      <c r="H123" s="76"/>
      <c r="I123" s="71"/>
      <c r="J123" s="72"/>
      <c r="K123" s="165"/>
      <c r="L123" s="76"/>
      <c r="M123" s="71"/>
      <c r="N123" s="72"/>
      <c r="O123" s="165"/>
      <c r="P123" s="76"/>
      <c r="Q123" s="75"/>
      <c r="R123" s="75"/>
      <c r="S123" s="75"/>
      <c r="T123" s="75"/>
      <c r="U123" s="75"/>
      <c r="V123" s="75"/>
      <c r="W123" s="75"/>
      <c r="X123" s="75"/>
      <c r="Y123" s="75"/>
      <c r="Z123" s="75"/>
      <c r="AA123" s="75"/>
      <c r="AB123" s="75"/>
      <c r="AC123" s="75"/>
    </row>
    <row r="124" spans="1:29" ht="24.75" customHeight="1" x14ac:dyDescent="0.2">
      <c r="A124" s="71"/>
      <c r="B124" s="72"/>
      <c r="C124" s="75"/>
      <c r="D124" s="76"/>
      <c r="E124" s="71"/>
      <c r="F124" s="72"/>
      <c r="G124" s="75"/>
      <c r="H124" s="76"/>
      <c r="I124" s="71"/>
      <c r="J124" s="72"/>
      <c r="K124" s="165"/>
      <c r="L124" s="76"/>
      <c r="M124" s="71"/>
      <c r="N124" s="72"/>
      <c r="O124" s="165"/>
      <c r="P124" s="76"/>
      <c r="Q124" s="75"/>
      <c r="R124" s="75"/>
      <c r="S124" s="75"/>
      <c r="T124" s="75"/>
      <c r="U124" s="75"/>
      <c r="V124" s="75"/>
      <c r="W124" s="75"/>
      <c r="X124" s="75"/>
      <c r="Y124" s="75"/>
      <c r="Z124" s="75"/>
      <c r="AA124" s="75"/>
      <c r="AB124" s="75"/>
      <c r="AC124" s="75"/>
    </row>
    <row r="125" spans="1:29" ht="24.75" customHeight="1" x14ac:dyDescent="0.2">
      <c r="A125" s="71"/>
      <c r="B125" s="72"/>
      <c r="C125" s="75"/>
      <c r="D125" s="76"/>
      <c r="E125" s="71"/>
      <c r="F125" s="72"/>
      <c r="G125" s="75"/>
      <c r="H125" s="76"/>
      <c r="I125" s="71"/>
      <c r="J125" s="72"/>
      <c r="K125" s="165"/>
      <c r="L125" s="76"/>
      <c r="M125" s="71"/>
      <c r="N125" s="72"/>
      <c r="O125" s="165"/>
      <c r="P125" s="76"/>
      <c r="Q125" s="75"/>
      <c r="R125" s="75"/>
      <c r="S125" s="75"/>
      <c r="T125" s="75"/>
      <c r="U125" s="75"/>
      <c r="V125" s="75"/>
      <c r="W125" s="75"/>
      <c r="X125" s="75"/>
      <c r="Y125" s="75"/>
      <c r="Z125" s="75"/>
      <c r="AA125" s="75"/>
      <c r="AB125" s="75"/>
      <c r="AC125" s="75"/>
    </row>
    <row r="126" spans="1:29" ht="24.75" customHeight="1" x14ac:dyDescent="0.2">
      <c r="A126" s="71"/>
      <c r="B126" s="72"/>
      <c r="C126" s="75"/>
      <c r="D126" s="76"/>
      <c r="E126" s="71"/>
      <c r="F126" s="72"/>
      <c r="G126" s="75"/>
      <c r="H126" s="76"/>
      <c r="I126" s="71"/>
      <c r="J126" s="72"/>
      <c r="K126" s="165"/>
      <c r="L126" s="76"/>
      <c r="M126" s="71"/>
      <c r="N126" s="72"/>
      <c r="O126" s="165"/>
      <c r="P126" s="76"/>
      <c r="Q126" s="75"/>
      <c r="R126" s="75"/>
      <c r="S126" s="75"/>
      <c r="T126" s="75"/>
      <c r="U126" s="75"/>
      <c r="V126" s="75"/>
      <c r="W126" s="75"/>
      <c r="X126" s="75"/>
      <c r="Y126" s="75"/>
      <c r="Z126" s="75"/>
      <c r="AA126" s="75"/>
      <c r="AB126" s="75"/>
      <c r="AC126" s="75"/>
    </row>
    <row r="127" spans="1:29" ht="24.75" customHeight="1" x14ac:dyDescent="0.2">
      <c r="A127" s="71"/>
      <c r="B127" s="72"/>
      <c r="C127" s="75"/>
      <c r="D127" s="76"/>
      <c r="E127" s="71"/>
      <c r="F127" s="72"/>
      <c r="G127" s="75"/>
      <c r="H127" s="76"/>
      <c r="I127" s="71"/>
      <c r="J127" s="72"/>
      <c r="K127" s="165"/>
      <c r="L127" s="76"/>
      <c r="M127" s="71"/>
      <c r="N127" s="72"/>
      <c r="O127" s="165"/>
      <c r="P127" s="76"/>
      <c r="Q127" s="75"/>
      <c r="R127" s="75"/>
      <c r="S127" s="75"/>
      <c r="T127" s="75"/>
      <c r="U127" s="75"/>
      <c r="V127" s="75"/>
      <c r="W127" s="75"/>
      <c r="X127" s="75"/>
      <c r="Y127" s="75"/>
      <c r="Z127" s="75"/>
      <c r="AA127" s="75"/>
      <c r="AB127" s="75"/>
      <c r="AC127" s="75"/>
    </row>
    <row r="128" spans="1:29" ht="24.75" customHeight="1" x14ac:dyDescent="0.2">
      <c r="A128" s="71"/>
      <c r="B128" s="72"/>
      <c r="C128" s="75"/>
      <c r="D128" s="76"/>
      <c r="E128" s="71"/>
      <c r="F128" s="72"/>
      <c r="G128" s="75"/>
      <c r="H128" s="76"/>
      <c r="I128" s="71"/>
      <c r="J128" s="72"/>
      <c r="K128" s="165"/>
      <c r="L128" s="76"/>
      <c r="M128" s="71"/>
      <c r="N128" s="72"/>
      <c r="O128" s="165"/>
      <c r="P128" s="76"/>
      <c r="Q128" s="75"/>
      <c r="R128" s="75"/>
      <c r="S128" s="75"/>
      <c r="T128" s="75"/>
      <c r="U128" s="75"/>
      <c r="V128" s="75"/>
      <c r="W128" s="75"/>
      <c r="X128" s="75"/>
      <c r="Y128" s="75"/>
      <c r="Z128" s="75"/>
      <c r="AA128" s="75"/>
      <c r="AB128" s="75"/>
      <c r="AC128" s="75"/>
    </row>
    <row r="129" spans="1:29" ht="24.75" customHeight="1" x14ac:dyDescent="0.2">
      <c r="A129" s="71"/>
      <c r="B129" s="72"/>
      <c r="C129" s="75"/>
      <c r="D129" s="76"/>
      <c r="E129" s="71"/>
      <c r="F129" s="72"/>
      <c r="G129" s="75"/>
      <c r="H129" s="76"/>
      <c r="I129" s="71"/>
      <c r="J129" s="72"/>
      <c r="K129" s="165"/>
      <c r="L129" s="76"/>
      <c r="M129" s="71"/>
      <c r="N129" s="72"/>
      <c r="O129" s="165"/>
      <c r="P129" s="76"/>
      <c r="Q129" s="75"/>
      <c r="R129" s="75"/>
      <c r="S129" s="75"/>
      <c r="T129" s="75"/>
      <c r="U129" s="75"/>
      <c r="V129" s="75"/>
      <c r="W129" s="75"/>
      <c r="X129" s="75"/>
      <c r="Y129" s="75"/>
      <c r="Z129" s="75"/>
      <c r="AA129" s="75"/>
      <c r="AB129" s="75"/>
      <c r="AC129" s="75"/>
    </row>
    <row r="130" spans="1:29" ht="24.75" customHeight="1" x14ac:dyDescent="0.2">
      <c r="A130" s="71"/>
      <c r="B130" s="72"/>
      <c r="C130" s="75"/>
      <c r="D130" s="76"/>
      <c r="E130" s="71"/>
      <c r="F130" s="72"/>
      <c r="G130" s="75"/>
      <c r="H130" s="76"/>
      <c r="I130" s="71"/>
      <c r="J130" s="72"/>
      <c r="K130" s="165"/>
      <c r="L130" s="76"/>
      <c r="M130" s="71"/>
      <c r="N130" s="72"/>
      <c r="O130" s="165"/>
      <c r="P130" s="76"/>
      <c r="Q130" s="75"/>
      <c r="R130" s="75"/>
      <c r="S130" s="75"/>
      <c r="T130" s="75"/>
      <c r="U130" s="75"/>
      <c r="V130" s="75"/>
      <c r="W130" s="75"/>
      <c r="X130" s="75"/>
      <c r="Y130" s="75"/>
      <c r="Z130" s="75"/>
      <c r="AA130" s="75"/>
      <c r="AB130" s="75"/>
      <c r="AC130" s="75"/>
    </row>
    <row r="131" spans="1:29" ht="24.75" customHeight="1" x14ac:dyDescent="0.2">
      <c r="A131" s="71"/>
      <c r="B131" s="72"/>
      <c r="C131" s="75"/>
      <c r="D131" s="76"/>
      <c r="E131" s="71"/>
      <c r="F131" s="72"/>
      <c r="G131" s="75"/>
      <c r="H131" s="76"/>
      <c r="I131" s="71"/>
      <c r="J131" s="72"/>
      <c r="K131" s="165"/>
      <c r="L131" s="76"/>
      <c r="M131" s="71"/>
      <c r="N131" s="72"/>
      <c r="O131" s="165"/>
      <c r="P131" s="76"/>
      <c r="Q131" s="75"/>
      <c r="R131" s="75"/>
      <c r="S131" s="75"/>
      <c r="T131" s="75"/>
      <c r="U131" s="75"/>
      <c r="V131" s="75"/>
      <c r="W131" s="75"/>
      <c r="X131" s="75"/>
      <c r="Y131" s="75"/>
      <c r="Z131" s="75"/>
      <c r="AA131" s="75"/>
      <c r="AB131" s="75"/>
      <c r="AC131" s="75"/>
    </row>
    <row r="132" spans="1:29" ht="24.75" customHeight="1" x14ac:dyDescent="0.2">
      <c r="A132" s="71"/>
      <c r="B132" s="72"/>
      <c r="C132" s="75"/>
      <c r="D132" s="76"/>
      <c r="E132" s="71"/>
      <c r="F132" s="72"/>
      <c r="G132" s="75"/>
      <c r="H132" s="76"/>
      <c r="I132" s="71"/>
      <c r="J132" s="72"/>
      <c r="K132" s="165"/>
      <c r="L132" s="76"/>
      <c r="M132" s="71"/>
      <c r="N132" s="72"/>
      <c r="O132" s="165"/>
      <c r="P132" s="76"/>
      <c r="Q132" s="75"/>
      <c r="R132" s="75"/>
      <c r="S132" s="75"/>
      <c r="T132" s="75"/>
      <c r="U132" s="75"/>
      <c r="V132" s="75"/>
      <c r="W132" s="75"/>
      <c r="X132" s="75"/>
      <c r="Y132" s="75"/>
      <c r="Z132" s="75"/>
      <c r="AA132" s="75"/>
      <c r="AB132" s="75"/>
      <c r="AC132" s="75"/>
    </row>
    <row r="133" spans="1:29" ht="24.75" customHeight="1" x14ac:dyDescent="0.2">
      <c r="A133" s="71"/>
      <c r="B133" s="72"/>
      <c r="C133" s="75"/>
      <c r="D133" s="76"/>
      <c r="E133" s="71"/>
      <c r="F133" s="72"/>
      <c r="G133" s="75"/>
      <c r="H133" s="76"/>
      <c r="I133" s="71"/>
      <c r="J133" s="72"/>
      <c r="K133" s="165"/>
      <c r="L133" s="76"/>
      <c r="M133" s="71"/>
      <c r="N133" s="72"/>
      <c r="O133" s="165"/>
      <c r="P133" s="76"/>
      <c r="Q133" s="75"/>
      <c r="R133" s="75"/>
      <c r="S133" s="75"/>
      <c r="T133" s="75"/>
      <c r="U133" s="75"/>
      <c r="V133" s="75"/>
      <c r="W133" s="75"/>
      <c r="X133" s="75"/>
      <c r="Y133" s="75"/>
      <c r="Z133" s="75"/>
      <c r="AA133" s="75"/>
      <c r="AB133" s="75"/>
      <c r="AC133" s="75"/>
    </row>
    <row r="134" spans="1:29" ht="24.75" customHeight="1" x14ac:dyDescent="0.2">
      <c r="A134" s="71"/>
      <c r="B134" s="72"/>
      <c r="C134" s="75"/>
      <c r="D134" s="76"/>
      <c r="E134" s="71"/>
      <c r="F134" s="72"/>
      <c r="G134" s="75"/>
      <c r="H134" s="76"/>
      <c r="I134" s="71"/>
      <c r="J134" s="72"/>
      <c r="K134" s="165"/>
      <c r="L134" s="76"/>
      <c r="M134" s="71"/>
      <c r="N134" s="72"/>
      <c r="O134" s="165"/>
      <c r="P134" s="76"/>
      <c r="Q134" s="75"/>
      <c r="R134" s="75"/>
      <c r="S134" s="75"/>
      <c r="T134" s="75"/>
      <c r="U134" s="75"/>
      <c r="V134" s="75"/>
      <c r="W134" s="75"/>
      <c r="X134" s="75"/>
      <c r="Y134" s="75"/>
      <c r="Z134" s="75"/>
      <c r="AA134" s="75"/>
      <c r="AB134" s="75"/>
      <c r="AC134" s="75"/>
    </row>
    <row r="135" spans="1:29" ht="24.75" customHeight="1" x14ac:dyDescent="0.2">
      <c r="A135" s="71"/>
      <c r="B135" s="72"/>
      <c r="C135" s="75"/>
      <c r="D135" s="76"/>
      <c r="E135" s="71"/>
      <c r="F135" s="72"/>
      <c r="G135" s="75"/>
      <c r="H135" s="76"/>
      <c r="I135" s="71"/>
      <c r="J135" s="72"/>
      <c r="K135" s="165"/>
      <c r="L135" s="76"/>
      <c r="M135" s="71"/>
      <c r="N135" s="72"/>
      <c r="O135" s="165"/>
      <c r="P135" s="76"/>
      <c r="Q135" s="75"/>
      <c r="R135" s="75"/>
      <c r="S135" s="75"/>
      <c r="T135" s="75"/>
      <c r="U135" s="75"/>
      <c r="V135" s="75"/>
      <c r="W135" s="75"/>
      <c r="X135" s="75"/>
      <c r="Y135" s="75"/>
      <c r="Z135" s="75"/>
      <c r="AA135" s="75"/>
      <c r="AB135" s="75"/>
      <c r="AC135" s="75"/>
    </row>
    <row r="136" spans="1:29" ht="24.75" customHeight="1" x14ac:dyDescent="0.2">
      <c r="A136" s="71"/>
      <c r="B136" s="72"/>
      <c r="C136" s="75"/>
      <c r="D136" s="76"/>
      <c r="E136" s="71"/>
      <c r="F136" s="72"/>
      <c r="G136" s="75"/>
      <c r="H136" s="76"/>
      <c r="I136" s="71"/>
      <c r="J136" s="72"/>
      <c r="K136" s="165"/>
      <c r="L136" s="76"/>
      <c r="M136" s="71"/>
      <c r="N136" s="72"/>
      <c r="O136" s="165"/>
      <c r="P136" s="76"/>
      <c r="Q136" s="75"/>
      <c r="R136" s="75"/>
      <c r="S136" s="75"/>
      <c r="T136" s="75"/>
      <c r="U136" s="75"/>
      <c r="V136" s="75"/>
      <c r="W136" s="75"/>
      <c r="X136" s="75"/>
      <c r="Y136" s="75"/>
      <c r="Z136" s="75"/>
      <c r="AA136" s="75"/>
      <c r="AB136" s="75"/>
      <c r="AC136" s="75"/>
    </row>
    <row r="137" spans="1:29" ht="24.75" customHeight="1" x14ac:dyDescent="0.2">
      <c r="A137" s="71"/>
      <c r="B137" s="72"/>
      <c r="C137" s="75"/>
      <c r="D137" s="76"/>
      <c r="E137" s="71"/>
      <c r="F137" s="72"/>
      <c r="G137" s="75"/>
      <c r="H137" s="76"/>
      <c r="I137" s="71"/>
      <c r="J137" s="72"/>
      <c r="K137" s="165"/>
      <c r="L137" s="76"/>
      <c r="M137" s="71"/>
      <c r="N137" s="72"/>
      <c r="O137" s="165"/>
      <c r="P137" s="76"/>
      <c r="Q137" s="75"/>
      <c r="R137" s="75"/>
      <c r="S137" s="75"/>
      <c r="T137" s="75"/>
      <c r="U137" s="75"/>
      <c r="V137" s="75"/>
      <c r="W137" s="75"/>
      <c r="X137" s="75"/>
      <c r="Y137" s="75"/>
      <c r="Z137" s="75"/>
      <c r="AA137" s="75"/>
      <c r="AB137" s="75"/>
      <c r="AC137" s="75"/>
    </row>
    <row r="138" spans="1:29" ht="24.75" customHeight="1" x14ac:dyDescent="0.2">
      <c r="A138" s="71"/>
      <c r="B138" s="72"/>
      <c r="C138" s="75"/>
      <c r="D138" s="76"/>
      <c r="E138" s="71"/>
      <c r="F138" s="72"/>
      <c r="G138" s="75"/>
      <c r="H138" s="76"/>
      <c r="I138" s="71"/>
      <c r="J138" s="72"/>
      <c r="K138" s="165"/>
      <c r="L138" s="76"/>
      <c r="M138" s="71"/>
      <c r="N138" s="72"/>
      <c r="O138" s="165"/>
      <c r="P138" s="76"/>
      <c r="Q138" s="75"/>
      <c r="R138" s="75"/>
      <c r="S138" s="75"/>
      <c r="T138" s="75"/>
      <c r="U138" s="75"/>
      <c r="V138" s="75"/>
      <c r="W138" s="75"/>
      <c r="X138" s="75"/>
      <c r="Y138" s="75"/>
      <c r="Z138" s="75"/>
      <c r="AA138" s="75"/>
      <c r="AB138" s="75"/>
      <c r="AC138" s="75"/>
    </row>
    <row r="139" spans="1:29" ht="24.75" customHeight="1" x14ac:dyDescent="0.2">
      <c r="A139" s="71"/>
      <c r="B139" s="72"/>
      <c r="C139" s="75"/>
      <c r="D139" s="76"/>
      <c r="E139" s="71"/>
      <c r="F139" s="72"/>
      <c r="G139" s="75"/>
      <c r="H139" s="76"/>
      <c r="I139" s="71"/>
      <c r="J139" s="72"/>
      <c r="K139" s="165"/>
      <c r="L139" s="76"/>
      <c r="M139" s="71"/>
      <c r="N139" s="72"/>
      <c r="O139" s="165"/>
      <c r="P139" s="76"/>
      <c r="Q139" s="75"/>
      <c r="R139" s="75"/>
      <c r="S139" s="75"/>
      <c r="T139" s="75"/>
      <c r="U139" s="75"/>
      <c r="V139" s="75"/>
      <c r="W139" s="75"/>
      <c r="X139" s="75"/>
      <c r="Y139" s="75"/>
      <c r="Z139" s="75"/>
      <c r="AA139" s="75"/>
      <c r="AB139" s="75"/>
      <c r="AC139" s="75"/>
    </row>
    <row r="140" spans="1:29" ht="24.75" customHeight="1" x14ac:dyDescent="0.2">
      <c r="A140" s="71"/>
      <c r="B140" s="72"/>
      <c r="C140" s="75"/>
      <c r="D140" s="76"/>
      <c r="E140" s="71"/>
      <c r="F140" s="72"/>
      <c r="G140" s="75"/>
      <c r="H140" s="76"/>
      <c r="I140" s="71"/>
      <c r="J140" s="72"/>
      <c r="K140" s="165"/>
      <c r="L140" s="76"/>
      <c r="M140" s="71"/>
      <c r="N140" s="72"/>
      <c r="O140" s="165"/>
      <c r="P140" s="76"/>
      <c r="Q140" s="75"/>
      <c r="R140" s="75"/>
      <c r="S140" s="75"/>
      <c r="T140" s="75"/>
      <c r="U140" s="75"/>
      <c r="V140" s="75"/>
      <c r="W140" s="75"/>
      <c r="X140" s="75"/>
      <c r="Y140" s="75"/>
      <c r="Z140" s="75"/>
      <c r="AA140" s="75"/>
      <c r="AB140" s="75"/>
      <c r="AC140" s="75"/>
    </row>
    <row r="141" spans="1:29" ht="24.75" customHeight="1" x14ac:dyDescent="0.2">
      <c r="A141" s="71"/>
      <c r="B141" s="72"/>
      <c r="C141" s="75"/>
      <c r="D141" s="76"/>
      <c r="E141" s="71"/>
      <c r="F141" s="72"/>
      <c r="G141" s="75"/>
      <c r="H141" s="76"/>
      <c r="I141" s="71"/>
      <c r="J141" s="72"/>
      <c r="K141" s="165"/>
      <c r="L141" s="76"/>
      <c r="M141" s="71"/>
      <c r="N141" s="72"/>
      <c r="O141" s="165"/>
      <c r="P141" s="76"/>
      <c r="Q141" s="75"/>
      <c r="R141" s="75"/>
      <c r="S141" s="75"/>
      <c r="T141" s="75"/>
      <c r="U141" s="75"/>
      <c r="V141" s="75"/>
      <c r="W141" s="75"/>
      <c r="X141" s="75"/>
      <c r="Y141" s="75"/>
      <c r="Z141" s="75"/>
      <c r="AA141" s="75"/>
      <c r="AB141" s="75"/>
      <c r="AC141" s="75"/>
    </row>
    <row r="142" spans="1:29" ht="24.75" customHeight="1" x14ac:dyDescent="0.2">
      <c r="A142" s="71"/>
      <c r="B142" s="72"/>
      <c r="C142" s="75"/>
      <c r="D142" s="76"/>
      <c r="E142" s="71"/>
      <c r="F142" s="72"/>
      <c r="G142" s="75"/>
      <c r="H142" s="76"/>
      <c r="I142" s="71"/>
      <c r="J142" s="72"/>
      <c r="K142" s="165"/>
      <c r="L142" s="76"/>
      <c r="M142" s="71"/>
      <c r="N142" s="72"/>
      <c r="O142" s="165"/>
      <c r="P142" s="76"/>
      <c r="Q142" s="75"/>
      <c r="R142" s="75"/>
      <c r="S142" s="75"/>
      <c r="T142" s="75"/>
      <c r="U142" s="75"/>
      <c r="V142" s="75"/>
      <c r="W142" s="75"/>
      <c r="X142" s="75"/>
      <c r="Y142" s="75"/>
      <c r="Z142" s="75"/>
      <c r="AA142" s="75"/>
      <c r="AB142" s="75"/>
      <c r="AC142" s="75"/>
    </row>
    <row r="143" spans="1:29" ht="24.75" customHeight="1" x14ac:dyDescent="0.2">
      <c r="A143" s="71"/>
      <c r="B143" s="72"/>
      <c r="C143" s="75"/>
      <c r="D143" s="76"/>
      <c r="E143" s="71"/>
      <c r="F143" s="72"/>
      <c r="G143" s="75"/>
      <c r="H143" s="76"/>
      <c r="I143" s="71"/>
      <c r="J143" s="72"/>
      <c r="K143" s="165"/>
      <c r="L143" s="76"/>
      <c r="M143" s="71"/>
      <c r="N143" s="72"/>
      <c r="O143" s="165"/>
      <c r="P143" s="76"/>
      <c r="Q143" s="75"/>
      <c r="R143" s="75"/>
      <c r="S143" s="75"/>
      <c r="T143" s="75"/>
      <c r="U143" s="75"/>
      <c r="V143" s="75"/>
      <c r="W143" s="75"/>
      <c r="X143" s="75"/>
      <c r="Y143" s="75"/>
      <c r="Z143" s="75"/>
      <c r="AA143" s="75"/>
      <c r="AB143" s="75"/>
      <c r="AC143" s="75"/>
    </row>
    <row r="144" spans="1:29" ht="24.75" customHeight="1" x14ac:dyDescent="0.2">
      <c r="A144" s="71"/>
      <c r="B144" s="72"/>
      <c r="C144" s="75"/>
      <c r="D144" s="76"/>
      <c r="E144" s="71"/>
      <c r="F144" s="72"/>
      <c r="G144" s="75"/>
      <c r="H144" s="76"/>
      <c r="I144" s="71"/>
      <c r="J144" s="72"/>
      <c r="K144" s="165"/>
      <c r="L144" s="76"/>
      <c r="M144" s="71"/>
      <c r="N144" s="72"/>
      <c r="O144" s="165"/>
      <c r="P144" s="76"/>
      <c r="Q144" s="75"/>
      <c r="R144" s="75"/>
      <c r="S144" s="75"/>
      <c r="T144" s="75"/>
      <c r="U144" s="75"/>
      <c r="V144" s="75"/>
      <c r="W144" s="75"/>
      <c r="X144" s="75"/>
      <c r="Y144" s="75"/>
      <c r="Z144" s="75"/>
      <c r="AA144" s="75"/>
      <c r="AB144" s="75"/>
      <c r="AC144" s="75"/>
    </row>
    <row r="145" spans="1:29" ht="24.75" customHeight="1" x14ac:dyDescent="0.2">
      <c r="A145" s="71"/>
      <c r="B145" s="72"/>
      <c r="C145" s="75"/>
      <c r="D145" s="76"/>
      <c r="E145" s="71"/>
      <c r="F145" s="72"/>
      <c r="G145" s="75"/>
      <c r="H145" s="76"/>
      <c r="I145" s="71"/>
      <c r="J145" s="72"/>
      <c r="K145" s="165"/>
      <c r="L145" s="76"/>
      <c r="M145" s="71"/>
      <c r="N145" s="72"/>
      <c r="O145" s="165"/>
      <c r="P145" s="76"/>
      <c r="Q145" s="75"/>
      <c r="R145" s="75"/>
      <c r="S145" s="75"/>
      <c r="T145" s="75"/>
      <c r="U145" s="75"/>
      <c r="V145" s="75"/>
      <c r="W145" s="75"/>
      <c r="X145" s="75"/>
      <c r="Y145" s="75"/>
      <c r="Z145" s="75"/>
      <c r="AA145" s="75"/>
      <c r="AB145" s="75"/>
      <c r="AC145" s="75"/>
    </row>
    <row r="146" spans="1:29" ht="24.75" customHeight="1" x14ac:dyDescent="0.2">
      <c r="A146" s="71"/>
      <c r="B146" s="72"/>
      <c r="C146" s="75"/>
      <c r="D146" s="76"/>
      <c r="E146" s="71"/>
      <c r="F146" s="72"/>
      <c r="G146" s="75"/>
      <c r="H146" s="76"/>
      <c r="I146" s="71"/>
      <c r="J146" s="72"/>
      <c r="K146" s="165"/>
      <c r="L146" s="76"/>
      <c r="M146" s="71"/>
      <c r="N146" s="72"/>
      <c r="O146" s="165"/>
      <c r="P146" s="76"/>
      <c r="Q146" s="75"/>
      <c r="R146" s="75"/>
      <c r="S146" s="75"/>
      <c r="T146" s="75"/>
      <c r="U146" s="75"/>
      <c r="V146" s="75"/>
      <c r="W146" s="75"/>
      <c r="X146" s="75"/>
      <c r="Y146" s="75"/>
      <c r="Z146" s="75"/>
      <c r="AA146" s="75"/>
      <c r="AB146" s="75"/>
      <c r="AC146" s="75"/>
    </row>
    <row r="147" spans="1:29" ht="24.75" customHeight="1" x14ac:dyDescent="0.2">
      <c r="A147" s="71"/>
      <c r="B147" s="72"/>
      <c r="C147" s="75"/>
      <c r="D147" s="76"/>
      <c r="E147" s="71"/>
      <c r="F147" s="72"/>
      <c r="G147" s="75"/>
      <c r="H147" s="76"/>
      <c r="I147" s="71"/>
      <c r="J147" s="72"/>
      <c r="K147" s="165"/>
      <c r="L147" s="76"/>
      <c r="M147" s="71"/>
      <c r="N147" s="72"/>
      <c r="O147" s="165"/>
      <c r="P147" s="76"/>
      <c r="Q147" s="75"/>
      <c r="R147" s="75"/>
      <c r="S147" s="75"/>
      <c r="T147" s="75"/>
      <c r="U147" s="75"/>
      <c r="V147" s="75"/>
      <c r="W147" s="75"/>
      <c r="X147" s="75"/>
      <c r="Y147" s="75"/>
      <c r="Z147" s="75"/>
      <c r="AA147" s="75"/>
      <c r="AB147" s="75"/>
      <c r="AC147" s="75"/>
    </row>
    <row r="148" spans="1:29" ht="24.75" customHeight="1" x14ac:dyDescent="0.2">
      <c r="A148" s="71"/>
      <c r="B148" s="72"/>
      <c r="C148" s="75"/>
      <c r="D148" s="76"/>
      <c r="E148" s="71"/>
      <c r="F148" s="72"/>
      <c r="G148" s="75"/>
      <c r="H148" s="76"/>
      <c r="I148" s="71"/>
      <c r="J148" s="72"/>
      <c r="K148" s="165"/>
      <c r="L148" s="76"/>
      <c r="M148" s="71"/>
      <c r="N148" s="72"/>
      <c r="O148" s="165"/>
      <c r="P148" s="76"/>
      <c r="Q148" s="75"/>
      <c r="R148" s="75"/>
      <c r="S148" s="75"/>
      <c r="T148" s="75"/>
      <c r="U148" s="75"/>
      <c r="V148" s="75"/>
      <c r="W148" s="75"/>
      <c r="X148" s="75"/>
      <c r="Y148" s="75"/>
      <c r="Z148" s="75"/>
      <c r="AA148" s="75"/>
      <c r="AB148" s="75"/>
      <c r="AC148" s="75"/>
    </row>
    <row r="149" spans="1:29" ht="24.75" customHeight="1" x14ac:dyDescent="0.2">
      <c r="A149" s="71"/>
      <c r="B149" s="72"/>
      <c r="C149" s="75"/>
      <c r="D149" s="76"/>
      <c r="E149" s="71"/>
      <c r="F149" s="72"/>
      <c r="G149" s="75"/>
      <c r="H149" s="76"/>
      <c r="I149" s="71"/>
      <c r="J149" s="72"/>
      <c r="K149" s="165"/>
      <c r="L149" s="76"/>
      <c r="M149" s="71"/>
      <c r="N149" s="72"/>
      <c r="O149" s="165"/>
      <c r="P149" s="76"/>
      <c r="Q149" s="75"/>
      <c r="R149" s="75"/>
      <c r="S149" s="75"/>
      <c r="T149" s="75"/>
      <c r="U149" s="75"/>
      <c r="V149" s="75"/>
      <c r="W149" s="75"/>
      <c r="X149" s="75"/>
      <c r="Y149" s="75"/>
      <c r="Z149" s="75"/>
      <c r="AA149" s="75"/>
      <c r="AB149" s="75"/>
      <c r="AC149" s="75"/>
    </row>
    <row r="150" spans="1:29" ht="24.75" customHeight="1" x14ac:dyDescent="0.2">
      <c r="A150" s="71"/>
      <c r="B150" s="72"/>
      <c r="C150" s="75"/>
      <c r="D150" s="76"/>
      <c r="E150" s="71"/>
      <c r="F150" s="72"/>
      <c r="G150" s="75"/>
      <c r="H150" s="76"/>
      <c r="I150" s="71"/>
      <c r="J150" s="72"/>
      <c r="K150" s="165"/>
      <c r="L150" s="76"/>
      <c r="M150" s="71"/>
      <c r="N150" s="72"/>
      <c r="O150" s="165"/>
      <c r="P150" s="76"/>
      <c r="Q150" s="75"/>
      <c r="R150" s="75"/>
      <c r="S150" s="75"/>
      <c r="T150" s="75"/>
      <c r="U150" s="75"/>
      <c r="V150" s="75"/>
      <c r="W150" s="75"/>
      <c r="X150" s="75"/>
      <c r="Y150" s="75"/>
      <c r="Z150" s="75"/>
      <c r="AA150" s="75"/>
      <c r="AB150" s="75"/>
      <c r="AC150" s="75"/>
    </row>
    <row r="151" spans="1:29" ht="24.75" customHeight="1" x14ac:dyDescent="0.2">
      <c r="A151" s="71"/>
      <c r="B151" s="72"/>
      <c r="C151" s="75"/>
      <c r="D151" s="76"/>
      <c r="E151" s="71"/>
      <c r="F151" s="72"/>
      <c r="G151" s="75"/>
      <c r="H151" s="76"/>
      <c r="I151" s="71"/>
      <c r="J151" s="72"/>
      <c r="K151" s="165"/>
      <c r="L151" s="76"/>
      <c r="M151" s="71"/>
      <c r="N151" s="72"/>
      <c r="O151" s="165"/>
      <c r="P151" s="76"/>
      <c r="Q151" s="75"/>
      <c r="R151" s="75"/>
      <c r="S151" s="75"/>
      <c r="T151" s="75"/>
      <c r="U151" s="75"/>
      <c r="V151" s="75"/>
      <c r="W151" s="75"/>
      <c r="X151" s="75"/>
      <c r="Y151" s="75"/>
      <c r="Z151" s="75"/>
      <c r="AA151" s="75"/>
      <c r="AB151" s="75"/>
      <c r="AC151" s="75"/>
    </row>
    <row r="152" spans="1:29" ht="24.75" customHeight="1" x14ac:dyDescent="0.2">
      <c r="A152" s="71"/>
      <c r="B152" s="72"/>
      <c r="C152" s="75"/>
      <c r="D152" s="76"/>
      <c r="E152" s="71"/>
      <c r="F152" s="72"/>
      <c r="G152" s="75"/>
      <c r="H152" s="76"/>
      <c r="I152" s="71"/>
      <c r="J152" s="72"/>
      <c r="K152" s="165"/>
      <c r="L152" s="76"/>
      <c r="M152" s="71"/>
      <c r="N152" s="72"/>
      <c r="O152" s="165"/>
      <c r="P152" s="76"/>
      <c r="Q152" s="75"/>
      <c r="R152" s="75"/>
      <c r="S152" s="75"/>
      <c r="T152" s="75"/>
      <c r="U152" s="75"/>
      <c r="V152" s="75"/>
      <c r="W152" s="75"/>
      <c r="X152" s="75"/>
      <c r="Y152" s="75"/>
      <c r="Z152" s="75"/>
      <c r="AA152" s="75"/>
      <c r="AB152" s="75"/>
      <c r="AC152" s="75"/>
    </row>
    <row r="153" spans="1:29" ht="24.75" customHeight="1" x14ac:dyDescent="0.2">
      <c r="A153" s="71"/>
      <c r="B153" s="72"/>
      <c r="C153" s="75"/>
      <c r="D153" s="76"/>
      <c r="E153" s="71"/>
      <c r="F153" s="72"/>
      <c r="G153" s="75"/>
      <c r="H153" s="76"/>
      <c r="I153" s="71"/>
      <c r="J153" s="72"/>
      <c r="K153" s="165"/>
      <c r="L153" s="76"/>
      <c r="M153" s="71"/>
      <c r="N153" s="72"/>
      <c r="O153" s="165"/>
      <c r="P153" s="76"/>
      <c r="Q153" s="75"/>
      <c r="R153" s="75"/>
      <c r="S153" s="75"/>
      <c r="T153" s="75"/>
      <c r="U153" s="75"/>
      <c r="V153" s="75"/>
      <c r="W153" s="75"/>
      <c r="X153" s="75"/>
      <c r="Y153" s="75"/>
      <c r="Z153" s="75"/>
      <c r="AA153" s="75"/>
      <c r="AB153" s="75"/>
      <c r="AC153" s="75"/>
    </row>
    <row r="154" spans="1:29" ht="24.75" customHeight="1" x14ac:dyDescent="0.2">
      <c r="A154" s="71"/>
      <c r="B154" s="72"/>
      <c r="C154" s="75"/>
      <c r="D154" s="76"/>
      <c r="E154" s="71"/>
      <c r="F154" s="72"/>
      <c r="G154" s="75"/>
      <c r="H154" s="76"/>
      <c r="I154" s="71"/>
      <c r="J154" s="72"/>
      <c r="K154" s="165"/>
      <c r="L154" s="76"/>
      <c r="M154" s="71"/>
      <c r="N154" s="72"/>
      <c r="O154" s="165"/>
      <c r="P154" s="76"/>
      <c r="Q154" s="75"/>
      <c r="R154" s="75"/>
      <c r="S154" s="75"/>
      <c r="T154" s="75"/>
      <c r="U154" s="75"/>
      <c r="V154" s="75"/>
      <c r="W154" s="75"/>
      <c r="X154" s="75"/>
      <c r="Y154" s="75"/>
      <c r="Z154" s="75"/>
      <c r="AA154" s="75"/>
      <c r="AB154" s="75"/>
      <c r="AC154" s="75"/>
    </row>
    <row r="155" spans="1:29" ht="24.75" customHeight="1" x14ac:dyDescent="0.2">
      <c r="A155" s="71"/>
      <c r="B155" s="72"/>
      <c r="C155" s="75"/>
      <c r="D155" s="76"/>
      <c r="E155" s="71"/>
      <c r="F155" s="72"/>
      <c r="G155" s="75"/>
      <c r="H155" s="76"/>
      <c r="I155" s="71"/>
      <c r="J155" s="72"/>
      <c r="K155" s="165"/>
      <c r="L155" s="76"/>
      <c r="M155" s="71"/>
      <c r="N155" s="72"/>
      <c r="O155" s="165"/>
      <c r="P155" s="76"/>
      <c r="Q155" s="75"/>
      <c r="R155" s="75"/>
      <c r="S155" s="75"/>
      <c r="T155" s="75"/>
      <c r="U155" s="75"/>
      <c r="V155" s="75"/>
      <c r="W155" s="75"/>
      <c r="X155" s="75"/>
      <c r="Y155" s="75"/>
      <c r="Z155" s="75"/>
      <c r="AA155" s="75"/>
      <c r="AB155" s="75"/>
      <c r="AC155" s="75"/>
    </row>
    <row r="156" spans="1:29" ht="24.75" customHeight="1" x14ac:dyDescent="0.2">
      <c r="A156" s="71"/>
      <c r="B156" s="72"/>
      <c r="C156" s="75"/>
      <c r="D156" s="76"/>
      <c r="E156" s="71"/>
      <c r="F156" s="72"/>
      <c r="G156" s="75"/>
      <c r="H156" s="76"/>
      <c r="I156" s="71"/>
      <c r="J156" s="72"/>
      <c r="K156" s="165"/>
      <c r="L156" s="76"/>
      <c r="M156" s="71"/>
      <c r="N156" s="72"/>
      <c r="O156" s="165"/>
      <c r="P156" s="76"/>
      <c r="Q156" s="75"/>
      <c r="R156" s="75"/>
      <c r="S156" s="75"/>
      <c r="T156" s="75"/>
      <c r="U156" s="75"/>
      <c r="V156" s="75"/>
      <c r="W156" s="75"/>
      <c r="X156" s="75"/>
      <c r="Y156" s="75"/>
      <c r="Z156" s="75"/>
      <c r="AA156" s="75"/>
      <c r="AB156" s="75"/>
      <c r="AC156" s="75"/>
    </row>
    <row r="157" spans="1:29" ht="24.75" customHeight="1" x14ac:dyDescent="0.2">
      <c r="A157" s="71"/>
      <c r="B157" s="72"/>
      <c r="C157" s="75"/>
      <c r="D157" s="76"/>
      <c r="E157" s="71"/>
      <c r="F157" s="72"/>
      <c r="G157" s="75"/>
      <c r="H157" s="76"/>
      <c r="I157" s="71"/>
      <c r="J157" s="72"/>
      <c r="K157" s="165"/>
      <c r="L157" s="76"/>
      <c r="M157" s="71"/>
      <c r="N157" s="72"/>
      <c r="O157" s="165"/>
      <c r="P157" s="76"/>
      <c r="Q157" s="75"/>
      <c r="R157" s="75"/>
      <c r="S157" s="75"/>
      <c r="T157" s="75"/>
      <c r="U157" s="75"/>
      <c r="V157" s="75"/>
      <c r="W157" s="75"/>
      <c r="X157" s="75"/>
      <c r="Y157" s="75"/>
      <c r="Z157" s="75"/>
      <c r="AA157" s="75"/>
      <c r="AB157" s="75"/>
      <c r="AC157" s="75"/>
    </row>
    <row r="158" spans="1:29" ht="24.75" customHeight="1" x14ac:dyDescent="0.2">
      <c r="A158" s="71"/>
      <c r="B158" s="72"/>
      <c r="C158" s="75"/>
      <c r="D158" s="76"/>
      <c r="E158" s="71"/>
      <c r="F158" s="72"/>
      <c r="G158" s="75"/>
      <c r="H158" s="76"/>
      <c r="I158" s="71"/>
      <c r="J158" s="72"/>
      <c r="K158" s="165"/>
      <c r="L158" s="76"/>
      <c r="M158" s="71"/>
      <c r="N158" s="72"/>
      <c r="O158" s="165"/>
      <c r="P158" s="76"/>
      <c r="Q158" s="75"/>
      <c r="R158" s="75"/>
      <c r="S158" s="75"/>
      <c r="T158" s="75"/>
      <c r="U158" s="75"/>
      <c r="V158" s="75"/>
      <c r="W158" s="75"/>
      <c r="X158" s="75"/>
      <c r="Y158" s="75"/>
      <c r="Z158" s="75"/>
      <c r="AA158" s="75"/>
      <c r="AB158" s="75"/>
      <c r="AC158" s="75"/>
    </row>
    <row r="159" spans="1:29" ht="24.75" customHeight="1" x14ac:dyDescent="0.2">
      <c r="A159" s="71"/>
      <c r="B159" s="72"/>
      <c r="C159" s="75"/>
      <c r="D159" s="76"/>
      <c r="E159" s="71"/>
      <c r="F159" s="72"/>
      <c r="G159" s="75"/>
      <c r="H159" s="76"/>
      <c r="I159" s="71"/>
      <c r="J159" s="72"/>
      <c r="K159" s="165"/>
      <c r="L159" s="76"/>
      <c r="M159" s="71"/>
      <c r="N159" s="72"/>
      <c r="O159" s="165"/>
      <c r="P159" s="76"/>
      <c r="Q159" s="75"/>
      <c r="R159" s="75"/>
      <c r="S159" s="75"/>
      <c r="T159" s="75"/>
      <c r="U159" s="75"/>
      <c r="V159" s="75"/>
      <c r="W159" s="75"/>
      <c r="X159" s="75"/>
      <c r="Y159" s="75"/>
      <c r="Z159" s="75"/>
      <c r="AA159" s="75"/>
      <c r="AB159" s="75"/>
      <c r="AC159" s="75"/>
    </row>
    <row r="160" spans="1:29" ht="24.75" customHeight="1" x14ac:dyDescent="0.2">
      <c r="A160" s="71"/>
      <c r="B160" s="72"/>
      <c r="C160" s="75"/>
      <c r="D160" s="76"/>
      <c r="E160" s="71"/>
      <c r="F160" s="72"/>
      <c r="G160" s="75"/>
      <c r="H160" s="76"/>
      <c r="I160" s="71"/>
      <c r="J160" s="72"/>
      <c r="K160" s="165"/>
      <c r="L160" s="76"/>
      <c r="M160" s="71"/>
      <c r="N160" s="72"/>
      <c r="O160" s="165"/>
      <c r="P160" s="76"/>
      <c r="Q160" s="75"/>
      <c r="R160" s="75"/>
      <c r="S160" s="75"/>
      <c r="T160" s="75"/>
      <c r="U160" s="75"/>
      <c r="V160" s="75"/>
      <c r="W160" s="75"/>
      <c r="X160" s="75"/>
      <c r="Y160" s="75"/>
      <c r="Z160" s="75"/>
      <c r="AA160" s="75"/>
      <c r="AB160" s="75"/>
      <c r="AC160" s="75"/>
    </row>
    <row r="161" spans="1:29" ht="24.75" customHeight="1" x14ac:dyDescent="0.2">
      <c r="A161" s="71"/>
      <c r="B161" s="72"/>
      <c r="C161" s="75"/>
      <c r="D161" s="76"/>
      <c r="E161" s="71"/>
      <c r="F161" s="72"/>
      <c r="G161" s="75"/>
      <c r="H161" s="76"/>
      <c r="I161" s="71"/>
      <c r="J161" s="72"/>
      <c r="K161" s="165"/>
      <c r="L161" s="76"/>
      <c r="M161" s="71"/>
      <c r="N161" s="72"/>
      <c r="O161" s="165"/>
      <c r="P161" s="76"/>
      <c r="Q161" s="75"/>
      <c r="R161" s="75"/>
      <c r="S161" s="75"/>
      <c r="T161" s="75"/>
      <c r="U161" s="75"/>
      <c r="V161" s="75"/>
      <c r="W161" s="75"/>
      <c r="X161" s="75"/>
      <c r="Y161" s="75"/>
      <c r="Z161" s="75"/>
      <c r="AA161" s="75"/>
      <c r="AB161" s="75"/>
      <c r="AC161" s="75"/>
    </row>
    <row r="162" spans="1:29" ht="24.75" customHeight="1" x14ac:dyDescent="0.2">
      <c r="A162" s="71"/>
      <c r="B162" s="72"/>
      <c r="C162" s="75"/>
      <c r="D162" s="76"/>
      <c r="E162" s="71"/>
      <c r="F162" s="72"/>
      <c r="G162" s="75"/>
      <c r="H162" s="76"/>
      <c r="I162" s="71"/>
      <c r="J162" s="72"/>
      <c r="K162" s="165"/>
      <c r="L162" s="76"/>
      <c r="M162" s="71"/>
      <c r="N162" s="72"/>
      <c r="O162" s="165"/>
      <c r="P162" s="76"/>
      <c r="Q162" s="75"/>
      <c r="R162" s="75"/>
      <c r="S162" s="75"/>
      <c r="T162" s="75"/>
      <c r="U162" s="75"/>
      <c r="V162" s="75"/>
      <c r="W162" s="75"/>
      <c r="X162" s="75"/>
      <c r="Y162" s="75"/>
      <c r="Z162" s="75"/>
      <c r="AA162" s="75"/>
      <c r="AB162" s="75"/>
      <c r="AC162" s="75"/>
    </row>
    <row r="163" spans="1:29" ht="24.75" customHeight="1" x14ac:dyDescent="0.2">
      <c r="A163" s="71"/>
      <c r="B163" s="72"/>
      <c r="C163" s="75"/>
      <c r="D163" s="76"/>
      <c r="E163" s="71"/>
      <c r="F163" s="72"/>
      <c r="G163" s="75"/>
      <c r="H163" s="76"/>
      <c r="I163" s="71"/>
      <c r="J163" s="72"/>
      <c r="K163" s="165"/>
      <c r="L163" s="76"/>
      <c r="M163" s="71"/>
      <c r="N163" s="72"/>
      <c r="O163" s="165"/>
      <c r="P163" s="76"/>
      <c r="Q163" s="75"/>
      <c r="R163" s="75"/>
      <c r="S163" s="75"/>
      <c r="T163" s="75"/>
      <c r="U163" s="75"/>
      <c r="V163" s="75"/>
      <c r="W163" s="75"/>
      <c r="X163" s="75"/>
      <c r="Y163" s="75"/>
      <c r="Z163" s="75"/>
      <c r="AA163" s="75"/>
      <c r="AB163" s="75"/>
      <c r="AC163" s="75"/>
    </row>
    <row r="164" spans="1:29" ht="24.75" customHeight="1" x14ac:dyDescent="0.2">
      <c r="A164" s="71"/>
      <c r="B164" s="72"/>
      <c r="C164" s="75"/>
      <c r="D164" s="76"/>
      <c r="E164" s="71"/>
      <c r="F164" s="72"/>
      <c r="G164" s="75"/>
      <c r="H164" s="76"/>
      <c r="I164" s="71"/>
      <c r="J164" s="72"/>
      <c r="K164" s="165"/>
      <c r="L164" s="76"/>
      <c r="M164" s="71"/>
      <c r="N164" s="72"/>
      <c r="O164" s="165"/>
      <c r="P164" s="76"/>
      <c r="Q164" s="75"/>
      <c r="R164" s="75"/>
      <c r="S164" s="75"/>
      <c r="T164" s="75"/>
      <c r="U164" s="75"/>
      <c r="V164" s="75"/>
      <c r="W164" s="75"/>
      <c r="X164" s="75"/>
      <c r="Y164" s="75"/>
      <c r="Z164" s="75"/>
      <c r="AA164" s="75"/>
      <c r="AB164" s="75"/>
      <c r="AC164" s="75"/>
    </row>
    <row r="165" spans="1:29" ht="24.75" customHeight="1" x14ac:dyDescent="0.2">
      <c r="A165" s="71"/>
      <c r="B165" s="72"/>
      <c r="C165" s="75"/>
      <c r="D165" s="76"/>
      <c r="E165" s="71"/>
      <c r="F165" s="72"/>
      <c r="G165" s="75"/>
      <c r="H165" s="76"/>
      <c r="I165" s="71"/>
      <c r="J165" s="72"/>
      <c r="K165" s="165"/>
      <c r="L165" s="76"/>
      <c r="M165" s="71"/>
      <c r="N165" s="72"/>
      <c r="O165" s="165"/>
      <c r="P165" s="76"/>
      <c r="Q165" s="75"/>
      <c r="R165" s="75"/>
      <c r="S165" s="75"/>
      <c r="T165" s="75"/>
      <c r="U165" s="75"/>
      <c r="V165" s="75"/>
      <c r="W165" s="75"/>
      <c r="X165" s="75"/>
      <c r="Y165" s="75"/>
      <c r="Z165" s="75"/>
      <c r="AA165" s="75"/>
      <c r="AB165" s="75"/>
      <c r="AC165" s="75"/>
    </row>
    <row r="166" spans="1:29" ht="24.75" customHeight="1" x14ac:dyDescent="0.2">
      <c r="A166" s="71"/>
      <c r="B166" s="72"/>
      <c r="C166" s="75"/>
      <c r="D166" s="76"/>
      <c r="E166" s="71"/>
      <c r="F166" s="72"/>
      <c r="G166" s="75"/>
      <c r="H166" s="76"/>
      <c r="I166" s="71"/>
      <c r="J166" s="72"/>
      <c r="K166" s="165"/>
      <c r="L166" s="76"/>
      <c r="M166" s="71"/>
      <c r="N166" s="72"/>
      <c r="O166" s="165"/>
      <c r="P166" s="76"/>
      <c r="Q166" s="75"/>
      <c r="R166" s="75"/>
      <c r="S166" s="75"/>
      <c r="T166" s="75"/>
      <c r="U166" s="75"/>
      <c r="V166" s="75"/>
      <c r="W166" s="75"/>
      <c r="X166" s="75"/>
      <c r="Y166" s="75"/>
      <c r="Z166" s="75"/>
      <c r="AA166" s="75"/>
      <c r="AB166" s="75"/>
      <c r="AC166" s="75"/>
    </row>
    <row r="167" spans="1:29" ht="24.75" customHeight="1" x14ac:dyDescent="0.2">
      <c r="A167" s="71"/>
      <c r="B167" s="72"/>
      <c r="C167" s="75"/>
      <c r="D167" s="76"/>
      <c r="E167" s="71"/>
      <c r="F167" s="72"/>
      <c r="G167" s="75"/>
      <c r="H167" s="76"/>
      <c r="I167" s="71"/>
      <c r="J167" s="72"/>
      <c r="K167" s="165"/>
      <c r="L167" s="76"/>
      <c r="M167" s="71"/>
      <c r="N167" s="72"/>
      <c r="O167" s="165"/>
      <c r="P167" s="76"/>
      <c r="Q167" s="75"/>
      <c r="R167" s="75"/>
      <c r="S167" s="75"/>
      <c r="T167" s="75"/>
      <c r="U167" s="75"/>
      <c r="V167" s="75"/>
      <c r="W167" s="75"/>
      <c r="X167" s="75"/>
      <c r="Y167" s="75"/>
      <c r="Z167" s="75"/>
      <c r="AA167" s="75"/>
      <c r="AB167" s="75"/>
      <c r="AC167" s="75"/>
    </row>
    <row r="168" spans="1:29" ht="24.75" customHeight="1" x14ac:dyDescent="0.2">
      <c r="A168" s="71"/>
      <c r="B168" s="72"/>
      <c r="C168" s="75"/>
      <c r="D168" s="76"/>
      <c r="E168" s="71"/>
      <c r="F168" s="72"/>
      <c r="G168" s="75"/>
      <c r="H168" s="76"/>
      <c r="I168" s="71"/>
      <c r="J168" s="72"/>
      <c r="K168" s="165"/>
      <c r="L168" s="76"/>
      <c r="M168" s="71"/>
      <c r="N168" s="72"/>
      <c r="O168" s="165"/>
      <c r="P168" s="76"/>
      <c r="Q168" s="75"/>
      <c r="R168" s="75"/>
      <c r="S168" s="75"/>
      <c r="T168" s="75"/>
      <c r="U168" s="75"/>
      <c r="V168" s="75"/>
      <c r="W168" s="75"/>
      <c r="X168" s="75"/>
      <c r="Y168" s="75"/>
      <c r="Z168" s="75"/>
      <c r="AA168" s="75"/>
      <c r="AB168" s="75"/>
      <c r="AC168" s="75"/>
    </row>
    <row r="169" spans="1:29" ht="24.75" customHeight="1" x14ac:dyDescent="0.2">
      <c r="A169" s="71"/>
      <c r="B169" s="72"/>
      <c r="C169" s="75"/>
      <c r="D169" s="76"/>
      <c r="E169" s="71"/>
      <c r="F169" s="72"/>
      <c r="G169" s="75"/>
      <c r="H169" s="76"/>
      <c r="I169" s="71"/>
      <c r="J169" s="72"/>
      <c r="K169" s="165"/>
      <c r="L169" s="76"/>
      <c r="M169" s="71"/>
      <c r="N169" s="72"/>
      <c r="O169" s="165"/>
      <c r="P169" s="76"/>
      <c r="Q169" s="75"/>
      <c r="R169" s="75"/>
      <c r="S169" s="75"/>
      <c r="T169" s="75"/>
      <c r="U169" s="75"/>
      <c r="V169" s="75"/>
      <c r="W169" s="75"/>
      <c r="X169" s="75"/>
      <c r="Y169" s="75"/>
      <c r="Z169" s="75"/>
      <c r="AA169" s="75"/>
      <c r="AB169" s="75"/>
      <c r="AC169" s="75"/>
    </row>
    <row r="170" spans="1:29" ht="24.75" customHeight="1" x14ac:dyDescent="0.2">
      <c r="A170" s="71"/>
      <c r="B170" s="72"/>
      <c r="C170" s="75"/>
      <c r="D170" s="76"/>
      <c r="E170" s="71"/>
      <c r="F170" s="72"/>
      <c r="G170" s="75"/>
      <c r="H170" s="76"/>
      <c r="I170" s="71"/>
      <c r="J170" s="72"/>
      <c r="K170" s="165"/>
      <c r="L170" s="76"/>
      <c r="M170" s="71"/>
      <c r="N170" s="72"/>
      <c r="O170" s="165"/>
      <c r="P170" s="76"/>
      <c r="Q170" s="75"/>
      <c r="R170" s="75"/>
      <c r="S170" s="75"/>
      <c r="T170" s="75"/>
      <c r="U170" s="75"/>
      <c r="V170" s="75"/>
      <c r="W170" s="75"/>
      <c r="X170" s="75"/>
      <c r="Y170" s="75"/>
      <c r="Z170" s="75"/>
      <c r="AA170" s="75"/>
      <c r="AB170" s="75"/>
      <c r="AC170" s="75"/>
    </row>
    <row r="171" spans="1:29" ht="24.75" customHeight="1" x14ac:dyDescent="0.2">
      <c r="A171" s="71"/>
      <c r="B171" s="72"/>
      <c r="C171" s="75"/>
      <c r="D171" s="76"/>
      <c r="E171" s="71"/>
      <c r="F171" s="72"/>
      <c r="G171" s="75"/>
      <c r="H171" s="76"/>
      <c r="I171" s="71"/>
      <c r="J171" s="72"/>
      <c r="K171" s="165"/>
      <c r="L171" s="76"/>
      <c r="M171" s="71"/>
      <c r="N171" s="72"/>
      <c r="O171" s="165"/>
      <c r="P171" s="76"/>
      <c r="Q171" s="75"/>
      <c r="R171" s="75"/>
      <c r="S171" s="75"/>
      <c r="T171" s="75"/>
      <c r="U171" s="75"/>
      <c r="V171" s="75"/>
      <c r="W171" s="75"/>
      <c r="X171" s="75"/>
      <c r="Y171" s="75"/>
      <c r="Z171" s="75"/>
      <c r="AA171" s="75"/>
      <c r="AB171" s="75"/>
      <c r="AC171" s="75"/>
    </row>
    <row r="172" spans="1:29" ht="24.75" customHeight="1" x14ac:dyDescent="0.2">
      <c r="A172" s="71"/>
      <c r="B172" s="72"/>
      <c r="C172" s="75"/>
      <c r="D172" s="76"/>
      <c r="E172" s="71"/>
      <c r="F172" s="72"/>
      <c r="G172" s="75"/>
      <c r="H172" s="76"/>
      <c r="I172" s="71"/>
      <c r="J172" s="72"/>
      <c r="K172" s="165"/>
      <c r="L172" s="76"/>
      <c r="M172" s="71"/>
      <c r="N172" s="72"/>
      <c r="O172" s="165"/>
      <c r="P172" s="76"/>
      <c r="Q172" s="75"/>
      <c r="R172" s="75"/>
      <c r="S172" s="75"/>
      <c r="T172" s="75"/>
      <c r="U172" s="75"/>
      <c r="V172" s="75"/>
      <c r="W172" s="75"/>
      <c r="X172" s="75"/>
      <c r="Y172" s="75"/>
      <c r="Z172" s="75"/>
      <c r="AA172" s="75"/>
      <c r="AB172" s="75"/>
      <c r="AC172" s="75"/>
    </row>
    <row r="173" spans="1:29" ht="24.75" customHeight="1" x14ac:dyDescent="0.2">
      <c r="A173" s="71"/>
      <c r="B173" s="72"/>
      <c r="C173" s="75"/>
      <c r="D173" s="76"/>
      <c r="E173" s="71"/>
      <c r="F173" s="72"/>
      <c r="G173" s="75"/>
      <c r="H173" s="76"/>
      <c r="I173" s="71"/>
      <c r="J173" s="72"/>
      <c r="K173" s="165"/>
      <c r="L173" s="76"/>
      <c r="M173" s="71"/>
      <c r="N173" s="72"/>
      <c r="O173" s="165"/>
      <c r="P173" s="76"/>
      <c r="Q173" s="75"/>
      <c r="R173" s="75"/>
      <c r="S173" s="75"/>
      <c r="T173" s="75"/>
      <c r="U173" s="75"/>
      <c r="V173" s="75"/>
      <c r="W173" s="75"/>
      <c r="X173" s="75"/>
      <c r="Y173" s="75"/>
      <c r="Z173" s="75"/>
      <c r="AA173" s="75"/>
      <c r="AB173" s="75"/>
      <c r="AC173" s="75"/>
    </row>
    <row r="174" spans="1:29" ht="24.75" customHeight="1" x14ac:dyDescent="0.2">
      <c r="A174" s="71"/>
      <c r="B174" s="72"/>
      <c r="C174" s="75"/>
      <c r="D174" s="76"/>
      <c r="E174" s="71"/>
      <c r="F174" s="72"/>
      <c r="G174" s="75"/>
      <c r="H174" s="76"/>
      <c r="I174" s="71"/>
      <c r="J174" s="72"/>
      <c r="K174" s="165"/>
      <c r="L174" s="76"/>
      <c r="M174" s="71"/>
      <c r="N174" s="72"/>
      <c r="O174" s="165"/>
      <c r="P174" s="76"/>
      <c r="Q174" s="75"/>
      <c r="R174" s="75"/>
      <c r="S174" s="75"/>
      <c r="T174" s="75"/>
      <c r="U174" s="75"/>
      <c r="V174" s="75"/>
      <c r="W174" s="75"/>
      <c r="X174" s="75"/>
      <c r="Y174" s="75"/>
      <c r="Z174" s="75"/>
      <c r="AA174" s="75"/>
      <c r="AB174" s="75"/>
      <c r="AC174" s="75"/>
    </row>
    <row r="175" spans="1:29" ht="24.75" customHeight="1" x14ac:dyDescent="0.2">
      <c r="A175" s="71"/>
      <c r="B175" s="72"/>
      <c r="C175" s="75"/>
      <c r="D175" s="76"/>
      <c r="E175" s="71"/>
      <c r="F175" s="72"/>
      <c r="G175" s="75"/>
      <c r="H175" s="76"/>
      <c r="I175" s="71"/>
      <c r="J175" s="72"/>
      <c r="K175" s="165"/>
      <c r="L175" s="76"/>
      <c r="M175" s="71"/>
      <c r="N175" s="72"/>
      <c r="O175" s="165"/>
      <c r="P175" s="76"/>
      <c r="Q175" s="75"/>
      <c r="R175" s="75"/>
      <c r="S175" s="75"/>
      <c r="T175" s="75"/>
      <c r="U175" s="75"/>
      <c r="V175" s="75"/>
      <c r="W175" s="75"/>
      <c r="X175" s="75"/>
      <c r="Y175" s="75"/>
      <c r="Z175" s="75"/>
      <c r="AA175" s="75"/>
      <c r="AB175" s="75"/>
      <c r="AC175" s="75"/>
    </row>
    <row r="176" spans="1:29" ht="24.75" customHeight="1" x14ac:dyDescent="0.2">
      <c r="A176" s="71"/>
      <c r="B176" s="72"/>
      <c r="C176" s="75"/>
      <c r="D176" s="76"/>
      <c r="E176" s="71"/>
      <c r="F176" s="72"/>
      <c r="G176" s="75"/>
      <c r="H176" s="76"/>
      <c r="I176" s="71"/>
      <c r="J176" s="72"/>
      <c r="K176" s="165"/>
      <c r="L176" s="76"/>
      <c r="M176" s="71"/>
      <c r="N176" s="72"/>
      <c r="O176" s="165"/>
      <c r="P176" s="76"/>
      <c r="Q176" s="75"/>
      <c r="R176" s="75"/>
      <c r="S176" s="75"/>
      <c r="T176" s="75"/>
      <c r="U176" s="75"/>
      <c r="V176" s="75"/>
      <c r="W176" s="75"/>
      <c r="X176" s="75"/>
      <c r="Y176" s="75"/>
      <c r="Z176" s="75"/>
      <c r="AA176" s="75"/>
      <c r="AB176" s="75"/>
      <c r="AC176" s="75"/>
    </row>
    <row r="177" spans="1:29" ht="24.75" customHeight="1" x14ac:dyDescent="0.2">
      <c r="A177" s="71"/>
      <c r="B177" s="72"/>
      <c r="C177" s="75"/>
      <c r="D177" s="76"/>
      <c r="E177" s="71"/>
      <c r="F177" s="72"/>
      <c r="G177" s="75"/>
      <c r="H177" s="76"/>
      <c r="I177" s="71"/>
      <c r="J177" s="72"/>
      <c r="K177" s="165"/>
      <c r="L177" s="76"/>
      <c r="M177" s="71"/>
      <c r="N177" s="72"/>
      <c r="O177" s="165"/>
      <c r="P177" s="76"/>
      <c r="Q177" s="75"/>
      <c r="R177" s="75"/>
      <c r="S177" s="75"/>
      <c r="T177" s="75"/>
      <c r="U177" s="75"/>
      <c r="V177" s="75"/>
      <c r="W177" s="75"/>
      <c r="X177" s="75"/>
      <c r="Y177" s="75"/>
      <c r="Z177" s="75"/>
      <c r="AA177" s="75"/>
      <c r="AB177" s="75"/>
      <c r="AC177" s="75"/>
    </row>
    <row r="178" spans="1:29" ht="24.75" customHeight="1" x14ac:dyDescent="0.2">
      <c r="A178" s="71"/>
      <c r="B178" s="72"/>
      <c r="C178" s="75"/>
      <c r="D178" s="76"/>
      <c r="E178" s="71"/>
      <c r="F178" s="72"/>
      <c r="G178" s="75"/>
      <c r="H178" s="76"/>
      <c r="I178" s="71"/>
      <c r="J178" s="72"/>
      <c r="K178" s="165"/>
      <c r="L178" s="76"/>
      <c r="M178" s="71"/>
      <c r="N178" s="72"/>
      <c r="O178" s="165"/>
      <c r="P178" s="76"/>
      <c r="Q178" s="75"/>
      <c r="R178" s="75"/>
      <c r="S178" s="75"/>
      <c r="T178" s="75"/>
      <c r="U178" s="75"/>
      <c r="V178" s="75"/>
      <c r="W178" s="75"/>
      <c r="X178" s="75"/>
      <c r="Y178" s="75"/>
      <c r="Z178" s="75"/>
      <c r="AA178" s="75"/>
      <c r="AB178" s="75"/>
      <c r="AC178" s="75"/>
    </row>
    <row r="179" spans="1:29" ht="24.75" customHeight="1" x14ac:dyDescent="0.2">
      <c r="A179" s="71"/>
      <c r="B179" s="72"/>
      <c r="C179" s="75"/>
      <c r="D179" s="76"/>
      <c r="E179" s="71"/>
      <c r="F179" s="72"/>
      <c r="G179" s="75"/>
      <c r="H179" s="76"/>
      <c r="I179" s="71"/>
      <c r="J179" s="72"/>
      <c r="K179" s="165"/>
      <c r="L179" s="76"/>
      <c r="M179" s="71"/>
      <c r="N179" s="72"/>
      <c r="O179" s="165"/>
      <c r="P179" s="76"/>
      <c r="Q179" s="75"/>
      <c r="R179" s="75"/>
      <c r="S179" s="75"/>
      <c r="T179" s="75"/>
      <c r="U179" s="75"/>
      <c r="V179" s="75"/>
      <c r="W179" s="75"/>
      <c r="X179" s="75"/>
      <c r="Y179" s="75"/>
      <c r="Z179" s="75"/>
      <c r="AA179" s="75"/>
      <c r="AB179" s="75"/>
      <c r="AC179" s="75"/>
    </row>
    <row r="180" spans="1:29" ht="24.75" customHeight="1" x14ac:dyDescent="0.2">
      <c r="A180" s="71"/>
      <c r="B180" s="72"/>
      <c r="C180" s="75"/>
      <c r="D180" s="76"/>
      <c r="E180" s="71"/>
      <c r="F180" s="72"/>
      <c r="G180" s="75"/>
      <c r="H180" s="76"/>
      <c r="I180" s="71"/>
      <c r="J180" s="72"/>
      <c r="K180" s="165"/>
      <c r="L180" s="76"/>
      <c r="M180" s="71"/>
      <c r="N180" s="72"/>
      <c r="O180" s="165"/>
      <c r="P180" s="76"/>
      <c r="Q180" s="75"/>
      <c r="R180" s="75"/>
      <c r="S180" s="75"/>
      <c r="T180" s="75"/>
      <c r="U180" s="75"/>
      <c r="V180" s="75"/>
      <c r="W180" s="75"/>
      <c r="X180" s="75"/>
      <c r="Y180" s="75"/>
      <c r="Z180" s="75"/>
      <c r="AA180" s="75"/>
      <c r="AB180" s="75"/>
      <c r="AC180" s="75"/>
    </row>
    <row r="181" spans="1:29" ht="24.75" customHeight="1" x14ac:dyDescent="0.2">
      <c r="A181" s="71"/>
      <c r="B181" s="72"/>
      <c r="C181" s="75"/>
      <c r="D181" s="76"/>
      <c r="E181" s="71"/>
      <c r="F181" s="72"/>
      <c r="G181" s="75"/>
      <c r="H181" s="76"/>
      <c r="I181" s="71"/>
      <c r="J181" s="72"/>
      <c r="K181" s="165"/>
      <c r="L181" s="76"/>
      <c r="M181" s="71"/>
      <c r="N181" s="72"/>
      <c r="O181" s="165"/>
      <c r="P181" s="76"/>
      <c r="Q181" s="75"/>
      <c r="R181" s="75"/>
      <c r="S181" s="75"/>
      <c r="T181" s="75"/>
      <c r="U181" s="75"/>
      <c r="V181" s="75"/>
      <c r="W181" s="75"/>
      <c r="X181" s="75"/>
      <c r="Y181" s="75"/>
      <c r="Z181" s="75"/>
      <c r="AA181" s="75"/>
      <c r="AB181" s="75"/>
      <c r="AC181" s="75"/>
    </row>
    <row r="182" spans="1:29" ht="24.75" customHeight="1" x14ac:dyDescent="0.2">
      <c r="A182" s="71"/>
      <c r="B182" s="72"/>
      <c r="C182" s="75"/>
      <c r="D182" s="76"/>
      <c r="E182" s="71"/>
      <c r="F182" s="72"/>
      <c r="G182" s="75"/>
      <c r="H182" s="76"/>
      <c r="I182" s="71"/>
      <c r="J182" s="72"/>
      <c r="K182" s="165"/>
      <c r="L182" s="76"/>
      <c r="M182" s="71"/>
      <c r="N182" s="72"/>
      <c r="O182" s="165"/>
      <c r="P182" s="76"/>
      <c r="Q182" s="75"/>
      <c r="R182" s="75"/>
      <c r="S182" s="75"/>
      <c r="T182" s="75"/>
      <c r="U182" s="75"/>
      <c r="V182" s="75"/>
      <c r="W182" s="75"/>
      <c r="X182" s="75"/>
      <c r="Y182" s="75"/>
      <c r="Z182" s="75"/>
      <c r="AA182" s="75"/>
      <c r="AB182" s="75"/>
      <c r="AC182" s="75"/>
    </row>
    <row r="183" spans="1:29" ht="24.75" customHeight="1" x14ac:dyDescent="0.2">
      <c r="A183" s="71"/>
      <c r="B183" s="72"/>
      <c r="C183" s="75"/>
      <c r="D183" s="76"/>
      <c r="E183" s="71"/>
      <c r="F183" s="72"/>
      <c r="G183" s="75"/>
      <c r="H183" s="76"/>
      <c r="I183" s="71"/>
      <c r="J183" s="72"/>
      <c r="K183" s="165"/>
      <c r="L183" s="76"/>
      <c r="M183" s="71"/>
      <c r="N183" s="72"/>
      <c r="O183" s="165"/>
      <c r="P183" s="76"/>
      <c r="Q183" s="75"/>
      <c r="R183" s="75"/>
      <c r="S183" s="75"/>
      <c r="T183" s="75"/>
      <c r="U183" s="75"/>
      <c r="V183" s="75"/>
      <c r="W183" s="75"/>
      <c r="X183" s="75"/>
      <c r="Y183" s="75"/>
      <c r="Z183" s="75"/>
      <c r="AA183" s="75"/>
      <c r="AB183" s="75"/>
      <c r="AC183" s="75"/>
    </row>
    <row r="184" spans="1:29" ht="24.75" customHeight="1" x14ac:dyDescent="0.2">
      <c r="A184" s="71"/>
      <c r="B184" s="72"/>
      <c r="C184" s="75"/>
      <c r="D184" s="76"/>
      <c r="E184" s="71"/>
      <c r="F184" s="72"/>
      <c r="G184" s="75"/>
      <c r="H184" s="76"/>
      <c r="I184" s="71"/>
      <c r="J184" s="72"/>
      <c r="K184" s="165"/>
      <c r="L184" s="76"/>
      <c r="M184" s="71"/>
      <c r="N184" s="72"/>
      <c r="O184" s="165"/>
      <c r="P184" s="76"/>
      <c r="Q184" s="75"/>
      <c r="R184" s="75"/>
      <c r="S184" s="75"/>
      <c r="T184" s="75"/>
      <c r="U184" s="75"/>
      <c r="V184" s="75"/>
      <c r="W184" s="75"/>
      <c r="X184" s="75"/>
      <c r="Y184" s="75"/>
      <c r="Z184" s="75"/>
      <c r="AA184" s="75"/>
      <c r="AB184" s="75"/>
      <c r="AC184" s="75"/>
    </row>
    <row r="185" spans="1:29" ht="24.75" customHeight="1" x14ac:dyDescent="0.2">
      <c r="A185" s="71"/>
      <c r="B185" s="72"/>
      <c r="C185" s="75"/>
      <c r="D185" s="76"/>
      <c r="E185" s="71"/>
      <c r="F185" s="72"/>
      <c r="G185" s="75"/>
      <c r="H185" s="76"/>
      <c r="I185" s="71"/>
      <c r="J185" s="72"/>
      <c r="K185" s="165"/>
      <c r="L185" s="76"/>
      <c r="M185" s="71"/>
      <c r="N185" s="72"/>
      <c r="O185" s="165"/>
      <c r="P185" s="76"/>
      <c r="Q185" s="75"/>
      <c r="R185" s="75"/>
      <c r="S185" s="75"/>
      <c r="T185" s="75"/>
      <c r="U185" s="75"/>
      <c r="V185" s="75"/>
      <c r="W185" s="75"/>
      <c r="X185" s="75"/>
      <c r="Y185" s="75"/>
      <c r="Z185" s="75"/>
      <c r="AA185" s="75"/>
      <c r="AB185" s="75"/>
      <c r="AC185" s="75"/>
    </row>
    <row r="186" spans="1:29" ht="24.75" customHeight="1" x14ac:dyDescent="0.2">
      <c r="A186" s="71"/>
      <c r="B186" s="72"/>
      <c r="C186" s="75"/>
      <c r="D186" s="76"/>
      <c r="E186" s="71"/>
      <c r="F186" s="72"/>
      <c r="G186" s="75"/>
      <c r="H186" s="76"/>
      <c r="I186" s="71"/>
      <c r="J186" s="72"/>
      <c r="K186" s="165"/>
      <c r="L186" s="76"/>
      <c r="M186" s="71"/>
      <c r="N186" s="72"/>
      <c r="O186" s="165"/>
      <c r="P186" s="76"/>
      <c r="Q186" s="75"/>
      <c r="R186" s="75"/>
      <c r="S186" s="75"/>
      <c r="T186" s="75"/>
      <c r="U186" s="75"/>
      <c r="V186" s="75"/>
      <c r="W186" s="75"/>
      <c r="X186" s="75"/>
      <c r="Y186" s="75"/>
      <c r="Z186" s="75"/>
      <c r="AA186" s="75"/>
      <c r="AB186" s="75"/>
      <c r="AC186" s="75"/>
    </row>
    <row r="187" spans="1:29" ht="24.75" customHeight="1" x14ac:dyDescent="0.2">
      <c r="A187" s="71"/>
      <c r="B187" s="72"/>
      <c r="C187" s="75"/>
      <c r="D187" s="76"/>
      <c r="E187" s="71"/>
      <c r="F187" s="72"/>
      <c r="G187" s="75"/>
      <c r="H187" s="76"/>
      <c r="I187" s="71"/>
      <c r="J187" s="72"/>
      <c r="K187" s="165"/>
      <c r="L187" s="76"/>
      <c r="M187" s="71"/>
      <c r="N187" s="72"/>
      <c r="O187" s="165"/>
      <c r="P187" s="76"/>
      <c r="Q187" s="75"/>
      <c r="R187" s="75"/>
      <c r="S187" s="75"/>
      <c r="T187" s="75"/>
      <c r="U187" s="75"/>
      <c r="V187" s="75"/>
      <c r="W187" s="75"/>
      <c r="X187" s="75"/>
      <c r="Y187" s="75"/>
      <c r="Z187" s="75"/>
      <c r="AA187" s="75"/>
      <c r="AB187" s="75"/>
      <c r="AC187" s="75"/>
    </row>
    <row r="188" spans="1:29" ht="24.75" customHeight="1" x14ac:dyDescent="0.2">
      <c r="A188" s="71"/>
      <c r="B188" s="72"/>
      <c r="C188" s="75"/>
      <c r="D188" s="76"/>
      <c r="E188" s="71"/>
      <c r="F188" s="72"/>
      <c r="G188" s="75"/>
      <c r="H188" s="76"/>
      <c r="I188" s="71"/>
      <c r="J188" s="72"/>
      <c r="K188" s="165"/>
      <c r="L188" s="76"/>
      <c r="M188" s="71"/>
      <c r="N188" s="72"/>
      <c r="O188" s="165"/>
      <c r="P188" s="76"/>
      <c r="Q188" s="75"/>
      <c r="R188" s="75"/>
      <c r="S188" s="75"/>
      <c r="T188" s="75"/>
      <c r="U188" s="75"/>
      <c r="V188" s="75"/>
      <c r="W188" s="75"/>
      <c r="X188" s="75"/>
      <c r="Y188" s="75"/>
      <c r="Z188" s="75"/>
      <c r="AA188" s="75"/>
      <c r="AB188" s="75"/>
      <c r="AC188" s="75"/>
    </row>
    <row r="189" spans="1:29" ht="24.75" customHeight="1" x14ac:dyDescent="0.2">
      <c r="A189" s="71"/>
      <c r="B189" s="72"/>
      <c r="C189" s="75"/>
      <c r="D189" s="76"/>
      <c r="E189" s="71"/>
      <c r="F189" s="72"/>
      <c r="G189" s="75"/>
      <c r="H189" s="76"/>
      <c r="I189" s="71"/>
      <c r="J189" s="72"/>
      <c r="K189" s="165"/>
      <c r="L189" s="76"/>
      <c r="M189" s="71"/>
      <c r="N189" s="72"/>
      <c r="O189" s="165"/>
      <c r="P189" s="76"/>
      <c r="Q189" s="75"/>
      <c r="R189" s="75"/>
      <c r="S189" s="75"/>
      <c r="T189" s="75"/>
      <c r="U189" s="75"/>
      <c r="V189" s="75"/>
      <c r="W189" s="75"/>
      <c r="X189" s="75"/>
      <c r="Y189" s="75"/>
      <c r="Z189" s="75"/>
      <c r="AA189" s="75"/>
      <c r="AB189" s="75"/>
      <c r="AC189" s="75"/>
    </row>
    <row r="190" spans="1:29" ht="24.75" customHeight="1" x14ac:dyDescent="0.2">
      <c r="A190" s="71"/>
      <c r="B190" s="72"/>
      <c r="C190" s="75"/>
      <c r="D190" s="76"/>
      <c r="E190" s="71"/>
      <c r="F190" s="72"/>
      <c r="G190" s="75"/>
      <c r="H190" s="76"/>
      <c r="I190" s="71"/>
      <c r="J190" s="72"/>
      <c r="K190" s="165"/>
      <c r="L190" s="76"/>
      <c r="M190" s="71"/>
      <c r="N190" s="72"/>
      <c r="O190" s="165"/>
      <c r="P190" s="76"/>
      <c r="Q190" s="75"/>
      <c r="R190" s="75"/>
      <c r="S190" s="75"/>
      <c r="T190" s="75"/>
      <c r="U190" s="75"/>
      <c r="V190" s="75"/>
      <c r="W190" s="75"/>
      <c r="X190" s="75"/>
      <c r="Y190" s="75"/>
      <c r="Z190" s="75"/>
      <c r="AA190" s="75"/>
      <c r="AB190" s="75"/>
      <c r="AC190" s="75"/>
    </row>
    <row r="191" spans="1:29" ht="24.75" customHeight="1" x14ac:dyDescent="0.2">
      <c r="A191" s="71"/>
      <c r="B191" s="72"/>
      <c r="C191" s="75"/>
      <c r="D191" s="76"/>
      <c r="E191" s="71"/>
      <c r="F191" s="72"/>
      <c r="G191" s="75"/>
      <c r="H191" s="76"/>
      <c r="I191" s="71"/>
      <c r="J191" s="72"/>
      <c r="K191" s="165"/>
      <c r="L191" s="76"/>
      <c r="M191" s="71"/>
      <c r="N191" s="72"/>
      <c r="O191" s="165"/>
      <c r="P191" s="76"/>
      <c r="Q191" s="75"/>
      <c r="R191" s="75"/>
      <c r="S191" s="75"/>
      <c r="T191" s="75"/>
      <c r="U191" s="75"/>
      <c r="V191" s="75"/>
      <c r="W191" s="75"/>
      <c r="X191" s="75"/>
      <c r="Y191" s="75"/>
      <c r="Z191" s="75"/>
      <c r="AA191" s="75"/>
      <c r="AB191" s="75"/>
      <c r="AC191" s="75"/>
    </row>
    <row r="192" spans="1:29" ht="24.75" customHeight="1" x14ac:dyDescent="0.2">
      <c r="A192" s="71"/>
      <c r="B192" s="72"/>
      <c r="C192" s="75"/>
      <c r="D192" s="76"/>
      <c r="E192" s="71"/>
      <c r="F192" s="72"/>
      <c r="G192" s="75"/>
      <c r="H192" s="76"/>
      <c r="I192" s="71"/>
      <c r="J192" s="72"/>
      <c r="K192" s="165"/>
      <c r="L192" s="76"/>
      <c r="M192" s="71"/>
      <c r="N192" s="72"/>
      <c r="O192" s="165"/>
      <c r="P192" s="76"/>
      <c r="Q192" s="75"/>
      <c r="R192" s="75"/>
      <c r="S192" s="75"/>
      <c r="T192" s="75"/>
      <c r="U192" s="75"/>
      <c r="V192" s="75"/>
      <c r="W192" s="75"/>
      <c r="X192" s="75"/>
      <c r="Y192" s="75"/>
      <c r="Z192" s="75"/>
      <c r="AA192" s="75"/>
      <c r="AB192" s="75"/>
      <c r="AC192" s="75"/>
    </row>
    <row r="193" spans="1:29" ht="24.75" customHeight="1" x14ac:dyDescent="0.2">
      <c r="A193" s="71"/>
      <c r="B193" s="72"/>
      <c r="C193" s="75"/>
      <c r="D193" s="76"/>
      <c r="E193" s="71"/>
      <c r="F193" s="72"/>
      <c r="G193" s="75"/>
      <c r="H193" s="76"/>
      <c r="I193" s="71"/>
      <c r="J193" s="72"/>
      <c r="K193" s="165"/>
      <c r="L193" s="76"/>
      <c r="M193" s="71"/>
      <c r="N193" s="72"/>
      <c r="O193" s="165"/>
      <c r="P193" s="76"/>
      <c r="Q193" s="75"/>
      <c r="R193" s="75"/>
      <c r="S193" s="75"/>
      <c r="T193" s="75"/>
      <c r="U193" s="75"/>
      <c r="V193" s="75"/>
      <c r="W193" s="75"/>
      <c r="X193" s="75"/>
      <c r="Y193" s="75"/>
      <c r="Z193" s="75"/>
      <c r="AA193" s="75"/>
      <c r="AB193" s="75"/>
      <c r="AC193" s="75"/>
    </row>
    <row r="194" spans="1:29" ht="24.75" customHeight="1" x14ac:dyDescent="0.2">
      <c r="A194" s="71"/>
      <c r="B194" s="72"/>
      <c r="C194" s="75"/>
      <c r="D194" s="76"/>
      <c r="E194" s="71"/>
      <c r="F194" s="72"/>
      <c r="G194" s="75"/>
      <c r="H194" s="76"/>
      <c r="I194" s="71"/>
      <c r="J194" s="72"/>
      <c r="K194" s="165"/>
      <c r="L194" s="76"/>
      <c r="M194" s="71"/>
      <c r="N194" s="72"/>
      <c r="O194" s="165"/>
      <c r="P194" s="76"/>
      <c r="Q194" s="75"/>
      <c r="R194" s="75"/>
      <c r="S194" s="75"/>
      <c r="T194" s="75"/>
      <c r="U194" s="75"/>
      <c r="V194" s="75"/>
      <c r="W194" s="75"/>
      <c r="X194" s="75"/>
      <c r="Y194" s="75"/>
      <c r="Z194" s="75"/>
      <c r="AA194" s="75"/>
      <c r="AB194" s="75"/>
      <c r="AC194" s="75"/>
    </row>
    <row r="195" spans="1:29" ht="24.75" customHeight="1" x14ac:dyDescent="0.2">
      <c r="A195" s="71"/>
      <c r="B195" s="72"/>
      <c r="C195" s="75"/>
      <c r="D195" s="76"/>
      <c r="E195" s="71"/>
      <c r="F195" s="72"/>
      <c r="G195" s="75"/>
      <c r="H195" s="76"/>
      <c r="I195" s="71"/>
      <c r="J195" s="72"/>
      <c r="K195" s="165"/>
      <c r="L195" s="76"/>
      <c r="M195" s="71"/>
      <c r="N195" s="72"/>
      <c r="O195" s="165"/>
      <c r="P195" s="76"/>
      <c r="Q195" s="75"/>
      <c r="R195" s="75"/>
      <c r="S195" s="75"/>
      <c r="T195" s="75"/>
      <c r="U195" s="75"/>
      <c r="V195" s="75"/>
      <c r="W195" s="75"/>
      <c r="X195" s="75"/>
      <c r="Y195" s="75"/>
      <c r="Z195" s="75"/>
      <c r="AA195" s="75"/>
      <c r="AB195" s="75"/>
      <c r="AC195" s="75"/>
    </row>
    <row r="196" spans="1:29" ht="24.75" customHeight="1" x14ac:dyDescent="0.2">
      <c r="A196" s="71"/>
      <c r="B196" s="72"/>
      <c r="C196" s="75"/>
      <c r="D196" s="76"/>
      <c r="E196" s="71"/>
      <c r="F196" s="72"/>
      <c r="G196" s="75"/>
      <c r="H196" s="76"/>
      <c r="I196" s="71"/>
      <c r="J196" s="72"/>
      <c r="K196" s="165"/>
      <c r="L196" s="76"/>
      <c r="M196" s="71"/>
      <c r="N196" s="72"/>
      <c r="O196" s="165"/>
      <c r="P196" s="76"/>
      <c r="Q196" s="75"/>
      <c r="R196" s="75"/>
      <c r="S196" s="75"/>
      <c r="T196" s="75"/>
      <c r="U196" s="75"/>
      <c r="V196" s="75"/>
      <c r="W196" s="75"/>
      <c r="X196" s="75"/>
      <c r="Y196" s="75"/>
      <c r="Z196" s="75"/>
      <c r="AA196" s="75"/>
      <c r="AB196" s="75"/>
      <c r="AC196" s="75"/>
    </row>
    <row r="197" spans="1:29" ht="24.75" customHeight="1" x14ac:dyDescent="0.2">
      <c r="A197" s="71"/>
      <c r="B197" s="72"/>
      <c r="C197" s="75"/>
      <c r="D197" s="76"/>
      <c r="E197" s="71"/>
      <c r="F197" s="72"/>
      <c r="G197" s="75"/>
      <c r="H197" s="76"/>
      <c r="I197" s="71"/>
      <c r="J197" s="72"/>
      <c r="K197" s="165"/>
      <c r="L197" s="76"/>
      <c r="M197" s="71"/>
      <c r="N197" s="72"/>
      <c r="O197" s="165"/>
      <c r="P197" s="76"/>
      <c r="Q197" s="75"/>
      <c r="R197" s="75"/>
      <c r="S197" s="75"/>
      <c r="T197" s="75"/>
      <c r="U197" s="75"/>
      <c r="V197" s="75"/>
      <c r="W197" s="75"/>
      <c r="X197" s="75"/>
      <c r="Y197" s="75"/>
      <c r="Z197" s="75"/>
      <c r="AA197" s="75"/>
      <c r="AB197" s="75"/>
      <c r="AC197" s="75"/>
    </row>
    <row r="198" spans="1:29" ht="24.75" customHeight="1" x14ac:dyDescent="0.2">
      <c r="A198" s="71"/>
      <c r="B198" s="72"/>
      <c r="C198" s="75"/>
      <c r="D198" s="76"/>
      <c r="E198" s="71"/>
      <c r="F198" s="72"/>
      <c r="G198" s="75"/>
      <c r="H198" s="76"/>
      <c r="I198" s="71"/>
      <c r="J198" s="72"/>
      <c r="K198" s="165"/>
      <c r="L198" s="76"/>
      <c r="M198" s="71"/>
      <c r="N198" s="72"/>
      <c r="O198" s="165"/>
      <c r="P198" s="76"/>
      <c r="Q198" s="75"/>
      <c r="R198" s="75"/>
      <c r="S198" s="75"/>
      <c r="T198" s="75"/>
      <c r="U198" s="75"/>
      <c r="V198" s="75"/>
      <c r="W198" s="75"/>
      <c r="X198" s="75"/>
      <c r="Y198" s="75"/>
      <c r="Z198" s="75"/>
      <c r="AA198" s="75"/>
      <c r="AB198" s="75"/>
      <c r="AC198" s="75"/>
    </row>
    <row r="199" spans="1:29" ht="24.75" customHeight="1" x14ac:dyDescent="0.2">
      <c r="A199" s="71"/>
      <c r="B199" s="72"/>
      <c r="C199" s="75"/>
      <c r="D199" s="76"/>
      <c r="E199" s="71"/>
      <c r="F199" s="72"/>
      <c r="G199" s="75"/>
      <c r="H199" s="76"/>
      <c r="I199" s="71"/>
      <c r="J199" s="72"/>
      <c r="K199" s="165"/>
      <c r="L199" s="76"/>
      <c r="M199" s="71"/>
      <c r="N199" s="72"/>
      <c r="O199" s="165"/>
      <c r="P199" s="76"/>
      <c r="Q199" s="75"/>
      <c r="R199" s="75"/>
      <c r="S199" s="75"/>
      <c r="T199" s="75"/>
      <c r="U199" s="75"/>
      <c r="V199" s="75"/>
      <c r="W199" s="75"/>
      <c r="X199" s="75"/>
      <c r="Y199" s="75"/>
      <c r="Z199" s="75"/>
      <c r="AA199" s="75"/>
      <c r="AB199" s="75"/>
      <c r="AC199" s="75"/>
    </row>
    <row r="200" spans="1:29" ht="24.75" customHeight="1" x14ac:dyDescent="0.2">
      <c r="A200" s="71"/>
      <c r="B200" s="72"/>
      <c r="C200" s="75"/>
      <c r="D200" s="76"/>
      <c r="E200" s="71"/>
      <c r="F200" s="72"/>
      <c r="G200" s="75"/>
      <c r="H200" s="76"/>
      <c r="I200" s="71"/>
      <c r="J200" s="72"/>
      <c r="K200" s="165"/>
      <c r="L200" s="76"/>
      <c r="M200" s="71"/>
      <c r="N200" s="72"/>
      <c r="O200" s="165"/>
      <c r="P200" s="76"/>
      <c r="Q200" s="75"/>
      <c r="R200" s="75"/>
      <c r="S200" s="75"/>
      <c r="T200" s="75"/>
      <c r="U200" s="75"/>
      <c r="V200" s="75"/>
      <c r="W200" s="75"/>
      <c r="X200" s="75"/>
      <c r="Y200" s="75"/>
      <c r="Z200" s="75"/>
      <c r="AA200" s="75"/>
      <c r="AB200" s="75"/>
      <c r="AC200" s="75"/>
    </row>
    <row r="201" spans="1:29" ht="24.75" customHeight="1" x14ac:dyDescent="0.2">
      <c r="A201" s="71"/>
      <c r="B201" s="72"/>
      <c r="C201" s="75"/>
      <c r="D201" s="76"/>
      <c r="E201" s="71"/>
      <c r="F201" s="72"/>
      <c r="G201" s="75"/>
      <c r="H201" s="76"/>
      <c r="I201" s="71"/>
      <c r="J201" s="72"/>
      <c r="K201" s="165"/>
      <c r="L201" s="76"/>
      <c r="M201" s="71"/>
      <c r="N201" s="72"/>
      <c r="O201" s="165"/>
      <c r="P201" s="76"/>
      <c r="Q201" s="75"/>
      <c r="R201" s="75"/>
      <c r="S201" s="75"/>
      <c r="T201" s="75"/>
      <c r="U201" s="75"/>
      <c r="V201" s="75"/>
      <c r="W201" s="75"/>
      <c r="X201" s="75"/>
      <c r="Y201" s="75"/>
      <c r="Z201" s="75"/>
      <c r="AA201" s="75"/>
      <c r="AB201" s="75"/>
      <c r="AC201" s="75"/>
    </row>
    <row r="202" spans="1:29" ht="24.75" customHeight="1" x14ac:dyDescent="0.2">
      <c r="A202" s="71"/>
      <c r="B202" s="72"/>
      <c r="C202" s="75"/>
      <c r="D202" s="76"/>
      <c r="E202" s="71"/>
      <c r="F202" s="72"/>
      <c r="G202" s="75"/>
      <c r="H202" s="76"/>
      <c r="I202" s="71"/>
      <c r="J202" s="72"/>
      <c r="K202" s="165"/>
      <c r="L202" s="76"/>
      <c r="M202" s="71"/>
      <c r="N202" s="72"/>
      <c r="O202" s="165"/>
      <c r="P202" s="76"/>
      <c r="Q202" s="75"/>
      <c r="R202" s="75"/>
      <c r="S202" s="75"/>
      <c r="T202" s="75"/>
      <c r="U202" s="75"/>
      <c r="V202" s="75"/>
      <c r="W202" s="75"/>
      <c r="X202" s="75"/>
      <c r="Y202" s="75"/>
      <c r="Z202" s="75"/>
      <c r="AA202" s="75"/>
      <c r="AB202" s="75"/>
      <c r="AC202" s="75"/>
    </row>
    <row r="203" spans="1:29" ht="24.75" customHeight="1" x14ac:dyDescent="0.2">
      <c r="A203" s="71"/>
      <c r="B203" s="72"/>
      <c r="C203" s="75"/>
      <c r="D203" s="76"/>
      <c r="E203" s="71"/>
      <c r="F203" s="72"/>
      <c r="G203" s="75"/>
      <c r="H203" s="76"/>
      <c r="I203" s="71"/>
      <c r="J203" s="72"/>
      <c r="K203" s="165"/>
      <c r="L203" s="76"/>
      <c r="M203" s="71"/>
      <c r="N203" s="72"/>
      <c r="O203" s="165"/>
      <c r="P203" s="76"/>
      <c r="Q203" s="75"/>
      <c r="R203" s="75"/>
      <c r="S203" s="75"/>
      <c r="T203" s="75"/>
      <c r="U203" s="75"/>
      <c r="V203" s="75"/>
      <c r="W203" s="75"/>
      <c r="X203" s="75"/>
      <c r="Y203" s="75"/>
      <c r="Z203" s="75"/>
      <c r="AA203" s="75"/>
      <c r="AB203" s="75"/>
      <c r="AC203" s="75"/>
    </row>
    <row r="204" spans="1:29" ht="24.75" customHeight="1" x14ac:dyDescent="0.2">
      <c r="A204" s="71"/>
      <c r="B204" s="72"/>
      <c r="C204" s="75"/>
      <c r="D204" s="76"/>
      <c r="E204" s="71"/>
      <c r="F204" s="72"/>
      <c r="G204" s="75"/>
      <c r="H204" s="76"/>
      <c r="I204" s="71"/>
      <c r="J204" s="72"/>
      <c r="K204" s="165"/>
      <c r="L204" s="76"/>
      <c r="M204" s="71"/>
      <c r="N204" s="72"/>
      <c r="O204" s="165"/>
      <c r="P204" s="76"/>
      <c r="Q204" s="75"/>
      <c r="R204" s="75"/>
      <c r="S204" s="75"/>
      <c r="T204" s="75"/>
      <c r="U204" s="75"/>
      <c r="V204" s="75"/>
      <c r="W204" s="75"/>
      <c r="X204" s="75"/>
      <c r="Y204" s="75"/>
      <c r="Z204" s="75"/>
      <c r="AA204" s="75"/>
      <c r="AB204" s="75"/>
      <c r="AC204" s="75"/>
    </row>
    <row r="205" spans="1:29" ht="24.75" customHeight="1" x14ac:dyDescent="0.2">
      <c r="A205" s="71"/>
      <c r="B205" s="72"/>
      <c r="C205" s="75"/>
      <c r="D205" s="76"/>
      <c r="E205" s="71"/>
      <c r="F205" s="72"/>
      <c r="G205" s="75"/>
      <c r="H205" s="76"/>
      <c r="I205" s="71"/>
      <c r="J205" s="72"/>
      <c r="K205" s="165"/>
      <c r="L205" s="76"/>
      <c r="M205" s="71"/>
      <c r="N205" s="72"/>
      <c r="O205" s="165"/>
      <c r="P205" s="76"/>
      <c r="Q205" s="75"/>
      <c r="R205" s="75"/>
      <c r="S205" s="75"/>
      <c r="T205" s="75"/>
      <c r="U205" s="75"/>
      <c r="V205" s="75"/>
      <c r="W205" s="75"/>
      <c r="X205" s="75"/>
      <c r="Y205" s="75"/>
      <c r="Z205" s="75"/>
      <c r="AA205" s="75"/>
      <c r="AB205" s="75"/>
      <c r="AC205" s="75"/>
    </row>
    <row r="206" spans="1:29" ht="24.75" customHeight="1" x14ac:dyDescent="0.2">
      <c r="A206" s="71"/>
      <c r="B206" s="72"/>
      <c r="C206" s="75"/>
      <c r="D206" s="76"/>
      <c r="E206" s="71"/>
      <c r="F206" s="72"/>
      <c r="G206" s="75"/>
      <c r="H206" s="76"/>
      <c r="I206" s="71"/>
      <c r="J206" s="72"/>
      <c r="K206" s="165"/>
      <c r="L206" s="76"/>
      <c r="M206" s="71"/>
      <c r="N206" s="72"/>
      <c r="O206" s="165"/>
      <c r="P206" s="76"/>
      <c r="Q206" s="75"/>
      <c r="R206" s="75"/>
      <c r="S206" s="75"/>
      <c r="T206" s="75"/>
      <c r="U206" s="75"/>
      <c r="V206" s="75"/>
      <c r="W206" s="75"/>
      <c r="X206" s="75"/>
      <c r="Y206" s="75"/>
      <c r="Z206" s="75"/>
      <c r="AA206" s="75"/>
      <c r="AB206" s="75"/>
      <c r="AC206" s="75"/>
    </row>
    <row r="207" spans="1:29" ht="24.75" customHeight="1" x14ac:dyDescent="0.2">
      <c r="A207" s="71"/>
      <c r="B207" s="72"/>
      <c r="C207" s="75"/>
      <c r="D207" s="76"/>
      <c r="E207" s="71"/>
      <c r="F207" s="72"/>
      <c r="G207" s="75"/>
      <c r="H207" s="76"/>
      <c r="I207" s="71"/>
      <c r="J207" s="72"/>
      <c r="K207" s="165"/>
      <c r="L207" s="76"/>
      <c r="M207" s="71"/>
      <c r="N207" s="72"/>
      <c r="O207" s="165"/>
      <c r="P207" s="76"/>
      <c r="Q207" s="75"/>
      <c r="R207" s="75"/>
      <c r="S207" s="75"/>
      <c r="T207" s="75"/>
      <c r="U207" s="75"/>
      <c r="V207" s="75"/>
      <c r="W207" s="75"/>
      <c r="X207" s="75"/>
      <c r="Y207" s="75"/>
      <c r="Z207" s="75"/>
      <c r="AA207" s="75"/>
      <c r="AB207" s="75"/>
      <c r="AC207" s="75"/>
    </row>
    <row r="208" spans="1:29" ht="24.75" customHeight="1" x14ac:dyDescent="0.2">
      <c r="A208" s="71"/>
      <c r="B208" s="72"/>
      <c r="C208" s="75"/>
      <c r="D208" s="76"/>
      <c r="E208" s="71"/>
      <c r="F208" s="72"/>
      <c r="G208" s="75"/>
      <c r="H208" s="76"/>
      <c r="I208" s="71"/>
      <c r="J208" s="72"/>
      <c r="K208" s="165"/>
      <c r="L208" s="76"/>
      <c r="M208" s="71"/>
      <c r="N208" s="72"/>
      <c r="O208" s="165"/>
      <c r="P208" s="76"/>
      <c r="Q208" s="75"/>
      <c r="R208" s="75"/>
      <c r="S208" s="75"/>
      <c r="T208" s="75"/>
      <c r="U208" s="75"/>
      <c r="V208" s="75"/>
      <c r="W208" s="75"/>
      <c r="X208" s="75"/>
      <c r="Y208" s="75"/>
      <c r="Z208" s="75"/>
      <c r="AA208" s="75"/>
      <c r="AB208" s="75"/>
      <c r="AC208" s="75"/>
    </row>
    <row r="209" spans="1:29" ht="24.75" customHeight="1" x14ac:dyDescent="0.2">
      <c r="A209" s="71"/>
      <c r="B209" s="72"/>
      <c r="C209" s="75"/>
      <c r="D209" s="76"/>
      <c r="E209" s="71"/>
      <c r="F209" s="72"/>
      <c r="G209" s="75"/>
      <c r="H209" s="76"/>
      <c r="I209" s="71"/>
      <c r="J209" s="72"/>
      <c r="K209" s="165"/>
      <c r="L209" s="76"/>
      <c r="M209" s="71"/>
      <c r="N209" s="72"/>
      <c r="O209" s="165"/>
      <c r="P209" s="76"/>
      <c r="Q209" s="75"/>
      <c r="R209" s="75"/>
      <c r="S209" s="75"/>
      <c r="T209" s="75"/>
      <c r="U209" s="75"/>
      <c r="V209" s="75"/>
      <c r="W209" s="75"/>
      <c r="X209" s="75"/>
      <c r="Y209" s="75"/>
      <c r="Z209" s="75"/>
      <c r="AA209" s="75"/>
      <c r="AB209" s="75"/>
      <c r="AC209" s="75"/>
    </row>
    <row r="210" spans="1:29" ht="24.75" customHeight="1" x14ac:dyDescent="0.2">
      <c r="A210" s="71"/>
      <c r="B210" s="72"/>
      <c r="C210" s="75"/>
      <c r="D210" s="76"/>
      <c r="E210" s="71"/>
      <c r="F210" s="72"/>
      <c r="G210" s="75"/>
      <c r="H210" s="76"/>
      <c r="I210" s="71"/>
      <c r="J210" s="72"/>
      <c r="K210" s="165"/>
      <c r="L210" s="76"/>
      <c r="M210" s="71"/>
      <c r="N210" s="72"/>
      <c r="O210" s="165"/>
      <c r="P210" s="76"/>
      <c r="Q210" s="75"/>
      <c r="R210" s="75"/>
      <c r="S210" s="75"/>
      <c r="T210" s="75"/>
      <c r="U210" s="75"/>
      <c r="V210" s="75"/>
      <c r="W210" s="75"/>
      <c r="X210" s="75"/>
      <c r="Y210" s="75"/>
      <c r="Z210" s="75"/>
      <c r="AA210" s="75"/>
      <c r="AB210" s="75"/>
      <c r="AC210" s="75"/>
    </row>
    <row r="211" spans="1:29" ht="24.75" customHeight="1" x14ac:dyDescent="0.2">
      <c r="A211" s="71"/>
      <c r="B211" s="72"/>
      <c r="C211" s="75"/>
      <c r="D211" s="76"/>
      <c r="E211" s="71"/>
      <c r="F211" s="72"/>
      <c r="G211" s="75"/>
      <c r="H211" s="76"/>
      <c r="I211" s="71"/>
      <c r="J211" s="72"/>
      <c r="K211" s="165"/>
      <c r="L211" s="76"/>
      <c r="M211" s="71"/>
      <c r="N211" s="72"/>
      <c r="O211" s="165"/>
      <c r="P211" s="76"/>
      <c r="Q211" s="75"/>
      <c r="R211" s="75"/>
      <c r="S211" s="75"/>
      <c r="T211" s="75"/>
      <c r="U211" s="75"/>
      <c r="V211" s="75"/>
      <c r="W211" s="75"/>
      <c r="X211" s="75"/>
      <c r="Y211" s="75"/>
      <c r="Z211" s="75"/>
      <c r="AA211" s="75"/>
      <c r="AB211" s="75"/>
      <c r="AC211" s="75"/>
    </row>
    <row r="212" spans="1:29" ht="24.75" customHeight="1" x14ac:dyDescent="0.2">
      <c r="A212" s="71"/>
      <c r="B212" s="72"/>
      <c r="C212" s="75"/>
      <c r="D212" s="76"/>
      <c r="E212" s="71"/>
      <c r="F212" s="72"/>
      <c r="G212" s="75"/>
      <c r="H212" s="76"/>
      <c r="I212" s="71"/>
      <c r="J212" s="72"/>
      <c r="K212" s="165"/>
      <c r="L212" s="76"/>
      <c r="M212" s="71"/>
      <c r="N212" s="72"/>
      <c r="O212" s="165"/>
      <c r="P212" s="76"/>
      <c r="Q212" s="75"/>
      <c r="R212" s="75"/>
      <c r="S212" s="75"/>
      <c r="T212" s="75"/>
      <c r="U212" s="75"/>
      <c r="V212" s="75"/>
      <c r="W212" s="75"/>
      <c r="X212" s="75"/>
      <c r="Y212" s="75"/>
      <c r="Z212" s="75"/>
      <c r="AA212" s="75"/>
      <c r="AB212" s="75"/>
      <c r="AC212" s="75"/>
    </row>
    <row r="213" spans="1:29" ht="24.75" customHeight="1" x14ac:dyDescent="0.2">
      <c r="A213" s="71"/>
      <c r="B213" s="72"/>
      <c r="C213" s="75"/>
      <c r="D213" s="76"/>
      <c r="E213" s="71"/>
      <c r="F213" s="72"/>
      <c r="G213" s="75"/>
      <c r="H213" s="76"/>
      <c r="I213" s="71"/>
      <c r="J213" s="72"/>
      <c r="K213" s="165"/>
      <c r="L213" s="76"/>
      <c r="M213" s="71"/>
      <c r="N213" s="72"/>
      <c r="O213" s="165"/>
      <c r="P213" s="76"/>
      <c r="Q213" s="75"/>
      <c r="R213" s="75"/>
      <c r="S213" s="75"/>
      <c r="T213" s="75"/>
      <c r="U213" s="75"/>
      <c r="V213" s="75"/>
      <c r="W213" s="75"/>
      <c r="X213" s="75"/>
      <c r="Y213" s="75"/>
      <c r="Z213" s="75"/>
      <c r="AA213" s="75"/>
      <c r="AB213" s="75"/>
      <c r="AC213" s="75"/>
    </row>
    <row r="214" spans="1:29" ht="24.75" customHeight="1" x14ac:dyDescent="0.2">
      <c r="A214" s="71"/>
      <c r="B214" s="72"/>
      <c r="C214" s="75"/>
      <c r="D214" s="76"/>
      <c r="E214" s="71"/>
      <c r="F214" s="72"/>
      <c r="G214" s="75"/>
      <c r="H214" s="76"/>
      <c r="I214" s="71"/>
      <c r="J214" s="72"/>
      <c r="K214" s="165"/>
      <c r="L214" s="76"/>
      <c r="M214" s="71"/>
      <c r="N214" s="72"/>
      <c r="O214" s="165"/>
      <c r="P214" s="76"/>
      <c r="Q214" s="75"/>
      <c r="R214" s="75"/>
      <c r="S214" s="75"/>
      <c r="T214" s="75"/>
      <c r="U214" s="75"/>
      <c r="V214" s="75"/>
      <c r="W214" s="75"/>
      <c r="X214" s="75"/>
      <c r="Y214" s="75"/>
      <c r="Z214" s="75"/>
      <c r="AA214" s="75"/>
      <c r="AB214" s="75"/>
      <c r="AC214" s="75"/>
    </row>
    <row r="215" spans="1:29" ht="24.75" customHeight="1" x14ac:dyDescent="0.2">
      <c r="A215" s="71"/>
      <c r="B215" s="72"/>
      <c r="C215" s="75"/>
      <c r="D215" s="76"/>
      <c r="E215" s="71"/>
      <c r="F215" s="72"/>
      <c r="G215" s="75"/>
      <c r="H215" s="76"/>
      <c r="I215" s="71"/>
      <c r="J215" s="72"/>
      <c r="K215" s="165"/>
      <c r="L215" s="76"/>
      <c r="M215" s="71"/>
      <c r="N215" s="72"/>
      <c r="O215" s="165"/>
      <c r="P215" s="76"/>
      <c r="Q215" s="75"/>
      <c r="R215" s="75"/>
      <c r="S215" s="75"/>
      <c r="T215" s="75"/>
      <c r="U215" s="75"/>
      <c r="V215" s="75"/>
      <c r="W215" s="75"/>
      <c r="X215" s="75"/>
      <c r="Y215" s="75"/>
      <c r="Z215" s="75"/>
      <c r="AA215" s="75"/>
      <c r="AB215" s="75"/>
      <c r="AC215" s="75"/>
    </row>
    <row r="216" spans="1:29" ht="24.75" customHeight="1" x14ac:dyDescent="0.2">
      <c r="A216" s="71"/>
      <c r="B216" s="72"/>
      <c r="C216" s="75"/>
      <c r="D216" s="76"/>
      <c r="E216" s="71"/>
      <c r="F216" s="72"/>
      <c r="G216" s="75"/>
      <c r="H216" s="76"/>
      <c r="I216" s="71"/>
      <c r="J216" s="72"/>
      <c r="K216" s="165"/>
      <c r="L216" s="76"/>
      <c r="M216" s="71"/>
      <c r="N216" s="72"/>
      <c r="O216" s="165"/>
      <c r="P216" s="76"/>
      <c r="Q216" s="75"/>
      <c r="R216" s="75"/>
      <c r="S216" s="75"/>
      <c r="T216" s="75"/>
      <c r="U216" s="75"/>
      <c r="V216" s="75"/>
      <c r="W216" s="75"/>
      <c r="X216" s="75"/>
      <c r="Y216" s="75"/>
      <c r="Z216" s="75"/>
      <c r="AA216" s="75"/>
      <c r="AB216" s="75"/>
      <c r="AC216" s="75"/>
    </row>
    <row r="217" spans="1:29" ht="24.75" customHeight="1" x14ac:dyDescent="0.2">
      <c r="A217" s="71"/>
      <c r="B217" s="72"/>
      <c r="C217" s="75"/>
      <c r="D217" s="76"/>
      <c r="E217" s="71"/>
      <c r="F217" s="72"/>
      <c r="G217" s="75"/>
      <c r="H217" s="76"/>
      <c r="I217" s="71"/>
      <c r="J217" s="72"/>
      <c r="K217" s="165"/>
      <c r="L217" s="76"/>
      <c r="M217" s="71"/>
      <c r="N217" s="72"/>
      <c r="O217" s="165"/>
      <c r="P217" s="76"/>
      <c r="Q217" s="75"/>
      <c r="R217" s="75"/>
      <c r="S217" s="75"/>
      <c r="T217" s="75"/>
      <c r="U217" s="75"/>
      <c r="V217" s="75"/>
      <c r="W217" s="75"/>
      <c r="X217" s="75"/>
      <c r="Y217" s="75"/>
      <c r="Z217" s="75"/>
      <c r="AA217" s="75"/>
      <c r="AB217" s="75"/>
      <c r="AC217" s="75"/>
    </row>
    <row r="218" spans="1:29" ht="24.75" customHeight="1" x14ac:dyDescent="0.2">
      <c r="A218" s="71"/>
      <c r="B218" s="72"/>
      <c r="C218" s="75"/>
      <c r="D218" s="76"/>
      <c r="E218" s="71"/>
      <c r="F218" s="72"/>
      <c r="G218" s="75"/>
      <c r="H218" s="76"/>
      <c r="I218" s="71"/>
      <c r="J218" s="72"/>
      <c r="K218" s="165"/>
      <c r="L218" s="76"/>
      <c r="M218" s="71"/>
      <c r="N218" s="72"/>
      <c r="O218" s="165"/>
      <c r="P218" s="76"/>
      <c r="Q218" s="75"/>
      <c r="R218" s="75"/>
      <c r="S218" s="75"/>
      <c r="T218" s="75"/>
      <c r="U218" s="75"/>
      <c r="V218" s="75"/>
      <c r="W218" s="75"/>
      <c r="X218" s="75"/>
      <c r="Y218" s="75"/>
      <c r="Z218" s="75"/>
      <c r="AA218" s="75"/>
      <c r="AB218" s="75"/>
      <c r="AC218" s="75"/>
    </row>
    <row r="219" spans="1:29" ht="24.75" customHeight="1" x14ac:dyDescent="0.2">
      <c r="A219" s="71"/>
      <c r="B219" s="72"/>
      <c r="C219" s="75"/>
      <c r="D219" s="76"/>
      <c r="E219" s="71"/>
      <c r="F219" s="72"/>
      <c r="G219" s="75"/>
      <c r="H219" s="76"/>
      <c r="I219" s="71"/>
      <c r="J219" s="72"/>
      <c r="K219" s="165"/>
      <c r="L219" s="76"/>
      <c r="M219" s="71"/>
      <c r="N219" s="72"/>
      <c r="O219" s="165"/>
      <c r="P219" s="76"/>
      <c r="Q219" s="75"/>
      <c r="R219" s="75"/>
      <c r="S219" s="75"/>
      <c r="T219" s="75"/>
      <c r="U219" s="75"/>
      <c r="V219" s="75"/>
      <c r="W219" s="75"/>
      <c r="X219" s="75"/>
      <c r="Y219" s="75"/>
      <c r="Z219" s="75"/>
      <c r="AA219" s="75"/>
      <c r="AB219" s="75"/>
      <c r="AC219" s="75"/>
    </row>
    <row r="220" spans="1:29" ht="24.75" customHeight="1" x14ac:dyDescent="0.2">
      <c r="A220" s="71"/>
      <c r="B220" s="72"/>
      <c r="C220" s="75"/>
      <c r="D220" s="76"/>
      <c r="E220" s="71"/>
      <c r="F220" s="72"/>
      <c r="G220" s="75"/>
      <c r="H220" s="76"/>
      <c r="I220" s="71"/>
      <c r="J220" s="72"/>
      <c r="K220" s="165"/>
      <c r="L220" s="76"/>
      <c r="M220" s="71"/>
      <c r="N220" s="72"/>
      <c r="O220" s="165"/>
      <c r="P220" s="76"/>
      <c r="Q220" s="75"/>
      <c r="R220" s="75"/>
      <c r="S220" s="75"/>
      <c r="T220" s="75"/>
      <c r="U220" s="75"/>
      <c r="V220" s="75"/>
      <c r="W220" s="75"/>
      <c r="X220" s="75"/>
      <c r="Y220" s="75"/>
      <c r="Z220" s="75"/>
      <c r="AA220" s="75"/>
      <c r="AB220" s="75"/>
      <c r="AC220" s="75"/>
    </row>
    <row r="221" spans="1:29" ht="24.75" customHeight="1" x14ac:dyDescent="0.2">
      <c r="A221" s="71"/>
      <c r="B221" s="72"/>
      <c r="C221" s="75"/>
      <c r="D221" s="76"/>
      <c r="E221" s="71"/>
      <c r="F221" s="72"/>
      <c r="G221" s="75"/>
      <c r="H221" s="76"/>
      <c r="I221" s="71"/>
      <c r="J221" s="72"/>
      <c r="K221" s="165"/>
      <c r="L221" s="76"/>
      <c r="M221" s="71"/>
      <c r="N221" s="72"/>
      <c r="O221" s="165"/>
      <c r="P221" s="76"/>
      <c r="Q221" s="75"/>
      <c r="R221" s="75"/>
      <c r="S221" s="75"/>
      <c r="T221" s="75"/>
      <c r="U221" s="75"/>
      <c r="V221" s="75"/>
      <c r="W221" s="75"/>
      <c r="X221" s="75"/>
      <c r="Y221" s="75"/>
      <c r="Z221" s="75"/>
      <c r="AA221" s="75"/>
      <c r="AB221" s="75"/>
      <c r="AC221" s="75"/>
    </row>
    <row r="222" spans="1:29" ht="24.75" customHeight="1" x14ac:dyDescent="0.2">
      <c r="A222" s="71"/>
      <c r="B222" s="72"/>
      <c r="C222" s="75"/>
      <c r="D222" s="76"/>
      <c r="E222" s="71"/>
      <c r="F222" s="72"/>
      <c r="G222" s="75"/>
      <c r="H222" s="76"/>
      <c r="I222" s="71"/>
      <c r="J222" s="72"/>
      <c r="K222" s="165"/>
      <c r="L222" s="76"/>
      <c r="M222" s="71"/>
      <c r="N222" s="72"/>
      <c r="O222" s="165"/>
      <c r="P222" s="76"/>
      <c r="Q222" s="75"/>
      <c r="R222" s="75"/>
      <c r="S222" s="75"/>
      <c r="T222" s="75"/>
      <c r="U222" s="75"/>
      <c r="V222" s="75"/>
      <c r="W222" s="75"/>
      <c r="X222" s="75"/>
      <c r="Y222" s="75"/>
      <c r="Z222" s="75"/>
      <c r="AA222" s="75"/>
      <c r="AB222" s="75"/>
      <c r="AC222" s="75"/>
    </row>
    <row r="223" spans="1:29" ht="24.75" customHeight="1" x14ac:dyDescent="0.2">
      <c r="A223" s="71"/>
      <c r="B223" s="72"/>
      <c r="C223" s="75"/>
      <c r="D223" s="76"/>
      <c r="E223" s="71"/>
      <c r="F223" s="72"/>
      <c r="G223" s="75"/>
      <c r="H223" s="76"/>
      <c r="I223" s="71"/>
      <c r="J223" s="72"/>
      <c r="K223" s="165"/>
      <c r="L223" s="76"/>
      <c r="M223" s="71"/>
      <c r="N223" s="72"/>
      <c r="O223" s="165"/>
      <c r="P223" s="76"/>
      <c r="Q223" s="75"/>
      <c r="R223" s="75"/>
      <c r="S223" s="75"/>
      <c r="T223" s="75"/>
      <c r="U223" s="75"/>
      <c r="V223" s="75"/>
      <c r="W223" s="75"/>
      <c r="X223" s="75"/>
      <c r="Y223" s="75"/>
      <c r="Z223" s="75"/>
      <c r="AA223" s="75"/>
      <c r="AB223" s="75"/>
      <c r="AC223" s="75"/>
    </row>
    <row r="224" spans="1:29" ht="24.75" customHeight="1" x14ac:dyDescent="0.2">
      <c r="A224" s="71"/>
      <c r="B224" s="72"/>
      <c r="C224" s="75"/>
      <c r="D224" s="76"/>
      <c r="E224" s="71"/>
      <c r="F224" s="72"/>
      <c r="G224" s="75"/>
      <c r="H224" s="76"/>
      <c r="I224" s="71"/>
      <c r="J224" s="72"/>
      <c r="K224" s="165"/>
      <c r="L224" s="76"/>
      <c r="M224" s="71"/>
      <c r="N224" s="72"/>
      <c r="O224" s="165"/>
      <c r="P224" s="76"/>
      <c r="Q224" s="75"/>
      <c r="R224" s="75"/>
      <c r="S224" s="75"/>
      <c r="T224" s="75"/>
      <c r="U224" s="75"/>
      <c r="V224" s="75"/>
      <c r="W224" s="75"/>
      <c r="X224" s="75"/>
      <c r="Y224" s="75"/>
      <c r="Z224" s="75"/>
      <c r="AA224" s="75"/>
      <c r="AB224" s="75"/>
      <c r="AC224" s="75"/>
    </row>
    <row r="225" spans="1:29" ht="24.75" customHeight="1" x14ac:dyDescent="0.2">
      <c r="A225" s="71"/>
      <c r="B225" s="72"/>
      <c r="C225" s="75"/>
      <c r="D225" s="76"/>
      <c r="E225" s="71"/>
      <c r="F225" s="72"/>
      <c r="G225" s="75"/>
      <c r="H225" s="76"/>
      <c r="I225" s="71"/>
      <c r="J225" s="72"/>
      <c r="K225" s="165"/>
      <c r="L225" s="76"/>
      <c r="M225" s="71"/>
      <c r="N225" s="72"/>
      <c r="O225" s="165"/>
      <c r="P225" s="76"/>
      <c r="Q225" s="75"/>
      <c r="R225" s="75"/>
      <c r="S225" s="75"/>
      <c r="T225" s="75"/>
      <c r="U225" s="75"/>
      <c r="V225" s="75"/>
      <c r="W225" s="75"/>
      <c r="X225" s="75"/>
      <c r="Y225" s="75"/>
      <c r="Z225" s="75"/>
      <c r="AA225" s="75"/>
      <c r="AB225" s="75"/>
      <c r="AC225" s="75"/>
    </row>
    <row r="226" spans="1:29" ht="24.75" customHeight="1" x14ac:dyDescent="0.2">
      <c r="A226" s="71"/>
      <c r="B226" s="72"/>
      <c r="C226" s="75"/>
      <c r="D226" s="76"/>
      <c r="E226" s="71"/>
      <c r="F226" s="72"/>
      <c r="G226" s="75"/>
      <c r="H226" s="76"/>
      <c r="I226" s="71"/>
      <c r="J226" s="72"/>
      <c r="K226" s="165"/>
      <c r="L226" s="76"/>
      <c r="M226" s="71"/>
      <c r="N226" s="72"/>
      <c r="O226" s="165"/>
      <c r="P226" s="76"/>
      <c r="Q226" s="75"/>
      <c r="R226" s="75"/>
      <c r="S226" s="75"/>
      <c r="T226" s="75"/>
      <c r="U226" s="75"/>
      <c r="V226" s="75"/>
      <c r="W226" s="75"/>
      <c r="X226" s="75"/>
      <c r="Y226" s="75"/>
      <c r="Z226" s="75"/>
      <c r="AA226" s="75"/>
      <c r="AB226" s="75"/>
      <c r="AC226" s="75"/>
    </row>
    <row r="227" spans="1:29" ht="24.75" customHeight="1" x14ac:dyDescent="0.2">
      <c r="A227" s="71"/>
      <c r="B227" s="72"/>
      <c r="C227" s="75"/>
      <c r="D227" s="76"/>
      <c r="E227" s="71"/>
      <c r="F227" s="72"/>
      <c r="G227" s="75"/>
      <c r="H227" s="76"/>
      <c r="I227" s="71"/>
      <c r="J227" s="72"/>
      <c r="K227" s="165"/>
      <c r="L227" s="76"/>
      <c r="M227" s="71"/>
      <c r="N227" s="72"/>
      <c r="O227" s="165"/>
      <c r="P227" s="76"/>
      <c r="Q227" s="75"/>
      <c r="R227" s="75"/>
      <c r="S227" s="75"/>
      <c r="T227" s="75"/>
      <c r="U227" s="75"/>
      <c r="V227" s="75"/>
      <c r="W227" s="75"/>
      <c r="X227" s="75"/>
      <c r="Y227" s="75"/>
      <c r="Z227" s="75"/>
      <c r="AA227" s="75"/>
      <c r="AB227" s="75"/>
      <c r="AC227" s="75"/>
    </row>
    <row r="228" spans="1:29" ht="24.75" customHeight="1" x14ac:dyDescent="0.2">
      <c r="A228" s="71"/>
      <c r="B228" s="72"/>
      <c r="C228" s="75"/>
      <c r="D228" s="76"/>
      <c r="E228" s="71"/>
      <c r="F228" s="72"/>
      <c r="G228" s="75"/>
      <c r="H228" s="76"/>
      <c r="I228" s="71"/>
      <c r="J228" s="72"/>
      <c r="K228" s="165"/>
      <c r="L228" s="76"/>
      <c r="M228" s="71"/>
      <c r="N228" s="72"/>
      <c r="O228" s="165"/>
      <c r="P228" s="76"/>
      <c r="Q228" s="75"/>
      <c r="R228" s="75"/>
      <c r="S228" s="75"/>
      <c r="T228" s="75"/>
      <c r="U228" s="75"/>
      <c r="V228" s="75"/>
      <c r="W228" s="75"/>
      <c r="X228" s="75"/>
      <c r="Y228" s="75"/>
      <c r="Z228" s="75"/>
      <c r="AA228" s="75"/>
      <c r="AB228" s="75"/>
      <c r="AC228" s="75"/>
    </row>
    <row r="229" spans="1:29" ht="24.75" customHeight="1" x14ac:dyDescent="0.2">
      <c r="A229" s="71"/>
      <c r="B229" s="72"/>
      <c r="C229" s="75"/>
      <c r="D229" s="76"/>
      <c r="E229" s="71"/>
      <c r="F229" s="72"/>
      <c r="G229" s="75"/>
      <c r="H229" s="76"/>
      <c r="I229" s="71"/>
      <c r="J229" s="72"/>
      <c r="K229" s="165"/>
      <c r="L229" s="76"/>
      <c r="M229" s="71"/>
      <c r="N229" s="72"/>
      <c r="O229" s="165"/>
      <c r="P229" s="76"/>
      <c r="Q229" s="75"/>
      <c r="R229" s="75"/>
      <c r="S229" s="75"/>
      <c r="T229" s="75"/>
      <c r="U229" s="75"/>
      <c r="V229" s="75"/>
      <c r="W229" s="75"/>
      <c r="X229" s="75"/>
      <c r="Y229" s="75"/>
      <c r="Z229" s="75"/>
      <c r="AA229" s="75"/>
      <c r="AB229" s="75"/>
      <c r="AC229" s="75"/>
    </row>
    <row r="230" spans="1:29" ht="24.75" customHeight="1" x14ac:dyDescent="0.2">
      <c r="A230" s="71"/>
      <c r="B230" s="72"/>
      <c r="C230" s="75"/>
      <c r="D230" s="76"/>
      <c r="E230" s="71"/>
      <c r="F230" s="72"/>
      <c r="G230" s="75"/>
      <c r="H230" s="76"/>
      <c r="I230" s="71"/>
      <c r="J230" s="72"/>
      <c r="K230" s="165"/>
      <c r="L230" s="76"/>
      <c r="M230" s="71"/>
      <c r="N230" s="72"/>
      <c r="O230" s="165"/>
      <c r="P230" s="76"/>
      <c r="Q230" s="75"/>
      <c r="R230" s="75"/>
      <c r="S230" s="75"/>
      <c r="T230" s="75"/>
      <c r="U230" s="75"/>
      <c r="V230" s="75"/>
      <c r="W230" s="75"/>
      <c r="X230" s="75"/>
      <c r="Y230" s="75"/>
      <c r="Z230" s="75"/>
      <c r="AA230" s="75"/>
      <c r="AB230" s="75"/>
      <c r="AC230" s="75"/>
    </row>
    <row r="231" spans="1:29" ht="24.75" customHeight="1" x14ac:dyDescent="0.2">
      <c r="A231" s="71"/>
      <c r="B231" s="72"/>
      <c r="C231" s="75"/>
      <c r="D231" s="76"/>
      <c r="E231" s="71"/>
      <c r="F231" s="72"/>
      <c r="G231" s="75"/>
      <c r="H231" s="76"/>
      <c r="I231" s="71"/>
      <c r="J231" s="72"/>
      <c r="K231" s="165"/>
      <c r="L231" s="76"/>
      <c r="M231" s="71"/>
      <c r="N231" s="72"/>
      <c r="O231" s="165"/>
      <c r="P231" s="76"/>
      <c r="Q231" s="75"/>
      <c r="R231" s="75"/>
      <c r="S231" s="75"/>
      <c r="T231" s="75"/>
      <c r="U231" s="75"/>
      <c r="V231" s="75"/>
      <c r="W231" s="75"/>
      <c r="X231" s="75"/>
      <c r="Y231" s="75"/>
      <c r="Z231" s="75"/>
      <c r="AA231" s="75"/>
      <c r="AB231" s="75"/>
      <c r="AC231" s="75"/>
    </row>
    <row r="232" spans="1:29" ht="24.75" customHeight="1" x14ac:dyDescent="0.2">
      <c r="A232" s="71"/>
      <c r="B232" s="72"/>
      <c r="C232" s="75"/>
      <c r="D232" s="76"/>
      <c r="E232" s="71"/>
      <c r="F232" s="72"/>
      <c r="G232" s="75"/>
      <c r="H232" s="76"/>
      <c r="I232" s="71"/>
      <c r="J232" s="72"/>
      <c r="K232" s="165"/>
      <c r="L232" s="76"/>
      <c r="M232" s="71"/>
      <c r="N232" s="72"/>
      <c r="O232" s="165"/>
      <c r="P232" s="76"/>
      <c r="Q232" s="75"/>
      <c r="R232" s="75"/>
      <c r="S232" s="75"/>
      <c r="T232" s="75"/>
      <c r="U232" s="75"/>
      <c r="V232" s="75"/>
      <c r="W232" s="75"/>
      <c r="X232" s="75"/>
      <c r="Y232" s="75"/>
      <c r="Z232" s="75"/>
      <c r="AA232" s="75"/>
      <c r="AB232" s="75"/>
      <c r="AC232" s="75"/>
    </row>
    <row r="233" spans="1:29" ht="24.75" customHeight="1" x14ac:dyDescent="0.2">
      <c r="A233" s="71"/>
      <c r="B233" s="72"/>
      <c r="C233" s="75"/>
      <c r="D233" s="76"/>
      <c r="E233" s="71"/>
      <c r="F233" s="72"/>
      <c r="G233" s="75"/>
      <c r="H233" s="76"/>
      <c r="I233" s="71"/>
      <c r="J233" s="72"/>
      <c r="K233" s="165"/>
      <c r="L233" s="76"/>
      <c r="M233" s="71"/>
      <c r="N233" s="72"/>
      <c r="O233" s="165"/>
      <c r="P233" s="76"/>
      <c r="Q233" s="75"/>
      <c r="R233" s="75"/>
      <c r="S233" s="75"/>
      <c r="T233" s="75"/>
      <c r="U233" s="75"/>
      <c r="V233" s="75"/>
      <c r="W233" s="75"/>
      <c r="X233" s="75"/>
      <c r="Y233" s="75"/>
      <c r="Z233" s="75"/>
      <c r="AA233" s="75"/>
      <c r="AB233" s="75"/>
      <c r="AC233" s="75"/>
    </row>
    <row r="234" spans="1:29" ht="24.75" customHeight="1" x14ac:dyDescent="0.2">
      <c r="A234" s="71"/>
      <c r="B234" s="72"/>
      <c r="C234" s="75"/>
      <c r="D234" s="76"/>
      <c r="E234" s="71"/>
      <c r="F234" s="72"/>
      <c r="G234" s="75"/>
      <c r="H234" s="76"/>
      <c r="I234" s="71"/>
      <c r="J234" s="72"/>
      <c r="K234" s="165"/>
      <c r="L234" s="76"/>
      <c r="M234" s="71"/>
      <c r="N234" s="72"/>
      <c r="O234" s="165"/>
      <c r="P234" s="76"/>
      <c r="Q234" s="75"/>
      <c r="R234" s="75"/>
      <c r="S234" s="75"/>
      <c r="T234" s="75"/>
      <c r="U234" s="75"/>
      <c r="V234" s="75"/>
      <c r="W234" s="75"/>
      <c r="X234" s="75"/>
      <c r="Y234" s="75"/>
      <c r="Z234" s="75"/>
      <c r="AA234" s="75"/>
      <c r="AB234" s="75"/>
      <c r="AC234" s="75"/>
    </row>
    <row r="235" spans="1:29" ht="24.75" customHeight="1" x14ac:dyDescent="0.2">
      <c r="A235" s="71"/>
      <c r="B235" s="72"/>
      <c r="C235" s="75"/>
      <c r="D235" s="76"/>
      <c r="E235" s="71"/>
      <c r="F235" s="72"/>
      <c r="G235" s="75"/>
      <c r="H235" s="76"/>
      <c r="I235" s="71"/>
      <c r="J235" s="72"/>
      <c r="K235" s="165"/>
      <c r="L235" s="76"/>
      <c r="M235" s="71"/>
      <c r="N235" s="72"/>
      <c r="O235" s="165"/>
      <c r="P235" s="76"/>
      <c r="Q235" s="75"/>
      <c r="R235" s="75"/>
      <c r="S235" s="75"/>
      <c r="T235" s="75"/>
      <c r="U235" s="75"/>
      <c r="V235" s="75"/>
      <c r="W235" s="75"/>
      <c r="X235" s="75"/>
      <c r="Y235" s="75"/>
      <c r="Z235" s="75"/>
      <c r="AA235" s="75"/>
      <c r="AB235" s="75"/>
      <c r="AC235" s="75"/>
    </row>
    <row r="236" spans="1:29" ht="24.75" customHeight="1" x14ac:dyDescent="0.2">
      <c r="A236" s="71"/>
      <c r="B236" s="72"/>
      <c r="C236" s="75"/>
      <c r="D236" s="76"/>
      <c r="E236" s="71"/>
      <c r="F236" s="72"/>
      <c r="G236" s="75"/>
      <c r="H236" s="76"/>
      <c r="I236" s="71"/>
      <c r="J236" s="72"/>
      <c r="K236" s="165"/>
      <c r="L236" s="76"/>
      <c r="M236" s="71"/>
      <c r="N236" s="72"/>
      <c r="O236" s="165"/>
      <c r="P236" s="76"/>
      <c r="Q236" s="75"/>
      <c r="R236" s="75"/>
      <c r="S236" s="75"/>
      <c r="T236" s="75"/>
      <c r="U236" s="75"/>
      <c r="V236" s="75"/>
      <c r="W236" s="75"/>
      <c r="X236" s="75"/>
      <c r="Y236" s="75"/>
      <c r="Z236" s="75"/>
      <c r="AA236" s="75"/>
      <c r="AB236" s="75"/>
      <c r="AC236" s="75"/>
    </row>
    <row r="237" spans="1:29" ht="24.75" customHeight="1" x14ac:dyDescent="0.2">
      <c r="A237" s="71"/>
      <c r="B237" s="72"/>
      <c r="C237" s="75"/>
      <c r="D237" s="76"/>
      <c r="E237" s="71"/>
      <c r="F237" s="72"/>
      <c r="G237" s="75"/>
      <c r="H237" s="76"/>
      <c r="I237" s="71"/>
      <c r="J237" s="72"/>
      <c r="K237" s="165"/>
      <c r="L237" s="76"/>
      <c r="M237" s="71"/>
      <c r="N237" s="72"/>
      <c r="O237" s="165"/>
      <c r="P237" s="76"/>
      <c r="Q237" s="75"/>
      <c r="R237" s="75"/>
      <c r="S237" s="75"/>
      <c r="T237" s="75"/>
      <c r="U237" s="75"/>
      <c r="V237" s="75"/>
      <c r="W237" s="75"/>
      <c r="X237" s="75"/>
      <c r="Y237" s="75"/>
      <c r="Z237" s="75"/>
      <c r="AA237" s="75"/>
      <c r="AB237" s="75"/>
      <c r="AC237" s="75"/>
    </row>
    <row r="238" spans="1:29" ht="24.75" customHeight="1" x14ac:dyDescent="0.2">
      <c r="A238" s="71"/>
      <c r="B238" s="72"/>
      <c r="C238" s="75"/>
      <c r="D238" s="76"/>
      <c r="E238" s="71"/>
      <c r="F238" s="72"/>
      <c r="G238" s="75"/>
      <c r="H238" s="76"/>
      <c r="I238" s="71"/>
      <c r="J238" s="72"/>
      <c r="K238" s="165"/>
      <c r="L238" s="76"/>
      <c r="M238" s="71"/>
      <c r="N238" s="72"/>
      <c r="O238" s="165"/>
      <c r="P238" s="76"/>
      <c r="Q238" s="75"/>
      <c r="R238" s="75"/>
      <c r="S238" s="75"/>
      <c r="T238" s="75"/>
      <c r="U238" s="75"/>
      <c r="V238" s="75"/>
      <c r="W238" s="75"/>
      <c r="X238" s="75"/>
      <c r="Y238" s="75"/>
      <c r="Z238" s="75"/>
      <c r="AA238" s="75"/>
      <c r="AB238" s="75"/>
      <c r="AC238" s="75"/>
    </row>
    <row r="239" spans="1:29" ht="24.75" customHeight="1" x14ac:dyDescent="0.2">
      <c r="A239" s="71"/>
      <c r="B239" s="72"/>
      <c r="C239" s="75"/>
      <c r="D239" s="76"/>
      <c r="E239" s="71"/>
      <c r="F239" s="72"/>
      <c r="G239" s="75"/>
      <c r="H239" s="76"/>
      <c r="I239" s="71"/>
      <c r="J239" s="72"/>
      <c r="K239" s="165"/>
      <c r="L239" s="76"/>
      <c r="M239" s="71"/>
      <c r="N239" s="72"/>
      <c r="O239" s="165"/>
      <c r="P239" s="76"/>
      <c r="Q239" s="75"/>
      <c r="R239" s="75"/>
      <c r="S239" s="75"/>
      <c r="T239" s="75"/>
      <c r="U239" s="75"/>
      <c r="V239" s="75"/>
      <c r="W239" s="75"/>
      <c r="X239" s="75"/>
      <c r="Y239" s="75"/>
      <c r="Z239" s="75"/>
      <c r="AA239" s="75"/>
      <c r="AB239" s="75"/>
      <c r="AC239" s="75"/>
    </row>
    <row r="240" spans="1:29"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sheetData>
  <mergeCells count="10">
    <mergeCell ref="O39:P39"/>
    <mergeCell ref="A34:B34"/>
    <mergeCell ref="C34:D34"/>
    <mergeCell ref="A39:B39"/>
    <mergeCell ref="C39:D39"/>
    <mergeCell ref="E39:F39"/>
    <mergeCell ref="G39:H39"/>
    <mergeCell ref="M39:N39"/>
    <mergeCell ref="I39:J39"/>
    <mergeCell ref="K39:L39"/>
  </mergeCells>
  <phoneticPr fontId="30" type="noConversion"/>
  <pageMargins left="0.39370078740157483" right="0.39370078740157483" top="0.98425196850393704" bottom="0.78740157480314965" header="0" footer="0"/>
  <pageSetup paperSize="8" fitToHeight="0" orientation="landscape" r:id="rId1"/>
  <headerFooter>
    <oddFooter>&amp;CBEP - &amp;P</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J955"/>
  <sheetViews>
    <sheetView showGridLines="0" tabSelected="1" zoomScale="90" zoomScaleNormal="90" zoomScaleSheetLayoutView="70" workbookViewId="0">
      <pane xSplit="1" ySplit="11" topLeftCell="B12" activePane="bottomRight" state="frozen"/>
      <selection pane="topRight" activeCell="B1" sqref="B1"/>
      <selection pane="bottomLeft" activeCell="A12" sqref="A12"/>
      <selection pane="bottomRight" activeCell="V84" sqref="V84"/>
    </sheetView>
  </sheetViews>
  <sheetFormatPr defaultColWidth="12.5703125" defaultRowHeight="12.75" x14ac:dyDescent="0.2"/>
  <cols>
    <col min="1" max="1" width="3" style="170" customWidth="1"/>
    <col min="2" max="2" width="23.140625" style="171" customWidth="1"/>
    <col min="3" max="3" width="21" style="170" bestFit="1" customWidth="1"/>
    <col min="4" max="4" width="49.5703125" style="170" bestFit="1" customWidth="1"/>
    <col min="5" max="5" width="11.5703125" style="170" customWidth="1"/>
    <col min="6" max="6" width="10" style="170" customWidth="1"/>
    <col min="7" max="7" width="22.42578125" style="170" bestFit="1" customWidth="1"/>
    <col min="8" max="8" width="13.42578125" style="170" bestFit="1" customWidth="1"/>
    <col min="9" max="9" width="7.42578125" style="170" customWidth="1"/>
    <col min="10" max="10" width="10" style="170" bestFit="1" customWidth="1"/>
    <col min="11" max="11" width="10.42578125" style="170" bestFit="1" customWidth="1"/>
    <col min="12" max="12" width="14.42578125" style="170" bestFit="1" customWidth="1"/>
    <col min="13" max="13" width="7" style="174" bestFit="1" customWidth="1"/>
    <col min="14" max="14" width="12.140625" style="170" bestFit="1" customWidth="1"/>
    <col min="15" max="15" width="13.28515625" style="174" bestFit="1" customWidth="1"/>
    <col min="16" max="17" width="6.28515625" style="170" customWidth="1"/>
    <col min="18" max="18" width="50.5703125" style="170" bestFit="1" customWidth="1"/>
    <col min="19" max="19" width="22.5703125" style="170" hidden="1" customWidth="1"/>
    <col min="20" max="20" width="58.5703125" style="171" hidden="1" customWidth="1"/>
    <col min="21" max="21" width="14.140625" style="170" bestFit="1" customWidth="1"/>
    <col min="22" max="23" width="19.140625" style="174" customWidth="1"/>
    <col min="24" max="24" width="22.5703125" style="174" customWidth="1"/>
    <col min="25" max="25" width="18.28515625" style="174" customWidth="1"/>
    <col min="26" max="26" width="19.7109375" style="216" hidden="1" customWidth="1"/>
    <col min="27" max="27" width="8.5703125" style="170" customWidth="1"/>
    <col min="28" max="28" width="15.140625" style="170" customWidth="1"/>
    <col min="29" max="29" width="8.7109375" style="170" customWidth="1"/>
    <col min="30" max="30" width="10.28515625" style="170" customWidth="1"/>
    <col min="31" max="31" width="15.42578125" style="170" customWidth="1"/>
    <col min="32" max="32" width="9.42578125" style="170" customWidth="1"/>
    <col min="33" max="16384" width="12.5703125" style="170"/>
  </cols>
  <sheetData>
    <row r="1" spans="1:36" ht="17.45" customHeight="1" x14ac:dyDescent="0.2">
      <c r="D1" s="171"/>
      <c r="G1" s="172"/>
      <c r="H1" s="173"/>
      <c r="J1" s="172"/>
      <c r="P1" s="174"/>
      <c r="Q1" s="174"/>
      <c r="R1" s="173"/>
      <c r="S1" s="182"/>
      <c r="T1" s="226"/>
      <c r="U1" s="175"/>
      <c r="V1" s="235"/>
      <c r="W1" s="235"/>
      <c r="X1" s="235"/>
      <c r="Y1" s="235"/>
      <c r="Z1" s="176"/>
      <c r="AA1" s="175"/>
      <c r="AB1" s="175"/>
      <c r="AC1" s="175"/>
      <c r="AD1" s="172"/>
      <c r="AE1" s="175"/>
      <c r="AF1" s="175"/>
    </row>
    <row r="2" spans="1:36" ht="28.5" customHeight="1" x14ac:dyDescent="0.2">
      <c r="B2" s="277" t="s">
        <v>0</v>
      </c>
      <c r="C2" s="277"/>
      <c r="D2" s="277"/>
      <c r="E2" s="277"/>
      <c r="F2" s="277"/>
      <c r="G2" s="277"/>
      <c r="H2" s="277"/>
      <c r="I2" s="277"/>
      <c r="J2" s="277"/>
      <c r="K2" s="277"/>
      <c r="L2" s="277"/>
      <c r="M2" s="277"/>
      <c r="N2" s="277"/>
      <c r="O2" s="277"/>
      <c r="P2" s="277"/>
      <c r="Q2" s="277"/>
      <c r="R2" s="277"/>
      <c r="S2" s="277"/>
      <c r="T2" s="277"/>
      <c r="U2" s="277"/>
      <c r="V2" s="277"/>
      <c r="W2" s="277"/>
      <c r="X2" s="277"/>
      <c r="Y2" s="277"/>
      <c r="Z2" s="277"/>
    </row>
    <row r="3" spans="1:36" ht="13.5" thickBot="1" x14ac:dyDescent="0.25">
      <c r="D3" s="171"/>
      <c r="G3" s="172"/>
      <c r="H3" s="173"/>
      <c r="J3" s="172"/>
      <c r="P3" s="174"/>
      <c r="Q3" s="174"/>
      <c r="R3" s="173"/>
      <c r="S3" s="182"/>
      <c r="T3" s="226"/>
      <c r="U3" s="175"/>
      <c r="V3" s="235"/>
      <c r="W3" s="235"/>
      <c r="X3" s="235"/>
      <c r="Y3" s="235"/>
      <c r="Z3" s="176"/>
      <c r="AA3" s="175"/>
      <c r="AB3" s="175"/>
      <c r="AC3" s="175"/>
      <c r="AD3" s="172"/>
      <c r="AE3" s="175"/>
      <c r="AF3" s="175"/>
    </row>
    <row r="4" spans="1:36" x14ac:dyDescent="0.2">
      <c r="B4" s="177" t="s">
        <v>51</v>
      </c>
      <c r="C4" s="286" t="str">
        <f>+Naming!A4</f>
        <v>NO-11</v>
      </c>
      <c r="D4" s="287"/>
      <c r="E4" s="288"/>
      <c r="F4" s="218"/>
      <c r="G4" s="172"/>
      <c r="H4" s="173"/>
      <c r="J4" s="172"/>
      <c r="P4" s="174"/>
      <c r="Q4" s="174"/>
      <c r="R4" s="173"/>
      <c r="S4" s="182"/>
      <c r="T4" s="226"/>
      <c r="U4" s="175"/>
      <c r="V4" s="235"/>
      <c r="W4" s="235"/>
      <c r="X4" s="235"/>
      <c r="Y4" s="235"/>
      <c r="Z4" s="176"/>
      <c r="AA4" s="175"/>
      <c r="AB4" s="175"/>
      <c r="AC4" s="175"/>
      <c r="AD4" s="172"/>
      <c r="AE4" s="175"/>
      <c r="AF4" s="175"/>
    </row>
    <row r="5" spans="1:36" x14ac:dyDescent="0.2">
      <c r="B5" s="178" t="s">
        <v>52</v>
      </c>
      <c r="C5" s="289" t="str">
        <f>+Naming!B4</f>
        <v>NHÀ Ở CHUNG CƯ CAO TẦNG TẠI Ô ĐẤT KÝ HIỆU NO-11</v>
      </c>
      <c r="D5" s="265"/>
      <c r="E5" s="266"/>
      <c r="F5" s="218"/>
      <c r="G5" s="172"/>
      <c r="H5" s="173"/>
      <c r="J5" s="172"/>
      <c r="P5" s="174"/>
      <c r="Q5" s="174"/>
      <c r="R5" s="173"/>
      <c r="S5" s="182"/>
      <c r="T5" s="226"/>
      <c r="U5" s="175"/>
      <c r="V5" s="235"/>
      <c r="W5" s="235"/>
      <c r="X5" s="235"/>
      <c r="Y5" s="235"/>
      <c r="Z5" s="176"/>
      <c r="AA5" s="175"/>
      <c r="AB5" s="175"/>
      <c r="AC5" s="175"/>
      <c r="AD5" s="172"/>
      <c r="AE5" s="175"/>
      <c r="AF5" s="175"/>
    </row>
    <row r="6" spans="1:36" x14ac:dyDescent="0.2">
      <c r="B6" s="178" t="s">
        <v>54</v>
      </c>
      <c r="C6" s="264" t="s">
        <v>799</v>
      </c>
      <c r="D6" s="290"/>
      <c r="E6" s="291"/>
      <c r="F6" s="218"/>
      <c r="G6" s="172"/>
      <c r="H6" s="173"/>
      <c r="J6" s="172"/>
      <c r="P6" s="174"/>
      <c r="Q6" s="174"/>
      <c r="R6" s="173"/>
      <c r="S6" s="182"/>
      <c r="T6" s="226"/>
      <c r="U6" s="175"/>
      <c r="V6" s="235"/>
      <c r="W6" s="235"/>
      <c r="X6" s="235"/>
      <c r="Y6" s="235"/>
      <c r="Z6" s="176"/>
      <c r="AA6" s="175"/>
      <c r="AB6" s="180"/>
      <c r="AC6" s="180"/>
      <c r="AD6" s="179"/>
      <c r="AE6" s="180"/>
      <c r="AF6" s="180"/>
      <c r="AG6" s="182"/>
      <c r="AH6" s="182"/>
      <c r="AI6" s="182"/>
      <c r="AJ6" s="182"/>
    </row>
    <row r="7" spans="1:36" x14ac:dyDescent="0.2">
      <c r="B7" s="178" t="s">
        <v>55</v>
      </c>
      <c r="C7" s="264" t="s">
        <v>800</v>
      </c>
      <c r="D7" s="265"/>
      <c r="E7" s="266"/>
      <c r="F7" s="218"/>
      <c r="G7" s="172"/>
      <c r="H7" s="173"/>
      <c r="J7" s="172"/>
      <c r="P7" s="174"/>
      <c r="Q7" s="174"/>
      <c r="R7" s="173"/>
      <c r="S7" s="182"/>
      <c r="T7" s="226"/>
      <c r="U7" s="175"/>
      <c r="V7" s="235"/>
      <c r="W7" s="235"/>
      <c r="X7" s="235"/>
      <c r="Y7" s="235"/>
      <c r="Z7" s="176"/>
      <c r="AA7" s="175"/>
      <c r="AB7" s="180"/>
      <c r="AC7" s="180"/>
      <c r="AD7" s="179"/>
      <c r="AE7" s="180"/>
      <c r="AF7" s="180"/>
      <c r="AG7" s="182"/>
      <c r="AH7" s="182"/>
      <c r="AI7" s="182"/>
      <c r="AJ7" s="182"/>
    </row>
    <row r="8" spans="1:36" ht="13.5" thickBot="1" x14ac:dyDescent="0.25">
      <c r="B8" s="181" t="s">
        <v>1</v>
      </c>
      <c r="C8" s="267" t="s">
        <v>794</v>
      </c>
      <c r="D8" s="268"/>
      <c r="E8" s="269"/>
      <c r="F8" s="218"/>
      <c r="G8" s="172"/>
      <c r="U8" s="175"/>
      <c r="V8" s="235"/>
      <c r="W8" s="235"/>
      <c r="X8" s="235"/>
      <c r="Y8" s="235"/>
      <c r="Z8" s="176"/>
      <c r="AA8" s="175"/>
      <c r="AB8" s="218"/>
      <c r="AC8" s="218"/>
      <c r="AD8" s="218"/>
      <c r="AE8" s="218"/>
      <c r="AF8" s="218"/>
      <c r="AG8" s="218"/>
      <c r="AH8" s="218"/>
      <c r="AI8" s="182"/>
      <c r="AJ8" s="182"/>
    </row>
    <row r="9" spans="1:36" ht="15" customHeight="1" x14ac:dyDescent="0.2">
      <c r="B9" s="219"/>
      <c r="C9" s="220"/>
      <c r="D9" s="219"/>
      <c r="E9" s="220"/>
      <c r="F9" s="220"/>
      <c r="G9" s="221"/>
      <c r="H9" s="220"/>
      <c r="I9" s="220"/>
      <c r="J9" s="220"/>
      <c r="K9" s="220"/>
      <c r="L9" s="220"/>
      <c r="M9" s="222"/>
      <c r="N9" s="220"/>
      <c r="O9" s="222"/>
      <c r="P9" s="220"/>
      <c r="Q9" s="220"/>
      <c r="R9" s="224"/>
      <c r="S9" s="225"/>
      <c r="T9" s="227"/>
      <c r="U9" s="272" t="s">
        <v>685</v>
      </c>
      <c r="V9" s="272"/>
      <c r="W9" s="272"/>
      <c r="X9" s="272"/>
      <c r="Y9" s="272"/>
      <c r="Z9" s="272"/>
      <c r="AB9" s="279"/>
      <c r="AC9" s="279"/>
      <c r="AD9" s="278"/>
      <c r="AE9" s="279"/>
      <c r="AF9" s="279"/>
      <c r="AG9" s="182"/>
      <c r="AH9" s="182"/>
      <c r="AI9" s="182"/>
      <c r="AJ9" s="182"/>
    </row>
    <row r="10" spans="1:36" ht="22.5" customHeight="1" x14ac:dyDescent="0.2">
      <c r="B10" s="274" t="s">
        <v>671</v>
      </c>
      <c r="C10" s="272" t="s">
        <v>63</v>
      </c>
      <c r="D10" s="274" t="s">
        <v>64</v>
      </c>
      <c r="E10" s="272" t="s">
        <v>688</v>
      </c>
      <c r="F10" s="272" t="s">
        <v>528</v>
      </c>
      <c r="G10" s="272" t="s">
        <v>66</v>
      </c>
      <c r="H10" s="272" t="s">
        <v>67</v>
      </c>
      <c r="I10" s="272" t="s">
        <v>662</v>
      </c>
      <c r="J10" s="272" t="s">
        <v>63</v>
      </c>
      <c r="K10" s="272" t="s">
        <v>663</v>
      </c>
      <c r="L10" s="272" t="s">
        <v>618</v>
      </c>
      <c r="M10" s="270" t="s">
        <v>664</v>
      </c>
      <c r="N10" s="272" t="s">
        <v>71</v>
      </c>
      <c r="O10" s="270" t="s">
        <v>73</v>
      </c>
      <c r="P10" s="270" t="s">
        <v>665</v>
      </c>
      <c r="Q10" s="270" t="s">
        <v>666</v>
      </c>
      <c r="R10" s="272" t="s">
        <v>687</v>
      </c>
      <c r="S10" s="275" t="s">
        <v>692</v>
      </c>
      <c r="T10" s="275" t="s">
        <v>693</v>
      </c>
      <c r="U10" s="272" t="s">
        <v>686</v>
      </c>
      <c r="V10" s="270" t="s">
        <v>708</v>
      </c>
      <c r="W10" s="262" t="s">
        <v>821</v>
      </c>
      <c r="X10" s="262" t="s">
        <v>822</v>
      </c>
      <c r="Y10" s="270" t="s">
        <v>1</v>
      </c>
      <c r="Z10" s="282" t="s">
        <v>689</v>
      </c>
      <c r="AA10" s="284"/>
      <c r="AB10" s="280"/>
      <c r="AC10" s="281"/>
      <c r="AD10" s="280"/>
      <c r="AE10" s="280"/>
      <c r="AF10" s="281"/>
      <c r="AG10" s="182"/>
      <c r="AH10" s="182"/>
      <c r="AI10" s="182"/>
      <c r="AJ10" s="182"/>
    </row>
    <row r="11" spans="1:36" ht="22.5" customHeight="1" x14ac:dyDescent="0.2">
      <c r="B11" s="294"/>
      <c r="C11" s="273"/>
      <c r="D11" s="273"/>
      <c r="E11" s="273"/>
      <c r="F11" s="273"/>
      <c r="G11" s="273"/>
      <c r="H11" s="273"/>
      <c r="I11" s="273"/>
      <c r="J11" s="273"/>
      <c r="K11" s="273"/>
      <c r="L11" s="273"/>
      <c r="M11" s="270"/>
      <c r="N11" s="273"/>
      <c r="O11" s="271"/>
      <c r="P11" s="270"/>
      <c r="Q11" s="270"/>
      <c r="R11" s="273"/>
      <c r="S11" s="276"/>
      <c r="T11" s="276"/>
      <c r="U11" s="272"/>
      <c r="V11" s="271"/>
      <c r="W11" s="263"/>
      <c r="X11" s="263"/>
      <c r="Y11" s="271"/>
      <c r="Z11" s="283"/>
      <c r="AA11" s="285"/>
      <c r="AB11" s="279"/>
      <c r="AC11" s="279"/>
      <c r="AD11" s="279"/>
      <c r="AE11" s="279"/>
      <c r="AF11" s="279"/>
      <c r="AG11" s="182"/>
      <c r="AH11" s="182"/>
      <c r="AI11" s="182"/>
      <c r="AJ11" s="182"/>
    </row>
    <row r="12" spans="1:36" ht="20.100000000000001" customHeight="1" x14ac:dyDescent="0.2">
      <c r="A12" s="172"/>
      <c r="B12" s="183" t="s">
        <v>77</v>
      </c>
      <c r="C12" s="184"/>
      <c r="D12" s="185"/>
      <c r="E12" s="186"/>
      <c r="F12" s="186"/>
      <c r="G12" s="186"/>
      <c r="H12" s="186"/>
      <c r="I12" s="186"/>
      <c r="J12" s="186"/>
      <c r="K12" s="186"/>
      <c r="L12" s="186"/>
      <c r="M12" s="187"/>
      <c r="N12" s="186"/>
      <c r="O12" s="187"/>
      <c r="P12" s="187"/>
      <c r="Q12" s="187"/>
      <c r="R12" s="186"/>
      <c r="S12" s="186"/>
      <c r="T12" s="185"/>
      <c r="U12" s="186"/>
      <c r="V12" s="187"/>
      <c r="W12" s="187"/>
      <c r="X12" s="187"/>
      <c r="Y12" s="236"/>
      <c r="Z12" s="188"/>
      <c r="AA12" s="172"/>
      <c r="AB12" s="172"/>
      <c r="AC12" s="172"/>
      <c r="AD12" s="172"/>
      <c r="AE12" s="172"/>
      <c r="AF12" s="172"/>
    </row>
    <row r="13" spans="1:36" ht="20.100000000000001" customHeight="1" x14ac:dyDescent="0.2">
      <c r="A13" s="172"/>
      <c r="B13" s="292" t="s">
        <v>494</v>
      </c>
      <c r="C13" s="189"/>
      <c r="D13" s="189" t="s">
        <v>399</v>
      </c>
      <c r="E13" s="190" t="s">
        <v>39</v>
      </c>
      <c r="F13" s="190"/>
      <c r="G13" s="190" t="s">
        <v>89</v>
      </c>
      <c r="H13" s="191" t="s">
        <v>709</v>
      </c>
      <c r="I13" s="190" t="s">
        <v>713</v>
      </c>
      <c r="J13" s="192" t="s">
        <v>627</v>
      </c>
      <c r="K13" s="192" t="s">
        <v>14</v>
      </c>
      <c r="L13" s="192" t="s">
        <v>631</v>
      </c>
      <c r="M13" s="193" t="s">
        <v>14</v>
      </c>
      <c r="N13" s="192" t="s">
        <v>38</v>
      </c>
      <c r="O13" s="193" t="s">
        <v>13</v>
      </c>
      <c r="P13" s="194"/>
      <c r="Q13" s="194"/>
      <c r="R13" s="190" t="str">
        <f>IF(H13="","_",CONCATENATE(H13,"_",I13,"_",J13,"_",K13,"_",L13,"_",M13,"_",N13,"_",O13))</f>
        <v>NO-11_PAY_XXXX_XX_XXX_XX_RP_0001</v>
      </c>
      <c r="S13" s="190"/>
      <c r="T13" s="223"/>
      <c r="U13" s="190" t="s">
        <v>713</v>
      </c>
      <c r="V13" s="194"/>
      <c r="W13" s="194"/>
      <c r="X13" s="194"/>
      <c r="Y13" s="194"/>
      <c r="Z13" s="195"/>
      <c r="AA13" s="172"/>
      <c r="AB13" s="172"/>
      <c r="AC13" s="172"/>
      <c r="AD13" s="172"/>
      <c r="AE13" s="172"/>
      <c r="AF13" s="172"/>
    </row>
    <row r="14" spans="1:36" ht="20.100000000000001" customHeight="1" x14ac:dyDescent="0.2">
      <c r="A14" s="172"/>
      <c r="B14" s="292"/>
      <c r="C14" s="196"/>
      <c r="D14" s="196" t="s">
        <v>400</v>
      </c>
      <c r="E14" s="197" t="s">
        <v>39</v>
      </c>
      <c r="F14" s="197"/>
      <c r="G14" s="197" t="s">
        <v>89</v>
      </c>
      <c r="H14" s="198" t="s">
        <v>709</v>
      </c>
      <c r="I14" s="197" t="s">
        <v>713</v>
      </c>
      <c r="J14" s="199" t="s">
        <v>627</v>
      </c>
      <c r="K14" s="199" t="s">
        <v>14</v>
      </c>
      <c r="L14" s="199" t="s">
        <v>631</v>
      </c>
      <c r="M14" s="200" t="s">
        <v>14</v>
      </c>
      <c r="N14" s="199" t="s">
        <v>38</v>
      </c>
      <c r="O14" s="200" t="s">
        <v>17</v>
      </c>
      <c r="P14" s="201"/>
      <c r="Q14" s="201"/>
      <c r="R14" s="197" t="str">
        <f t="shared" ref="R14:R60" si="0">IF(H14="","_",CONCATENATE(H14,"_",I14,"_",J14,"_",K14,"_",L14,"_",M14,"_",N14,"_",O14))</f>
        <v>NO-11_PAY_XXXX_XX_XXX_XX_RP_0002</v>
      </c>
      <c r="S14" s="197"/>
      <c r="T14" s="228"/>
      <c r="U14" s="197" t="s">
        <v>713</v>
      </c>
      <c r="V14" s="201"/>
      <c r="W14" s="201"/>
      <c r="X14" s="201"/>
      <c r="Y14" s="201"/>
      <c r="Z14" s="202"/>
      <c r="AA14" s="172"/>
      <c r="AB14" s="172"/>
      <c r="AC14" s="172"/>
      <c r="AD14" s="172"/>
      <c r="AE14" s="172"/>
      <c r="AF14" s="172"/>
    </row>
    <row r="15" spans="1:36" ht="20.100000000000001" customHeight="1" x14ac:dyDescent="0.2">
      <c r="A15" s="172"/>
      <c r="B15" s="292"/>
      <c r="C15" s="196"/>
      <c r="D15" s="196" t="s">
        <v>397</v>
      </c>
      <c r="E15" s="197" t="s">
        <v>39</v>
      </c>
      <c r="F15" s="197"/>
      <c r="G15" s="197" t="s">
        <v>89</v>
      </c>
      <c r="H15" s="198" t="s">
        <v>709</v>
      </c>
      <c r="I15" s="197" t="s">
        <v>713</v>
      </c>
      <c r="J15" s="199" t="s">
        <v>627</v>
      </c>
      <c r="K15" s="199" t="s">
        <v>14</v>
      </c>
      <c r="L15" s="199" t="s">
        <v>631</v>
      </c>
      <c r="M15" s="200" t="s">
        <v>14</v>
      </c>
      <c r="N15" s="199" t="s">
        <v>38</v>
      </c>
      <c r="O15" s="200" t="s">
        <v>90</v>
      </c>
      <c r="P15" s="201"/>
      <c r="Q15" s="201"/>
      <c r="R15" s="197" t="str">
        <f t="shared" si="0"/>
        <v>NO-11_PAY_XXXX_XX_XXX_XX_RP_0003</v>
      </c>
      <c r="S15" s="197"/>
      <c r="T15" s="228"/>
      <c r="U15" s="197" t="s">
        <v>713</v>
      </c>
      <c r="V15" s="201"/>
      <c r="W15" s="201"/>
      <c r="X15" s="201"/>
      <c r="Y15" s="201"/>
      <c r="Z15" s="202"/>
      <c r="AA15" s="172"/>
      <c r="AB15" s="172"/>
      <c r="AC15" s="172"/>
      <c r="AD15" s="172"/>
      <c r="AE15" s="172"/>
      <c r="AF15" s="172"/>
    </row>
    <row r="16" spans="1:36" ht="20.100000000000001" customHeight="1" x14ac:dyDescent="0.2">
      <c r="A16" s="172"/>
      <c r="B16" s="292"/>
      <c r="C16" s="196"/>
      <c r="D16" s="196" t="s">
        <v>79</v>
      </c>
      <c r="E16" s="197" t="s">
        <v>18</v>
      </c>
      <c r="F16" s="197"/>
      <c r="G16" s="197" t="s">
        <v>89</v>
      </c>
      <c r="H16" s="198" t="s">
        <v>709</v>
      </c>
      <c r="I16" s="197" t="s">
        <v>713</v>
      </c>
      <c r="J16" s="199" t="s">
        <v>539</v>
      </c>
      <c r="K16" s="199" t="s">
        <v>14</v>
      </c>
      <c r="L16" s="199" t="s">
        <v>631</v>
      </c>
      <c r="M16" s="200" t="s">
        <v>14</v>
      </c>
      <c r="N16" s="199" t="s">
        <v>38</v>
      </c>
      <c r="O16" s="200" t="s">
        <v>13</v>
      </c>
      <c r="P16" s="201"/>
      <c r="Q16" s="201"/>
      <c r="R16" s="197" t="str">
        <f t="shared" si="0"/>
        <v>NO-11_PAY_STRU_XX_XXX_XX_RP_0001</v>
      </c>
      <c r="S16" s="197"/>
      <c r="T16" s="228"/>
      <c r="U16" s="197" t="s">
        <v>713</v>
      </c>
      <c r="V16" s="201"/>
      <c r="W16" s="201"/>
      <c r="X16" s="201"/>
      <c r="Y16" s="201"/>
      <c r="Z16" s="202"/>
      <c r="AA16" s="172"/>
      <c r="AB16" s="172"/>
      <c r="AC16" s="172"/>
      <c r="AD16" s="172"/>
      <c r="AE16" s="172"/>
      <c r="AF16" s="172"/>
    </row>
    <row r="17" spans="1:32" ht="20.100000000000001" customHeight="1" x14ac:dyDescent="0.2">
      <c r="A17" s="172"/>
      <c r="B17" s="292"/>
      <c r="C17" s="196"/>
      <c r="D17" s="196" t="s">
        <v>458</v>
      </c>
      <c r="E17" s="197" t="s">
        <v>32</v>
      </c>
      <c r="F17" s="197"/>
      <c r="G17" s="197" t="s">
        <v>89</v>
      </c>
      <c r="H17" s="198" t="s">
        <v>709</v>
      </c>
      <c r="I17" s="197" t="s">
        <v>713</v>
      </c>
      <c r="J17" s="199" t="s">
        <v>546</v>
      </c>
      <c r="K17" s="199" t="s">
        <v>14</v>
      </c>
      <c r="L17" s="199" t="s">
        <v>631</v>
      </c>
      <c r="M17" s="200" t="s">
        <v>14</v>
      </c>
      <c r="N17" s="199" t="s">
        <v>31</v>
      </c>
      <c r="O17" s="200" t="s">
        <v>13</v>
      </c>
      <c r="P17" s="201"/>
      <c r="Q17" s="201"/>
      <c r="R17" s="197" t="str">
        <f t="shared" si="0"/>
        <v>NO-11_PAY_FEDE_XX_XXX_XX_M2_0001</v>
      </c>
      <c r="S17" s="197"/>
      <c r="T17" s="228"/>
      <c r="U17" s="197" t="s">
        <v>713</v>
      </c>
      <c r="V17" s="201"/>
      <c r="W17" s="201"/>
      <c r="X17" s="201"/>
      <c r="Y17" s="201"/>
      <c r="Z17" s="202"/>
      <c r="AA17" s="172"/>
      <c r="AB17" s="172"/>
      <c r="AC17" s="172"/>
      <c r="AD17" s="172"/>
      <c r="AE17" s="172"/>
      <c r="AF17" s="172"/>
    </row>
    <row r="18" spans="1:32" ht="20.100000000000001" customHeight="1" x14ac:dyDescent="0.2">
      <c r="A18" s="172"/>
      <c r="B18" s="292"/>
      <c r="C18" s="196"/>
      <c r="D18" s="196" t="s">
        <v>810</v>
      </c>
      <c r="E18" s="197" t="s">
        <v>39</v>
      </c>
      <c r="F18" s="197"/>
      <c r="G18" s="197" t="s">
        <v>682</v>
      </c>
      <c r="H18" s="198" t="s">
        <v>709</v>
      </c>
      <c r="I18" s="197" t="s">
        <v>713</v>
      </c>
      <c r="J18" s="199" t="s">
        <v>806</v>
      </c>
      <c r="K18" s="199" t="s">
        <v>11</v>
      </c>
      <c r="L18" s="199" t="s">
        <v>659</v>
      </c>
      <c r="M18" s="200" t="s">
        <v>11</v>
      </c>
      <c r="N18" s="199" t="s">
        <v>15</v>
      </c>
      <c r="O18" s="200" t="s">
        <v>13</v>
      </c>
      <c r="P18" s="201"/>
      <c r="Q18" s="201"/>
      <c r="R18" s="197" t="str">
        <f t="shared" si="0"/>
        <v>NO-11_PAY_STAR_ZZ_ZZZ_ZZ_BQ_0001</v>
      </c>
      <c r="S18" s="197"/>
      <c r="T18" s="228"/>
      <c r="U18" s="197" t="s">
        <v>713</v>
      </c>
      <c r="V18" s="201"/>
      <c r="W18" s="201"/>
      <c r="X18" s="201" t="s">
        <v>803</v>
      </c>
      <c r="Y18" s="201"/>
      <c r="Z18" s="202"/>
      <c r="AA18" s="172"/>
      <c r="AB18" s="172"/>
      <c r="AC18" s="172"/>
      <c r="AD18" s="172"/>
      <c r="AE18" s="172"/>
      <c r="AF18" s="172"/>
    </row>
    <row r="19" spans="1:32" ht="20.100000000000001" customHeight="1" x14ac:dyDescent="0.2">
      <c r="A19" s="172"/>
      <c r="B19" s="292"/>
      <c r="C19" s="196"/>
      <c r="D19" s="196" t="s">
        <v>811</v>
      </c>
      <c r="E19" s="197" t="s">
        <v>39</v>
      </c>
      <c r="F19" s="197"/>
      <c r="G19" s="197" t="s">
        <v>682</v>
      </c>
      <c r="H19" s="198" t="s">
        <v>709</v>
      </c>
      <c r="I19" s="197" t="s">
        <v>713</v>
      </c>
      <c r="J19" s="199" t="s">
        <v>541</v>
      </c>
      <c r="K19" s="199" t="s">
        <v>11</v>
      </c>
      <c r="L19" s="199" t="s">
        <v>659</v>
      </c>
      <c r="M19" s="200" t="s">
        <v>11</v>
      </c>
      <c r="N19" s="199" t="s">
        <v>15</v>
      </c>
      <c r="O19" s="200" t="s">
        <v>13</v>
      </c>
      <c r="P19" s="201"/>
      <c r="Q19" s="201"/>
      <c r="R19" s="197" t="str">
        <f t="shared" si="0"/>
        <v>NO-11_PAY_MEPF_ZZ_ZZZ_ZZ_BQ_0001</v>
      </c>
      <c r="S19" s="197"/>
      <c r="T19" s="228"/>
      <c r="U19" s="197" t="s">
        <v>713</v>
      </c>
      <c r="V19" s="201"/>
      <c r="W19" s="201"/>
      <c r="X19" s="201" t="s">
        <v>812</v>
      </c>
      <c r="Y19" s="201"/>
      <c r="Z19" s="202"/>
      <c r="AA19" s="172"/>
      <c r="AB19" s="172"/>
      <c r="AC19" s="172"/>
      <c r="AD19" s="172"/>
      <c r="AE19" s="172"/>
      <c r="AF19" s="172"/>
    </row>
    <row r="20" spans="1:32" ht="20.100000000000001" customHeight="1" x14ac:dyDescent="0.2">
      <c r="A20" s="172"/>
      <c r="B20" s="292"/>
      <c r="C20" s="196"/>
      <c r="D20" s="196" t="s">
        <v>813</v>
      </c>
      <c r="E20" s="197" t="s">
        <v>39</v>
      </c>
      <c r="F20" s="197"/>
      <c r="G20" s="197" t="s">
        <v>682</v>
      </c>
      <c r="H20" s="198" t="s">
        <v>709</v>
      </c>
      <c r="I20" s="197" t="s">
        <v>801</v>
      </c>
      <c r="J20" s="199" t="s">
        <v>544</v>
      </c>
      <c r="K20" s="199" t="s">
        <v>11</v>
      </c>
      <c r="L20" s="199" t="s">
        <v>659</v>
      </c>
      <c r="M20" s="200" t="s">
        <v>11</v>
      </c>
      <c r="N20" s="199" t="s">
        <v>15</v>
      </c>
      <c r="O20" s="200" t="s">
        <v>13</v>
      </c>
      <c r="P20" s="201"/>
      <c r="Q20" s="201"/>
      <c r="R20" s="197" t="str">
        <f t="shared" si="0"/>
        <v>NO-11_FIR_FIRE_ZZ_ZZZ_ZZ_BQ_0001</v>
      </c>
      <c r="S20" s="197"/>
      <c r="T20" s="228"/>
      <c r="U20" s="197" t="s">
        <v>801</v>
      </c>
      <c r="V20" s="201"/>
      <c r="W20" s="201"/>
      <c r="X20" s="201" t="s">
        <v>812</v>
      </c>
      <c r="Y20" s="201"/>
      <c r="Z20" s="202"/>
      <c r="AA20" s="172"/>
      <c r="AB20" s="172"/>
      <c r="AC20" s="172"/>
      <c r="AD20" s="172"/>
      <c r="AE20" s="172"/>
      <c r="AF20" s="172"/>
    </row>
    <row r="21" spans="1:32" ht="20.100000000000001" customHeight="1" x14ac:dyDescent="0.2">
      <c r="A21" s="172"/>
      <c r="B21" s="293"/>
      <c r="C21" s="196"/>
      <c r="D21" s="196" t="s">
        <v>78</v>
      </c>
      <c r="E21" s="197" t="s">
        <v>39</v>
      </c>
      <c r="F21" s="197"/>
      <c r="G21" s="197" t="s">
        <v>89</v>
      </c>
      <c r="H21" s="198" t="s">
        <v>709</v>
      </c>
      <c r="I21" s="197" t="s">
        <v>713</v>
      </c>
      <c r="J21" s="199" t="s">
        <v>627</v>
      </c>
      <c r="K21" s="199" t="s">
        <v>14</v>
      </c>
      <c r="L21" s="199" t="s">
        <v>631</v>
      </c>
      <c r="M21" s="200" t="s">
        <v>14</v>
      </c>
      <c r="N21" s="199" t="s">
        <v>43</v>
      </c>
      <c r="O21" s="200" t="s">
        <v>13</v>
      </c>
      <c r="P21" s="201"/>
      <c r="Q21" s="201"/>
      <c r="R21" s="197" t="str">
        <f t="shared" si="0"/>
        <v>NO-11_PAY_XXXX_XX_XXX_XX_SP_0001</v>
      </c>
      <c r="S21" s="197"/>
      <c r="T21" s="228"/>
      <c r="U21" s="197" t="s">
        <v>713</v>
      </c>
      <c r="V21" s="201"/>
      <c r="W21" s="201"/>
      <c r="X21" s="201"/>
      <c r="Y21" s="201"/>
      <c r="Z21" s="202"/>
      <c r="AA21" s="172"/>
      <c r="AB21" s="172"/>
      <c r="AC21" s="172"/>
      <c r="AD21" s="172"/>
      <c r="AE21" s="172"/>
      <c r="AF21" s="172"/>
    </row>
    <row r="22" spans="1:32" ht="20.100000000000001" customHeight="1" x14ac:dyDescent="0.2">
      <c r="A22" s="172"/>
      <c r="B22" s="183" t="s">
        <v>501</v>
      </c>
      <c r="C22" s="184"/>
      <c r="D22" s="185"/>
      <c r="E22" s="186"/>
      <c r="F22" s="186"/>
      <c r="G22" s="186"/>
      <c r="H22" s="186"/>
      <c r="I22" s="186"/>
      <c r="J22" s="186"/>
      <c r="K22" s="186"/>
      <c r="L22" s="186"/>
      <c r="M22" s="187"/>
      <c r="N22" s="186"/>
      <c r="O22" s="187"/>
      <c r="P22" s="187"/>
      <c r="Q22" s="187"/>
      <c r="R22" s="186" t="str">
        <f t="shared" si="0"/>
        <v>_</v>
      </c>
      <c r="S22" s="186"/>
      <c r="T22" s="185"/>
      <c r="U22" s="186"/>
      <c r="V22" s="187"/>
      <c r="W22" s="187"/>
      <c r="X22" s="187"/>
      <c r="Y22" s="236"/>
      <c r="Z22" s="188"/>
      <c r="AA22" s="172"/>
      <c r="AB22" s="172"/>
      <c r="AC22" s="172"/>
      <c r="AD22" s="172"/>
      <c r="AE22" s="172"/>
      <c r="AF22" s="172"/>
    </row>
    <row r="23" spans="1:32" ht="20.100000000000001" customHeight="1" x14ac:dyDescent="0.2">
      <c r="A23" s="172"/>
      <c r="B23" s="295" t="s">
        <v>502</v>
      </c>
      <c r="C23" s="196"/>
      <c r="D23" s="196" t="s">
        <v>684</v>
      </c>
      <c r="E23" s="197" t="s">
        <v>509</v>
      </c>
      <c r="F23" s="197"/>
      <c r="G23" s="197" t="s">
        <v>89</v>
      </c>
      <c r="H23" s="198" t="s">
        <v>709</v>
      </c>
      <c r="I23" s="197" t="s">
        <v>447</v>
      </c>
      <c r="J23" s="199" t="s">
        <v>627</v>
      </c>
      <c r="K23" s="199" t="s">
        <v>14</v>
      </c>
      <c r="L23" s="199" t="s">
        <v>631</v>
      </c>
      <c r="M23" s="200" t="s">
        <v>14</v>
      </c>
      <c r="N23" s="199" t="s">
        <v>719</v>
      </c>
      <c r="O23" s="200" t="s">
        <v>13</v>
      </c>
      <c r="P23" s="201"/>
      <c r="Q23" s="201"/>
      <c r="R23" s="197" t="str">
        <f t="shared" si="0"/>
        <v>NO-11_CIC_XXXX_XX_XXX_XX_PL_0001</v>
      </c>
      <c r="S23" s="197"/>
      <c r="T23" s="228"/>
      <c r="U23" s="197" t="s">
        <v>447</v>
      </c>
      <c r="V23" s="201" t="s">
        <v>773</v>
      </c>
      <c r="W23" s="201"/>
      <c r="X23" s="201" t="s">
        <v>780</v>
      </c>
      <c r="Y23" s="201" t="s">
        <v>655</v>
      </c>
      <c r="Z23" s="202"/>
      <c r="AA23" s="172"/>
      <c r="AB23" s="172"/>
      <c r="AC23" s="172"/>
      <c r="AD23" s="172"/>
      <c r="AE23" s="172"/>
      <c r="AF23" s="172"/>
    </row>
    <row r="24" spans="1:32" ht="20.100000000000001" customHeight="1" x14ac:dyDescent="0.2">
      <c r="A24" s="172"/>
      <c r="B24" s="292"/>
      <c r="C24" s="196"/>
      <c r="D24" s="196" t="s">
        <v>667</v>
      </c>
      <c r="E24" s="197" t="s">
        <v>509</v>
      </c>
      <c r="F24" s="197"/>
      <c r="G24" s="197" t="s">
        <v>89</v>
      </c>
      <c r="H24" s="198" t="s">
        <v>709</v>
      </c>
      <c r="I24" s="197" t="s">
        <v>447</v>
      </c>
      <c r="J24" s="199" t="s">
        <v>627</v>
      </c>
      <c r="K24" s="199" t="s">
        <v>14</v>
      </c>
      <c r="L24" s="199" t="s">
        <v>631</v>
      </c>
      <c r="M24" s="200" t="s">
        <v>14</v>
      </c>
      <c r="N24" s="199" t="s">
        <v>719</v>
      </c>
      <c r="O24" s="200" t="s">
        <v>17</v>
      </c>
      <c r="P24" s="201"/>
      <c r="Q24" s="201"/>
      <c r="R24" s="197" t="str">
        <f t="shared" si="0"/>
        <v>NO-11_CIC_XXXX_XX_XXX_XX_PL_0002</v>
      </c>
      <c r="S24" s="197"/>
      <c r="T24" s="228"/>
      <c r="U24" s="197" t="s">
        <v>447</v>
      </c>
      <c r="V24" s="201" t="s">
        <v>773</v>
      </c>
      <c r="W24" s="201"/>
      <c r="X24" s="201" t="s">
        <v>780</v>
      </c>
      <c r="Y24" s="201" t="s">
        <v>655</v>
      </c>
      <c r="Z24" s="202"/>
      <c r="AA24" s="172"/>
      <c r="AB24" s="172"/>
      <c r="AC24" s="172"/>
      <c r="AD24" s="172"/>
      <c r="AE24" s="172"/>
      <c r="AF24" s="172"/>
    </row>
    <row r="25" spans="1:32" ht="20.100000000000001" customHeight="1" x14ac:dyDescent="0.2">
      <c r="A25" s="172"/>
      <c r="B25" s="293"/>
      <c r="C25" s="196"/>
      <c r="D25" s="196" t="s">
        <v>668</v>
      </c>
      <c r="E25" s="197" t="s">
        <v>509</v>
      </c>
      <c r="F25" s="197"/>
      <c r="G25" s="197" t="s">
        <v>89</v>
      </c>
      <c r="H25" s="198" t="s">
        <v>709</v>
      </c>
      <c r="I25" s="197" t="s">
        <v>447</v>
      </c>
      <c r="J25" s="199" t="s">
        <v>627</v>
      </c>
      <c r="K25" s="199" t="s">
        <v>14</v>
      </c>
      <c r="L25" s="199" t="s">
        <v>631</v>
      </c>
      <c r="M25" s="200" t="s">
        <v>14</v>
      </c>
      <c r="N25" s="199" t="s">
        <v>719</v>
      </c>
      <c r="O25" s="200" t="s">
        <v>90</v>
      </c>
      <c r="P25" s="201"/>
      <c r="Q25" s="201"/>
      <c r="R25" s="197" t="str">
        <f t="shared" si="0"/>
        <v>NO-11_CIC_XXXX_XX_XXX_XX_PL_0003</v>
      </c>
      <c r="S25" s="197"/>
      <c r="T25" s="228"/>
      <c r="U25" s="197" t="s">
        <v>447</v>
      </c>
      <c r="V25" s="201" t="s">
        <v>773</v>
      </c>
      <c r="W25" s="201"/>
      <c r="X25" s="201" t="s">
        <v>781</v>
      </c>
      <c r="Y25" s="201" t="s">
        <v>657</v>
      </c>
      <c r="Z25" s="202"/>
      <c r="AA25" s="172"/>
      <c r="AB25" s="172"/>
      <c r="AC25" s="172"/>
      <c r="AD25" s="172"/>
      <c r="AE25" s="172"/>
      <c r="AF25" s="172"/>
    </row>
    <row r="26" spans="1:32" ht="20.100000000000001" customHeight="1" x14ac:dyDescent="0.2">
      <c r="A26" s="172"/>
      <c r="B26" s="217" t="s">
        <v>672</v>
      </c>
      <c r="C26" s="196"/>
      <c r="D26" s="196" t="s">
        <v>507</v>
      </c>
      <c r="E26" s="197" t="s">
        <v>509</v>
      </c>
      <c r="F26" s="197"/>
      <c r="G26" s="197" t="s">
        <v>89</v>
      </c>
      <c r="H26" s="198" t="s">
        <v>709</v>
      </c>
      <c r="I26" s="197" t="s">
        <v>447</v>
      </c>
      <c r="J26" s="199" t="s">
        <v>627</v>
      </c>
      <c r="K26" s="199" t="s">
        <v>14</v>
      </c>
      <c r="L26" s="199" t="s">
        <v>631</v>
      </c>
      <c r="M26" s="200" t="s">
        <v>14</v>
      </c>
      <c r="N26" s="199" t="s">
        <v>669</v>
      </c>
      <c r="O26" s="200" t="s">
        <v>13</v>
      </c>
      <c r="P26" s="201"/>
      <c r="Q26" s="201"/>
      <c r="R26" s="197" t="str">
        <f t="shared" si="0"/>
        <v>NO-11_CIC_XXXX_XX_XXX_XX_TR_0001</v>
      </c>
      <c r="S26" s="197"/>
      <c r="T26" s="228"/>
      <c r="U26" s="197" t="s">
        <v>447</v>
      </c>
      <c r="V26" s="201"/>
      <c r="W26" s="201"/>
      <c r="X26" s="201"/>
      <c r="Y26" s="201"/>
      <c r="Z26" s="202"/>
      <c r="AA26" s="172"/>
      <c r="AB26" s="172"/>
      <c r="AC26" s="172"/>
      <c r="AD26" s="172"/>
      <c r="AE26" s="172"/>
      <c r="AF26" s="172"/>
    </row>
    <row r="27" spans="1:32" ht="20.100000000000001" customHeight="1" x14ac:dyDescent="0.2">
      <c r="A27" s="172"/>
      <c r="B27" s="183" t="s">
        <v>499</v>
      </c>
      <c r="C27" s="184"/>
      <c r="D27" s="185"/>
      <c r="E27" s="186"/>
      <c r="F27" s="186"/>
      <c r="G27" s="186"/>
      <c r="H27" s="186"/>
      <c r="I27" s="186"/>
      <c r="J27" s="186"/>
      <c r="K27" s="186"/>
      <c r="L27" s="186"/>
      <c r="M27" s="187"/>
      <c r="N27" s="186"/>
      <c r="O27" s="187"/>
      <c r="P27" s="187"/>
      <c r="Q27" s="187"/>
      <c r="R27" s="186" t="str">
        <f t="shared" si="0"/>
        <v>_</v>
      </c>
      <c r="S27" s="186"/>
      <c r="T27" s="185"/>
      <c r="U27" s="186"/>
      <c r="V27" s="187"/>
      <c r="W27" s="187"/>
      <c r="X27" s="187"/>
      <c r="Y27" s="236"/>
      <c r="Z27" s="188"/>
      <c r="AA27" s="172"/>
      <c r="AB27" s="172"/>
      <c r="AC27" s="172"/>
      <c r="AD27" s="172"/>
      <c r="AE27" s="172"/>
      <c r="AF27" s="172"/>
    </row>
    <row r="28" spans="1:32" ht="20.100000000000001" customHeight="1" x14ac:dyDescent="0.2">
      <c r="A28" s="172"/>
      <c r="B28" s="259" t="s">
        <v>727</v>
      </c>
      <c r="C28" s="242" t="s">
        <v>533</v>
      </c>
      <c r="D28" s="203" t="s">
        <v>721</v>
      </c>
      <c r="E28" s="197" t="s">
        <v>34</v>
      </c>
      <c r="F28" s="197"/>
      <c r="G28" s="197" t="s">
        <v>623</v>
      </c>
      <c r="H28" s="198" t="s">
        <v>709</v>
      </c>
      <c r="I28" s="197" t="s">
        <v>447</v>
      </c>
      <c r="J28" s="199" t="s">
        <v>539</v>
      </c>
      <c r="K28" s="199" t="s">
        <v>716</v>
      </c>
      <c r="L28" s="199" t="s">
        <v>547</v>
      </c>
      <c r="M28" s="200" t="s">
        <v>11</v>
      </c>
      <c r="N28" s="199" t="s">
        <v>33</v>
      </c>
      <c r="O28" s="200" t="s">
        <v>13</v>
      </c>
      <c r="P28" s="201"/>
      <c r="Q28" s="201"/>
      <c r="R28" s="197" t="str">
        <f t="shared" si="0"/>
        <v>NO-11_CIC_STRU_CC_BAS_ZZ_M3_0001</v>
      </c>
      <c r="S28" s="197"/>
      <c r="T28" s="228"/>
      <c r="U28" s="197" t="s">
        <v>447</v>
      </c>
      <c r="V28" s="201" t="s">
        <v>771</v>
      </c>
      <c r="W28" s="201" t="s">
        <v>829</v>
      </c>
      <c r="X28" s="201" t="s">
        <v>797</v>
      </c>
      <c r="Y28" s="201" t="s">
        <v>796</v>
      </c>
      <c r="Z28" s="202"/>
      <c r="AA28" s="172"/>
      <c r="AB28" s="172"/>
      <c r="AC28" s="172"/>
      <c r="AD28" s="172"/>
      <c r="AE28" s="172"/>
      <c r="AF28" s="172"/>
    </row>
    <row r="29" spans="1:32" ht="20.100000000000001" customHeight="1" x14ac:dyDescent="0.2">
      <c r="A29" s="172"/>
      <c r="B29" s="260"/>
      <c r="C29" s="243" t="s">
        <v>532</v>
      </c>
      <c r="D29" s="203" t="s">
        <v>722</v>
      </c>
      <c r="E29" s="197" t="s">
        <v>34</v>
      </c>
      <c r="F29" s="197"/>
      <c r="G29" s="197" t="s">
        <v>623</v>
      </c>
      <c r="H29" s="198" t="s">
        <v>709</v>
      </c>
      <c r="I29" s="197" t="s">
        <v>447</v>
      </c>
      <c r="J29" s="199" t="s">
        <v>540</v>
      </c>
      <c r="K29" s="199" t="s">
        <v>716</v>
      </c>
      <c r="L29" s="199" t="s">
        <v>547</v>
      </c>
      <c r="M29" s="200" t="s">
        <v>11</v>
      </c>
      <c r="N29" s="199" t="s">
        <v>33</v>
      </c>
      <c r="O29" s="200" t="s">
        <v>13</v>
      </c>
      <c r="P29" s="201"/>
      <c r="Q29" s="201"/>
      <c r="R29" s="197" t="str">
        <f t="shared" si="0"/>
        <v>NO-11_CIC_ARCH_CC_BAS_ZZ_M3_0001</v>
      </c>
      <c r="S29" s="197"/>
      <c r="T29" s="228"/>
      <c r="U29" s="197" t="s">
        <v>447</v>
      </c>
      <c r="V29" s="201" t="s">
        <v>771</v>
      </c>
      <c r="W29" s="201" t="s">
        <v>829</v>
      </c>
      <c r="X29" s="201" t="s">
        <v>797</v>
      </c>
      <c r="Y29" s="201" t="s">
        <v>795</v>
      </c>
      <c r="Z29" s="202"/>
      <c r="AA29" s="172"/>
      <c r="AB29" s="172"/>
      <c r="AC29" s="172"/>
      <c r="AD29" s="172"/>
      <c r="AE29" s="172"/>
      <c r="AF29" s="172"/>
    </row>
    <row r="30" spans="1:32" ht="20.100000000000001" customHeight="1" x14ac:dyDescent="0.2">
      <c r="A30" s="172"/>
      <c r="B30" s="260"/>
      <c r="C30" s="243" t="s">
        <v>535</v>
      </c>
      <c r="D30" s="203" t="s">
        <v>723</v>
      </c>
      <c r="E30" s="197" t="s">
        <v>34</v>
      </c>
      <c r="F30" s="197"/>
      <c r="G30" s="197" t="s">
        <v>623</v>
      </c>
      <c r="H30" s="198" t="s">
        <v>709</v>
      </c>
      <c r="I30" s="197" t="s">
        <v>447</v>
      </c>
      <c r="J30" s="199" t="s">
        <v>542</v>
      </c>
      <c r="K30" s="199" t="s">
        <v>716</v>
      </c>
      <c r="L30" s="199" t="s">
        <v>547</v>
      </c>
      <c r="M30" s="200" t="s">
        <v>11</v>
      </c>
      <c r="N30" s="199" t="s">
        <v>33</v>
      </c>
      <c r="O30" s="200" t="s">
        <v>13</v>
      </c>
      <c r="P30" s="201"/>
      <c r="Q30" s="201"/>
      <c r="R30" s="197" t="str">
        <f t="shared" si="0"/>
        <v>NO-11_CIC_HVAC_CC_BAS_ZZ_M3_0001</v>
      </c>
      <c r="S30" s="197"/>
      <c r="T30" s="228"/>
      <c r="U30" s="197" t="s">
        <v>447</v>
      </c>
      <c r="V30" s="201" t="s">
        <v>771</v>
      </c>
      <c r="W30" s="201" t="s">
        <v>829</v>
      </c>
      <c r="X30" s="201" t="s">
        <v>797</v>
      </c>
      <c r="Y30" s="201" t="s">
        <v>795</v>
      </c>
      <c r="Z30" s="202"/>
      <c r="AA30" s="172"/>
      <c r="AB30" s="172"/>
      <c r="AC30" s="172"/>
      <c r="AD30" s="172"/>
      <c r="AE30" s="172"/>
      <c r="AF30" s="172"/>
    </row>
    <row r="31" spans="1:32" ht="20.100000000000001" customHeight="1" x14ac:dyDescent="0.2">
      <c r="A31" s="172"/>
      <c r="B31" s="260"/>
      <c r="C31" s="243" t="s">
        <v>536</v>
      </c>
      <c r="D31" s="203" t="s">
        <v>724</v>
      </c>
      <c r="E31" s="197" t="s">
        <v>34</v>
      </c>
      <c r="F31" s="197"/>
      <c r="G31" s="197" t="s">
        <v>623</v>
      </c>
      <c r="H31" s="198" t="s">
        <v>709</v>
      </c>
      <c r="I31" s="197" t="s">
        <v>447</v>
      </c>
      <c r="J31" s="199" t="s">
        <v>543</v>
      </c>
      <c r="K31" s="199" t="s">
        <v>716</v>
      </c>
      <c r="L31" s="199" t="s">
        <v>547</v>
      </c>
      <c r="M31" s="200" t="s">
        <v>11</v>
      </c>
      <c r="N31" s="199" t="s">
        <v>33</v>
      </c>
      <c r="O31" s="200" t="s">
        <v>13</v>
      </c>
      <c r="P31" s="201"/>
      <c r="Q31" s="201"/>
      <c r="R31" s="197" t="str">
        <f t="shared" si="0"/>
        <v>NO-11_CIC_PLUM_CC_BAS_ZZ_M3_0001</v>
      </c>
      <c r="S31" s="197"/>
      <c r="T31" s="228"/>
      <c r="U31" s="197" t="s">
        <v>447</v>
      </c>
      <c r="V31" s="201" t="s">
        <v>771</v>
      </c>
      <c r="W31" s="201" t="s">
        <v>829</v>
      </c>
      <c r="X31" s="201" t="s">
        <v>797</v>
      </c>
      <c r="Y31" s="201" t="s">
        <v>795</v>
      </c>
      <c r="Z31" s="202"/>
      <c r="AA31" s="172"/>
      <c r="AB31" s="172"/>
      <c r="AC31" s="172"/>
      <c r="AD31" s="172"/>
      <c r="AE31" s="172"/>
      <c r="AF31" s="172"/>
    </row>
    <row r="32" spans="1:32" ht="20.100000000000001" customHeight="1" x14ac:dyDescent="0.2">
      <c r="A32" s="172"/>
      <c r="B32" s="260"/>
      <c r="C32" s="243" t="s">
        <v>342</v>
      </c>
      <c r="D32" s="203" t="s">
        <v>725</v>
      </c>
      <c r="E32" s="197" t="s">
        <v>34</v>
      </c>
      <c r="F32" s="197"/>
      <c r="G32" s="197" t="s">
        <v>623</v>
      </c>
      <c r="H32" s="198" t="s">
        <v>709</v>
      </c>
      <c r="I32" s="197" t="s">
        <v>447</v>
      </c>
      <c r="J32" s="199" t="s">
        <v>545</v>
      </c>
      <c r="K32" s="199" t="s">
        <v>716</v>
      </c>
      <c r="L32" s="199" t="s">
        <v>547</v>
      </c>
      <c r="M32" s="200" t="s">
        <v>11</v>
      </c>
      <c r="N32" s="199" t="s">
        <v>33</v>
      </c>
      <c r="O32" s="200" t="s">
        <v>13</v>
      </c>
      <c r="P32" s="201"/>
      <c r="Q32" s="201"/>
      <c r="R32" s="197" t="str">
        <f t="shared" si="0"/>
        <v>NO-11_CIC_ELEC_CC_BAS_ZZ_M3_0001</v>
      </c>
      <c r="S32" s="197"/>
      <c r="T32" s="228"/>
      <c r="U32" s="197" t="s">
        <v>447</v>
      </c>
      <c r="V32" s="201" t="s">
        <v>771</v>
      </c>
      <c r="W32" s="201" t="s">
        <v>829</v>
      </c>
      <c r="X32" s="201" t="s">
        <v>797</v>
      </c>
      <c r="Y32" s="201" t="s">
        <v>795</v>
      </c>
      <c r="Z32" s="202"/>
      <c r="AA32" s="172"/>
      <c r="AB32" s="172"/>
      <c r="AC32" s="172"/>
      <c r="AD32" s="172"/>
      <c r="AE32" s="172"/>
      <c r="AF32" s="172"/>
    </row>
    <row r="33" spans="1:32" ht="20.100000000000001" customHeight="1" x14ac:dyDescent="0.2">
      <c r="A33" s="172"/>
      <c r="B33" s="260"/>
      <c r="C33" s="243" t="s">
        <v>537</v>
      </c>
      <c r="D33" s="253" t="s">
        <v>726</v>
      </c>
      <c r="E33" s="254" t="s">
        <v>34</v>
      </c>
      <c r="F33" s="254"/>
      <c r="G33" s="254" t="s">
        <v>623</v>
      </c>
      <c r="H33" s="255" t="s">
        <v>709</v>
      </c>
      <c r="I33" s="254" t="s">
        <v>447</v>
      </c>
      <c r="J33" s="256" t="s">
        <v>544</v>
      </c>
      <c r="K33" s="256" t="s">
        <v>716</v>
      </c>
      <c r="L33" s="256" t="s">
        <v>547</v>
      </c>
      <c r="M33" s="257" t="s">
        <v>11</v>
      </c>
      <c r="N33" s="256" t="s">
        <v>33</v>
      </c>
      <c r="O33" s="257" t="s">
        <v>13</v>
      </c>
      <c r="P33" s="258"/>
      <c r="Q33" s="258"/>
      <c r="R33" s="254" t="str">
        <f t="shared" si="0"/>
        <v>NO-11_CIC_FIRE_CC_BAS_ZZ_M3_0001</v>
      </c>
      <c r="S33" s="254"/>
      <c r="T33" s="247"/>
      <c r="U33" s="254" t="s">
        <v>447</v>
      </c>
      <c r="V33" s="201" t="s">
        <v>771</v>
      </c>
      <c r="W33" s="201" t="s">
        <v>829</v>
      </c>
      <c r="X33" s="201" t="s">
        <v>797</v>
      </c>
      <c r="Y33" s="201" t="s">
        <v>795</v>
      </c>
      <c r="Z33" s="202"/>
      <c r="AA33" s="172"/>
      <c r="AB33" s="172"/>
      <c r="AC33" s="172"/>
      <c r="AD33" s="172"/>
      <c r="AE33" s="172"/>
      <c r="AF33" s="172"/>
    </row>
    <row r="34" spans="1:32" ht="20.100000000000001" customHeight="1" x14ac:dyDescent="0.2">
      <c r="A34" s="172"/>
      <c r="B34" s="259" t="s">
        <v>728</v>
      </c>
      <c r="C34" s="242" t="s">
        <v>533</v>
      </c>
      <c r="D34" s="203" t="s">
        <v>729</v>
      </c>
      <c r="E34" s="254" t="s">
        <v>34</v>
      </c>
      <c r="F34" s="205"/>
      <c r="G34" s="254" t="s">
        <v>623</v>
      </c>
      <c r="H34" s="206" t="s">
        <v>709</v>
      </c>
      <c r="I34" s="254" t="s">
        <v>447</v>
      </c>
      <c r="J34" s="207" t="s">
        <v>539</v>
      </c>
      <c r="K34" s="256" t="s">
        <v>716</v>
      </c>
      <c r="L34" s="207" t="s">
        <v>632</v>
      </c>
      <c r="M34" s="208" t="s">
        <v>11</v>
      </c>
      <c r="N34" s="256" t="s">
        <v>33</v>
      </c>
      <c r="O34" s="257" t="s">
        <v>13</v>
      </c>
      <c r="P34" s="209"/>
      <c r="Q34" s="209"/>
      <c r="R34" s="254" t="str">
        <f t="shared" si="0"/>
        <v>NO-11_CIC_STRU_CC_POD_ZZ_M3_0001</v>
      </c>
      <c r="S34" s="205"/>
      <c r="T34" s="215"/>
      <c r="U34" s="254" t="s">
        <v>447</v>
      </c>
      <c r="V34" s="209" t="s">
        <v>774</v>
      </c>
      <c r="W34" s="201" t="s">
        <v>831</v>
      </c>
      <c r="X34" s="201" t="s">
        <v>797</v>
      </c>
      <c r="Y34" s="209" t="s">
        <v>796</v>
      </c>
      <c r="Z34" s="252"/>
      <c r="AA34" s="172"/>
      <c r="AB34" s="172"/>
      <c r="AC34" s="172"/>
      <c r="AD34" s="172"/>
      <c r="AE34" s="172"/>
      <c r="AF34" s="172"/>
    </row>
    <row r="35" spans="1:32" ht="20.100000000000001" customHeight="1" x14ac:dyDescent="0.2">
      <c r="A35" s="172"/>
      <c r="B35" s="260"/>
      <c r="C35" s="243" t="s">
        <v>532</v>
      </c>
      <c r="D35" s="203" t="s">
        <v>730</v>
      </c>
      <c r="E35" s="254" t="s">
        <v>34</v>
      </c>
      <c r="F35" s="205"/>
      <c r="G35" s="254" t="s">
        <v>623</v>
      </c>
      <c r="H35" s="206" t="s">
        <v>709</v>
      </c>
      <c r="I35" s="254" t="s">
        <v>447</v>
      </c>
      <c r="J35" s="207" t="s">
        <v>540</v>
      </c>
      <c r="K35" s="256" t="s">
        <v>716</v>
      </c>
      <c r="L35" s="207" t="s">
        <v>632</v>
      </c>
      <c r="M35" s="208" t="s">
        <v>11</v>
      </c>
      <c r="N35" s="256" t="s">
        <v>33</v>
      </c>
      <c r="O35" s="257" t="s">
        <v>13</v>
      </c>
      <c r="P35" s="209"/>
      <c r="Q35" s="209"/>
      <c r="R35" s="254" t="str">
        <f t="shared" si="0"/>
        <v>NO-11_CIC_ARCH_CC_POD_ZZ_M3_0001</v>
      </c>
      <c r="S35" s="205"/>
      <c r="T35" s="215"/>
      <c r="U35" s="254" t="s">
        <v>447</v>
      </c>
      <c r="V35" s="209" t="s">
        <v>774</v>
      </c>
      <c r="W35" s="201" t="s">
        <v>831</v>
      </c>
      <c r="X35" s="201" t="s">
        <v>797</v>
      </c>
      <c r="Y35" s="209" t="s">
        <v>796</v>
      </c>
      <c r="Z35" s="252"/>
      <c r="AA35" s="172"/>
      <c r="AB35" s="172"/>
      <c r="AC35" s="172"/>
      <c r="AD35" s="172"/>
      <c r="AE35" s="172"/>
      <c r="AF35" s="172"/>
    </row>
    <row r="36" spans="1:32" ht="20.100000000000001" customHeight="1" x14ac:dyDescent="0.2">
      <c r="A36" s="172"/>
      <c r="B36" s="260"/>
      <c r="C36" s="243" t="s">
        <v>535</v>
      </c>
      <c r="D36" s="203" t="s">
        <v>731</v>
      </c>
      <c r="E36" s="254" t="s">
        <v>34</v>
      </c>
      <c r="F36" s="205"/>
      <c r="G36" s="254" t="s">
        <v>623</v>
      </c>
      <c r="H36" s="206" t="s">
        <v>709</v>
      </c>
      <c r="I36" s="254" t="s">
        <v>447</v>
      </c>
      <c r="J36" s="207" t="s">
        <v>542</v>
      </c>
      <c r="K36" s="256" t="s">
        <v>716</v>
      </c>
      <c r="L36" s="207" t="s">
        <v>632</v>
      </c>
      <c r="M36" s="208" t="s">
        <v>11</v>
      </c>
      <c r="N36" s="256" t="s">
        <v>33</v>
      </c>
      <c r="O36" s="257" t="s">
        <v>13</v>
      </c>
      <c r="P36" s="209"/>
      <c r="Q36" s="209"/>
      <c r="R36" s="254" t="str">
        <f t="shared" si="0"/>
        <v>NO-11_CIC_HVAC_CC_POD_ZZ_M3_0001</v>
      </c>
      <c r="S36" s="205"/>
      <c r="T36" s="215"/>
      <c r="U36" s="254" t="s">
        <v>447</v>
      </c>
      <c r="V36" s="209" t="s">
        <v>774</v>
      </c>
      <c r="W36" s="201" t="s">
        <v>831</v>
      </c>
      <c r="X36" s="201" t="s">
        <v>797</v>
      </c>
      <c r="Y36" s="209" t="s">
        <v>796</v>
      </c>
      <c r="Z36" s="252"/>
      <c r="AA36" s="172"/>
      <c r="AB36" s="172"/>
      <c r="AC36" s="172"/>
      <c r="AD36" s="172"/>
      <c r="AE36" s="172"/>
      <c r="AF36" s="172"/>
    </row>
    <row r="37" spans="1:32" ht="20.100000000000001" customHeight="1" x14ac:dyDescent="0.2">
      <c r="A37" s="172"/>
      <c r="B37" s="260"/>
      <c r="C37" s="243" t="s">
        <v>536</v>
      </c>
      <c r="D37" s="203" t="s">
        <v>732</v>
      </c>
      <c r="E37" s="254" t="s">
        <v>34</v>
      </c>
      <c r="F37" s="205"/>
      <c r="G37" s="254" t="s">
        <v>623</v>
      </c>
      <c r="H37" s="206" t="s">
        <v>709</v>
      </c>
      <c r="I37" s="254" t="s">
        <v>447</v>
      </c>
      <c r="J37" s="207" t="s">
        <v>543</v>
      </c>
      <c r="K37" s="256" t="s">
        <v>716</v>
      </c>
      <c r="L37" s="207" t="s">
        <v>632</v>
      </c>
      <c r="M37" s="208" t="s">
        <v>11</v>
      </c>
      <c r="N37" s="256" t="s">
        <v>33</v>
      </c>
      <c r="O37" s="257" t="s">
        <v>13</v>
      </c>
      <c r="P37" s="209"/>
      <c r="Q37" s="209"/>
      <c r="R37" s="254" t="str">
        <f t="shared" si="0"/>
        <v>NO-11_CIC_PLUM_CC_POD_ZZ_M3_0001</v>
      </c>
      <c r="S37" s="205"/>
      <c r="T37" s="215"/>
      <c r="U37" s="254" t="s">
        <v>447</v>
      </c>
      <c r="V37" s="209" t="s">
        <v>774</v>
      </c>
      <c r="W37" s="201" t="s">
        <v>831</v>
      </c>
      <c r="X37" s="201" t="s">
        <v>797</v>
      </c>
      <c r="Y37" s="209" t="s">
        <v>795</v>
      </c>
      <c r="Z37" s="252"/>
      <c r="AA37" s="172"/>
      <c r="AB37" s="172"/>
      <c r="AC37" s="172"/>
      <c r="AD37" s="172"/>
      <c r="AE37" s="172"/>
      <c r="AF37" s="172"/>
    </row>
    <row r="38" spans="1:32" ht="20.100000000000001" customHeight="1" x14ac:dyDescent="0.2">
      <c r="A38" s="172"/>
      <c r="B38" s="260"/>
      <c r="C38" s="243" t="s">
        <v>342</v>
      </c>
      <c r="D38" s="203" t="s">
        <v>733</v>
      </c>
      <c r="E38" s="254" t="s">
        <v>34</v>
      </c>
      <c r="F38" s="205"/>
      <c r="G38" s="254" t="s">
        <v>623</v>
      </c>
      <c r="H38" s="206" t="s">
        <v>709</v>
      </c>
      <c r="I38" s="254" t="s">
        <v>447</v>
      </c>
      <c r="J38" s="207" t="s">
        <v>545</v>
      </c>
      <c r="K38" s="256" t="s">
        <v>716</v>
      </c>
      <c r="L38" s="207" t="s">
        <v>632</v>
      </c>
      <c r="M38" s="208" t="s">
        <v>11</v>
      </c>
      <c r="N38" s="256" t="s">
        <v>33</v>
      </c>
      <c r="O38" s="257" t="s">
        <v>13</v>
      </c>
      <c r="P38" s="209"/>
      <c r="Q38" s="209"/>
      <c r="R38" s="254" t="str">
        <f t="shared" si="0"/>
        <v>NO-11_CIC_ELEC_CC_POD_ZZ_M3_0001</v>
      </c>
      <c r="S38" s="205"/>
      <c r="T38" s="215"/>
      <c r="U38" s="254" t="s">
        <v>447</v>
      </c>
      <c r="V38" s="209" t="s">
        <v>774</v>
      </c>
      <c r="W38" s="201" t="s">
        <v>831</v>
      </c>
      <c r="X38" s="201" t="s">
        <v>797</v>
      </c>
      <c r="Y38" s="209" t="s">
        <v>796</v>
      </c>
      <c r="Z38" s="252"/>
      <c r="AA38" s="172"/>
      <c r="AB38" s="172"/>
      <c r="AC38" s="172"/>
      <c r="AD38" s="172"/>
      <c r="AE38" s="172"/>
      <c r="AF38" s="172"/>
    </row>
    <row r="39" spans="1:32" ht="20.100000000000001" customHeight="1" x14ac:dyDescent="0.2">
      <c r="A39" s="172"/>
      <c r="B39" s="260"/>
      <c r="C39" s="243" t="s">
        <v>537</v>
      </c>
      <c r="D39" s="253" t="s">
        <v>734</v>
      </c>
      <c r="E39" s="254" t="s">
        <v>34</v>
      </c>
      <c r="F39" s="205"/>
      <c r="G39" s="254" t="s">
        <v>623</v>
      </c>
      <c r="H39" s="206" t="s">
        <v>709</v>
      </c>
      <c r="I39" s="254" t="s">
        <v>447</v>
      </c>
      <c r="J39" s="207" t="s">
        <v>544</v>
      </c>
      <c r="K39" s="256" t="s">
        <v>716</v>
      </c>
      <c r="L39" s="207" t="s">
        <v>632</v>
      </c>
      <c r="M39" s="208" t="s">
        <v>11</v>
      </c>
      <c r="N39" s="256" t="s">
        <v>33</v>
      </c>
      <c r="O39" s="257" t="s">
        <v>13</v>
      </c>
      <c r="P39" s="209"/>
      <c r="Q39" s="209"/>
      <c r="R39" s="254" t="str">
        <f t="shared" si="0"/>
        <v>NO-11_CIC_FIRE_CC_POD_ZZ_M3_0001</v>
      </c>
      <c r="S39" s="205"/>
      <c r="T39" s="215"/>
      <c r="U39" s="254" t="s">
        <v>447</v>
      </c>
      <c r="V39" s="209" t="s">
        <v>774</v>
      </c>
      <c r="W39" s="201" t="s">
        <v>831</v>
      </c>
      <c r="X39" s="201" t="s">
        <v>797</v>
      </c>
      <c r="Y39" s="209" t="s">
        <v>795</v>
      </c>
      <c r="Z39" s="252"/>
      <c r="AA39" s="172"/>
      <c r="AB39" s="172"/>
      <c r="AC39" s="172"/>
      <c r="AD39" s="172"/>
      <c r="AE39" s="172"/>
      <c r="AF39" s="172"/>
    </row>
    <row r="40" spans="1:32" ht="20.100000000000001" customHeight="1" x14ac:dyDescent="0.2">
      <c r="A40" s="172"/>
      <c r="B40" s="259" t="s">
        <v>735</v>
      </c>
      <c r="C40" s="296" t="s">
        <v>619</v>
      </c>
      <c r="D40" s="204" t="s">
        <v>736</v>
      </c>
      <c r="E40" s="205" t="s">
        <v>34</v>
      </c>
      <c r="F40" s="205"/>
      <c r="G40" s="205" t="s">
        <v>623</v>
      </c>
      <c r="H40" s="206" t="s">
        <v>709</v>
      </c>
      <c r="I40" s="205" t="s">
        <v>447</v>
      </c>
      <c r="J40" s="207" t="s">
        <v>539</v>
      </c>
      <c r="K40" s="256" t="s">
        <v>716</v>
      </c>
      <c r="L40" s="207" t="s">
        <v>633</v>
      </c>
      <c r="M40" s="208" t="s">
        <v>707</v>
      </c>
      <c r="N40" s="207" t="s">
        <v>33</v>
      </c>
      <c r="O40" s="208" t="s">
        <v>13</v>
      </c>
      <c r="P40" s="209"/>
      <c r="Q40" s="209"/>
      <c r="R40" s="205" t="str">
        <f t="shared" si="0"/>
        <v>NO-11_CIC_STRU_CC_TOW_07_M3_0001</v>
      </c>
      <c r="S40" s="205"/>
      <c r="T40" s="215"/>
      <c r="U40" s="205" t="s">
        <v>447</v>
      </c>
      <c r="V40" s="209" t="s">
        <v>772</v>
      </c>
      <c r="W40" s="201" t="s">
        <v>781</v>
      </c>
      <c r="X40" s="201" t="s">
        <v>832</v>
      </c>
      <c r="Y40" s="209" t="s">
        <v>833</v>
      </c>
      <c r="Z40" s="210"/>
      <c r="AA40" s="172"/>
      <c r="AB40" s="172"/>
      <c r="AC40" s="172"/>
      <c r="AD40" s="172"/>
      <c r="AE40" s="172"/>
      <c r="AF40" s="172"/>
    </row>
    <row r="41" spans="1:32" ht="20.100000000000001" customHeight="1" x14ac:dyDescent="0.2">
      <c r="A41" s="172"/>
      <c r="B41" s="260"/>
      <c r="C41" s="296"/>
      <c r="D41" s="204" t="s">
        <v>737</v>
      </c>
      <c r="E41" s="205" t="s">
        <v>34</v>
      </c>
      <c r="F41" s="205"/>
      <c r="G41" s="205" t="s">
        <v>694</v>
      </c>
      <c r="H41" s="206" t="s">
        <v>709</v>
      </c>
      <c r="I41" s="205" t="s">
        <v>447</v>
      </c>
      <c r="J41" s="207" t="s">
        <v>539</v>
      </c>
      <c r="K41" s="256" t="s">
        <v>716</v>
      </c>
      <c r="L41" s="207" t="s">
        <v>633</v>
      </c>
      <c r="M41" s="208" t="s">
        <v>739</v>
      </c>
      <c r="N41" s="207" t="s">
        <v>33</v>
      </c>
      <c r="O41" s="208" t="s">
        <v>13</v>
      </c>
      <c r="P41" s="209"/>
      <c r="Q41" s="209"/>
      <c r="R41" s="205" t="str">
        <f t="shared" si="0"/>
        <v>NO-11_CIC_STRU_CC_TOW_08-32_M3_0001</v>
      </c>
      <c r="S41" s="205"/>
      <c r="T41" s="215"/>
      <c r="U41" s="205" t="s">
        <v>447</v>
      </c>
      <c r="V41" s="209" t="s">
        <v>772</v>
      </c>
      <c r="W41" s="201" t="s">
        <v>781</v>
      </c>
      <c r="X41" s="201" t="s">
        <v>832</v>
      </c>
      <c r="Y41" s="209" t="s">
        <v>833</v>
      </c>
      <c r="Z41" s="210"/>
      <c r="AA41" s="172"/>
      <c r="AB41" s="172"/>
      <c r="AC41" s="172"/>
      <c r="AD41" s="172"/>
      <c r="AE41" s="172"/>
      <c r="AF41" s="172"/>
    </row>
    <row r="42" spans="1:32" ht="20.100000000000001" customHeight="1" x14ac:dyDescent="0.2">
      <c r="A42" s="172"/>
      <c r="B42" s="260"/>
      <c r="C42" s="296"/>
      <c r="D42" s="204" t="s">
        <v>738</v>
      </c>
      <c r="E42" s="205" t="s">
        <v>34</v>
      </c>
      <c r="F42" s="205"/>
      <c r="G42" s="205" t="s">
        <v>623</v>
      </c>
      <c r="H42" s="206" t="s">
        <v>709</v>
      </c>
      <c r="I42" s="205" t="s">
        <v>447</v>
      </c>
      <c r="J42" s="207" t="s">
        <v>539</v>
      </c>
      <c r="K42" s="256" t="s">
        <v>716</v>
      </c>
      <c r="L42" s="207" t="s">
        <v>633</v>
      </c>
      <c r="M42" s="208" t="s">
        <v>740</v>
      </c>
      <c r="N42" s="207" t="s">
        <v>33</v>
      </c>
      <c r="O42" s="208" t="s">
        <v>13</v>
      </c>
      <c r="P42" s="209"/>
      <c r="Q42" s="209"/>
      <c r="R42" s="205" t="str">
        <f t="shared" si="0"/>
        <v>NO-11_CIC_STRU_CC_TOW_MA_M3_0001</v>
      </c>
      <c r="S42" s="205"/>
      <c r="T42" s="215"/>
      <c r="U42" s="205" t="s">
        <v>447</v>
      </c>
      <c r="V42" s="209" t="s">
        <v>772</v>
      </c>
      <c r="W42" s="201" t="s">
        <v>781</v>
      </c>
      <c r="X42" s="201" t="s">
        <v>834</v>
      </c>
      <c r="Y42" s="209" t="s">
        <v>796</v>
      </c>
      <c r="Z42" s="210"/>
      <c r="AA42" s="172"/>
      <c r="AB42" s="172"/>
      <c r="AC42" s="172"/>
      <c r="AD42" s="172"/>
      <c r="AE42" s="172"/>
      <c r="AF42" s="172"/>
    </row>
    <row r="43" spans="1:32" ht="20.100000000000001" customHeight="1" x14ac:dyDescent="0.2">
      <c r="A43" s="172"/>
      <c r="B43" s="260"/>
      <c r="C43" s="296" t="s">
        <v>622</v>
      </c>
      <c r="D43" s="204" t="s">
        <v>741</v>
      </c>
      <c r="E43" s="205" t="s">
        <v>34</v>
      </c>
      <c r="F43" s="205"/>
      <c r="G43" s="205" t="s">
        <v>623</v>
      </c>
      <c r="H43" s="206" t="s">
        <v>709</v>
      </c>
      <c r="I43" s="205" t="s">
        <v>447</v>
      </c>
      <c r="J43" s="207" t="s">
        <v>540</v>
      </c>
      <c r="K43" s="256" t="s">
        <v>716</v>
      </c>
      <c r="L43" s="207" t="s">
        <v>633</v>
      </c>
      <c r="M43" s="208" t="s">
        <v>707</v>
      </c>
      <c r="N43" s="207" t="s">
        <v>33</v>
      </c>
      <c r="O43" s="208" t="s">
        <v>13</v>
      </c>
      <c r="P43" s="209"/>
      <c r="Q43" s="209"/>
      <c r="R43" s="205" t="str">
        <f t="shared" si="0"/>
        <v>NO-11_CIC_ARCH_CC_TOW_07_M3_0001</v>
      </c>
      <c r="S43" s="205"/>
      <c r="T43" s="215"/>
      <c r="U43" s="205" t="s">
        <v>447</v>
      </c>
      <c r="V43" s="209" t="s">
        <v>772</v>
      </c>
      <c r="W43" s="201" t="s">
        <v>781</v>
      </c>
      <c r="X43" s="201" t="s">
        <v>832</v>
      </c>
      <c r="Y43" s="209" t="s">
        <v>796</v>
      </c>
      <c r="Z43" s="210"/>
      <c r="AA43" s="172"/>
      <c r="AB43" s="172"/>
      <c r="AC43" s="172"/>
      <c r="AD43" s="172"/>
      <c r="AE43" s="172"/>
      <c r="AF43" s="172"/>
    </row>
    <row r="44" spans="1:32" ht="20.100000000000001" customHeight="1" x14ac:dyDescent="0.2">
      <c r="A44" s="172"/>
      <c r="B44" s="260"/>
      <c r="C44" s="296"/>
      <c r="D44" s="204" t="s">
        <v>742</v>
      </c>
      <c r="E44" s="205" t="s">
        <v>34</v>
      </c>
      <c r="F44" s="205"/>
      <c r="G44" s="205" t="s">
        <v>694</v>
      </c>
      <c r="H44" s="206" t="s">
        <v>709</v>
      </c>
      <c r="I44" s="205" t="s">
        <v>447</v>
      </c>
      <c r="J44" s="207" t="s">
        <v>540</v>
      </c>
      <c r="K44" s="256" t="s">
        <v>716</v>
      </c>
      <c r="L44" s="207" t="s">
        <v>633</v>
      </c>
      <c r="M44" s="208" t="s">
        <v>739</v>
      </c>
      <c r="N44" s="207" t="s">
        <v>33</v>
      </c>
      <c r="O44" s="208" t="s">
        <v>13</v>
      </c>
      <c r="P44" s="209"/>
      <c r="Q44" s="209"/>
      <c r="R44" s="205" t="str">
        <f t="shared" si="0"/>
        <v>NO-11_CIC_ARCH_CC_TOW_08-32_M3_0001</v>
      </c>
      <c r="S44" s="205"/>
      <c r="T44" s="215"/>
      <c r="U44" s="205" t="s">
        <v>447</v>
      </c>
      <c r="V44" s="209" t="s">
        <v>772</v>
      </c>
      <c r="W44" s="201" t="s">
        <v>781</v>
      </c>
      <c r="X44" s="201" t="s">
        <v>832</v>
      </c>
      <c r="Y44" s="209" t="s">
        <v>796</v>
      </c>
      <c r="Z44" s="210"/>
      <c r="AA44" s="172"/>
      <c r="AB44" s="172"/>
      <c r="AC44" s="172"/>
      <c r="AD44" s="172"/>
      <c r="AE44" s="172"/>
      <c r="AF44" s="172"/>
    </row>
    <row r="45" spans="1:32" ht="20.100000000000001" customHeight="1" x14ac:dyDescent="0.2">
      <c r="A45" s="172"/>
      <c r="B45" s="260"/>
      <c r="C45" s="296"/>
      <c r="D45" s="204" t="s">
        <v>743</v>
      </c>
      <c r="E45" s="205" t="s">
        <v>34</v>
      </c>
      <c r="F45" s="205"/>
      <c r="G45" s="205" t="s">
        <v>623</v>
      </c>
      <c r="H45" s="206" t="s">
        <v>709</v>
      </c>
      <c r="I45" s="205" t="s">
        <v>447</v>
      </c>
      <c r="J45" s="207" t="s">
        <v>540</v>
      </c>
      <c r="K45" s="256" t="s">
        <v>716</v>
      </c>
      <c r="L45" s="207" t="s">
        <v>633</v>
      </c>
      <c r="M45" s="208" t="s">
        <v>740</v>
      </c>
      <c r="N45" s="207" t="s">
        <v>33</v>
      </c>
      <c r="O45" s="208" t="s">
        <v>13</v>
      </c>
      <c r="P45" s="209"/>
      <c r="Q45" s="209"/>
      <c r="R45" s="205" t="str">
        <f t="shared" si="0"/>
        <v>NO-11_CIC_ARCH_CC_TOW_MA_M3_0001</v>
      </c>
      <c r="S45" s="205"/>
      <c r="T45" s="215"/>
      <c r="U45" s="205" t="s">
        <v>447</v>
      </c>
      <c r="V45" s="209" t="s">
        <v>772</v>
      </c>
      <c r="W45" s="201" t="s">
        <v>781</v>
      </c>
      <c r="X45" s="201" t="s">
        <v>832</v>
      </c>
      <c r="Y45" s="209" t="s">
        <v>795</v>
      </c>
      <c r="Z45" s="210"/>
      <c r="AA45" s="172"/>
      <c r="AB45" s="172"/>
      <c r="AC45" s="172"/>
      <c r="AD45" s="172"/>
      <c r="AE45" s="172"/>
      <c r="AF45" s="172"/>
    </row>
    <row r="46" spans="1:32" ht="20.100000000000001" customHeight="1" x14ac:dyDescent="0.2">
      <c r="A46" s="172"/>
      <c r="B46" s="260"/>
      <c r="C46" s="296" t="s">
        <v>535</v>
      </c>
      <c r="D46" s="204" t="s">
        <v>744</v>
      </c>
      <c r="E46" s="205" t="s">
        <v>34</v>
      </c>
      <c r="F46" s="205"/>
      <c r="G46" s="205" t="s">
        <v>623</v>
      </c>
      <c r="H46" s="206" t="s">
        <v>709</v>
      </c>
      <c r="I46" s="205" t="s">
        <v>447</v>
      </c>
      <c r="J46" s="207" t="s">
        <v>542</v>
      </c>
      <c r="K46" s="256" t="s">
        <v>716</v>
      </c>
      <c r="L46" s="207" t="s">
        <v>633</v>
      </c>
      <c r="M46" s="208" t="s">
        <v>707</v>
      </c>
      <c r="N46" s="207" t="s">
        <v>33</v>
      </c>
      <c r="O46" s="208" t="s">
        <v>13</v>
      </c>
      <c r="P46" s="209"/>
      <c r="Q46" s="209"/>
      <c r="R46" s="205" t="str">
        <f t="shared" si="0"/>
        <v>NO-11_CIC_HVAC_CC_TOW_07_M3_0001</v>
      </c>
      <c r="S46" s="205"/>
      <c r="T46" s="215"/>
      <c r="U46" s="205" t="s">
        <v>447</v>
      </c>
      <c r="V46" s="209" t="s">
        <v>772</v>
      </c>
      <c r="W46" s="201" t="s">
        <v>781</v>
      </c>
      <c r="X46" s="201" t="s">
        <v>834</v>
      </c>
      <c r="Y46" s="209" t="s">
        <v>796</v>
      </c>
      <c r="Z46" s="210"/>
      <c r="AA46" s="172"/>
      <c r="AB46" s="172"/>
      <c r="AC46" s="172"/>
      <c r="AD46" s="172"/>
      <c r="AE46" s="172"/>
      <c r="AF46" s="172"/>
    </row>
    <row r="47" spans="1:32" ht="20.100000000000001" customHeight="1" x14ac:dyDescent="0.2">
      <c r="A47" s="172"/>
      <c r="B47" s="260"/>
      <c r="C47" s="296"/>
      <c r="D47" s="204" t="s">
        <v>782</v>
      </c>
      <c r="E47" s="205" t="s">
        <v>34</v>
      </c>
      <c r="F47" s="205"/>
      <c r="G47" s="205" t="s">
        <v>752</v>
      </c>
      <c r="H47" s="206" t="s">
        <v>709</v>
      </c>
      <c r="I47" s="205" t="s">
        <v>447</v>
      </c>
      <c r="J47" s="207" t="s">
        <v>542</v>
      </c>
      <c r="K47" s="256" t="s">
        <v>716</v>
      </c>
      <c r="L47" s="207" t="s">
        <v>633</v>
      </c>
      <c r="M47" s="208" t="s">
        <v>783</v>
      </c>
      <c r="N47" s="207" t="s">
        <v>33</v>
      </c>
      <c r="O47" s="208" t="s">
        <v>13</v>
      </c>
      <c r="P47" s="209"/>
      <c r="Q47" s="209"/>
      <c r="R47" s="205" t="str">
        <f t="shared" si="0"/>
        <v>NO-11_CIC_HVAC_CC_TOW_08-16_M3_0001</v>
      </c>
      <c r="S47" s="205"/>
      <c r="T47" s="215"/>
      <c r="U47" s="205" t="s">
        <v>447</v>
      </c>
      <c r="V47" s="209" t="s">
        <v>772</v>
      </c>
      <c r="W47" s="201" t="s">
        <v>781</v>
      </c>
      <c r="X47" s="201" t="s">
        <v>834</v>
      </c>
      <c r="Y47" s="209" t="s">
        <v>796</v>
      </c>
      <c r="Z47" s="210"/>
      <c r="AA47" s="172"/>
      <c r="AB47" s="172"/>
      <c r="AC47" s="172"/>
      <c r="AD47" s="172"/>
      <c r="AE47" s="172"/>
      <c r="AF47" s="172"/>
    </row>
    <row r="48" spans="1:32" ht="20.100000000000001" customHeight="1" x14ac:dyDescent="0.2">
      <c r="A48" s="172"/>
      <c r="B48" s="260"/>
      <c r="C48" s="296"/>
      <c r="D48" s="204" t="s">
        <v>754</v>
      </c>
      <c r="E48" s="205" t="s">
        <v>34</v>
      </c>
      <c r="F48" s="205"/>
      <c r="G48" s="205" t="s">
        <v>752</v>
      </c>
      <c r="H48" s="206" t="s">
        <v>709</v>
      </c>
      <c r="I48" s="205" t="s">
        <v>447</v>
      </c>
      <c r="J48" s="207" t="s">
        <v>542</v>
      </c>
      <c r="K48" s="256" t="s">
        <v>716</v>
      </c>
      <c r="L48" s="207" t="s">
        <v>633</v>
      </c>
      <c r="M48" s="208" t="s">
        <v>753</v>
      </c>
      <c r="N48" s="207" t="s">
        <v>33</v>
      </c>
      <c r="O48" s="208" t="s">
        <v>13</v>
      </c>
      <c r="P48" s="209"/>
      <c r="Q48" s="209"/>
      <c r="R48" s="205" t="str">
        <f t="shared" si="0"/>
        <v>NO-11_CIC_HVAC_CC_TOW_17-24_M3_0001</v>
      </c>
      <c r="S48" s="205"/>
      <c r="T48" s="215"/>
      <c r="U48" s="205" t="s">
        <v>447</v>
      </c>
      <c r="V48" s="209" t="s">
        <v>772</v>
      </c>
      <c r="W48" s="201" t="s">
        <v>781</v>
      </c>
      <c r="X48" s="201" t="s">
        <v>834</v>
      </c>
      <c r="Y48" s="209" t="s">
        <v>796</v>
      </c>
      <c r="Z48" s="210"/>
      <c r="AA48" s="172"/>
      <c r="AB48" s="172"/>
      <c r="AC48" s="172"/>
      <c r="AD48" s="172"/>
      <c r="AE48" s="172"/>
      <c r="AF48" s="172"/>
    </row>
    <row r="49" spans="1:32" ht="20.100000000000001" customHeight="1" x14ac:dyDescent="0.2">
      <c r="A49" s="172"/>
      <c r="B49" s="260"/>
      <c r="C49" s="296"/>
      <c r="D49" s="204" t="s">
        <v>784</v>
      </c>
      <c r="E49" s="205" t="s">
        <v>34</v>
      </c>
      <c r="F49" s="205"/>
      <c r="G49" s="205" t="s">
        <v>752</v>
      </c>
      <c r="H49" s="206" t="s">
        <v>709</v>
      </c>
      <c r="I49" s="205" t="s">
        <v>447</v>
      </c>
      <c r="J49" s="207" t="s">
        <v>542</v>
      </c>
      <c r="K49" s="256" t="s">
        <v>716</v>
      </c>
      <c r="L49" s="207" t="s">
        <v>633</v>
      </c>
      <c r="M49" s="208" t="s">
        <v>785</v>
      </c>
      <c r="N49" s="207" t="s">
        <v>33</v>
      </c>
      <c r="O49" s="208" t="s">
        <v>13</v>
      </c>
      <c r="P49" s="209"/>
      <c r="Q49" s="209"/>
      <c r="R49" s="205" t="str">
        <f t="shared" si="0"/>
        <v>NO-11_CIC_HVAC_CC_TOW_25-32_M3_0001</v>
      </c>
      <c r="S49" s="205"/>
      <c r="T49" s="215"/>
      <c r="U49" s="205" t="s">
        <v>447</v>
      </c>
      <c r="V49" s="209" t="s">
        <v>772</v>
      </c>
      <c r="W49" s="201" t="s">
        <v>781</v>
      </c>
      <c r="X49" s="201" t="s">
        <v>834</v>
      </c>
      <c r="Y49" s="209" t="s">
        <v>796</v>
      </c>
      <c r="Z49" s="210"/>
      <c r="AA49" s="172"/>
      <c r="AB49" s="172"/>
      <c r="AC49" s="172"/>
      <c r="AD49" s="172"/>
      <c r="AE49" s="172"/>
      <c r="AF49" s="172"/>
    </row>
    <row r="50" spans="1:32" ht="20.100000000000001" customHeight="1" x14ac:dyDescent="0.2">
      <c r="A50" s="172"/>
      <c r="B50" s="260"/>
      <c r="C50" s="296"/>
      <c r="D50" s="204" t="s">
        <v>745</v>
      </c>
      <c r="E50" s="205" t="s">
        <v>34</v>
      </c>
      <c r="F50" s="205"/>
      <c r="G50" s="205" t="s">
        <v>623</v>
      </c>
      <c r="H50" s="206" t="s">
        <v>709</v>
      </c>
      <c r="I50" s="205" t="s">
        <v>447</v>
      </c>
      <c r="J50" s="207" t="s">
        <v>542</v>
      </c>
      <c r="K50" s="256" t="s">
        <v>716</v>
      </c>
      <c r="L50" s="207" t="s">
        <v>633</v>
      </c>
      <c r="M50" s="208" t="s">
        <v>740</v>
      </c>
      <c r="N50" s="207" t="s">
        <v>33</v>
      </c>
      <c r="O50" s="208" t="s">
        <v>13</v>
      </c>
      <c r="P50" s="209"/>
      <c r="Q50" s="209"/>
      <c r="R50" s="205" t="str">
        <f t="shared" si="0"/>
        <v>NO-11_CIC_HVAC_CC_TOW_MA_M3_0001</v>
      </c>
      <c r="S50" s="205"/>
      <c r="T50" s="215"/>
      <c r="U50" s="205" t="s">
        <v>447</v>
      </c>
      <c r="V50" s="209" t="s">
        <v>772</v>
      </c>
      <c r="W50" s="201" t="s">
        <v>781</v>
      </c>
      <c r="X50" s="201" t="s">
        <v>797</v>
      </c>
      <c r="Y50" s="209" t="s">
        <v>795</v>
      </c>
      <c r="Z50" s="210"/>
      <c r="AA50" s="172"/>
      <c r="AB50" s="172"/>
      <c r="AC50" s="172"/>
      <c r="AD50" s="172"/>
      <c r="AE50" s="172"/>
      <c r="AF50" s="172"/>
    </row>
    <row r="51" spans="1:32" ht="20.100000000000001" customHeight="1" x14ac:dyDescent="0.2">
      <c r="A51" s="172"/>
      <c r="B51" s="260"/>
      <c r="C51" s="296" t="s">
        <v>536</v>
      </c>
      <c r="D51" s="204" t="s">
        <v>746</v>
      </c>
      <c r="E51" s="205" t="s">
        <v>34</v>
      </c>
      <c r="F51" s="205"/>
      <c r="G51" s="205" t="s">
        <v>623</v>
      </c>
      <c r="H51" s="206" t="s">
        <v>709</v>
      </c>
      <c r="I51" s="205" t="s">
        <v>447</v>
      </c>
      <c r="J51" s="207" t="s">
        <v>543</v>
      </c>
      <c r="K51" s="256" t="s">
        <v>716</v>
      </c>
      <c r="L51" s="207" t="s">
        <v>633</v>
      </c>
      <c r="M51" s="208" t="s">
        <v>707</v>
      </c>
      <c r="N51" s="207" t="s">
        <v>33</v>
      </c>
      <c r="O51" s="208" t="s">
        <v>13</v>
      </c>
      <c r="P51" s="209"/>
      <c r="Q51" s="209"/>
      <c r="R51" s="205" t="str">
        <f t="shared" si="0"/>
        <v>NO-11_CIC_PLUM_CC_TOW_07_M3_0001</v>
      </c>
      <c r="S51" s="205"/>
      <c r="T51" s="215"/>
      <c r="U51" s="205" t="s">
        <v>447</v>
      </c>
      <c r="V51" s="209" t="s">
        <v>772</v>
      </c>
      <c r="W51" s="201" t="s">
        <v>781</v>
      </c>
      <c r="X51" s="201" t="s">
        <v>832</v>
      </c>
      <c r="Y51" s="209" t="s">
        <v>795</v>
      </c>
      <c r="Z51" s="210"/>
      <c r="AA51" s="172"/>
      <c r="AB51" s="172"/>
      <c r="AC51" s="172"/>
      <c r="AD51" s="172"/>
      <c r="AE51" s="172"/>
      <c r="AF51" s="172"/>
    </row>
    <row r="52" spans="1:32" ht="20.100000000000001" customHeight="1" x14ac:dyDescent="0.2">
      <c r="A52" s="172"/>
      <c r="B52" s="260"/>
      <c r="C52" s="296"/>
      <c r="D52" s="204" t="s">
        <v>786</v>
      </c>
      <c r="E52" s="205" t="s">
        <v>34</v>
      </c>
      <c r="F52" s="205"/>
      <c r="G52" s="205" t="s">
        <v>694</v>
      </c>
      <c r="H52" s="206" t="s">
        <v>709</v>
      </c>
      <c r="I52" s="205" t="s">
        <v>447</v>
      </c>
      <c r="J52" s="207" t="s">
        <v>543</v>
      </c>
      <c r="K52" s="256" t="s">
        <v>716</v>
      </c>
      <c r="L52" s="207" t="s">
        <v>633</v>
      </c>
      <c r="M52" s="208" t="s">
        <v>783</v>
      </c>
      <c r="N52" s="207" t="s">
        <v>33</v>
      </c>
      <c r="O52" s="208" t="s">
        <v>13</v>
      </c>
      <c r="P52" s="209"/>
      <c r="Q52" s="209"/>
      <c r="R52" s="205" t="str">
        <f t="shared" si="0"/>
        <v>NO-11_CIC_PLUM_CC_TOW_08-16_M3_0001</v>
      </c>
      <c r="S52" s="205"/>
      <c r="T52" s="215"/>
      <c r="U52" s="205" t="s">
        <v>447</v>
      </c>
      <c r="V52" s="209" t="s">
        <v>772</v>
      </c>
      <c r="W52" s="201" t="s">
        <v>781</v>
      </c>
      <c r="X52" s="201" t="s">
        <v>832</v>
      </c>
      <c r="Y52" s="209" t="s">
        <v>795</v>
      </c>
      <c r="Z52" s="210"/>
      <c r="AA52" s="172"/>
      <c r="AB52" s="172"/>
      <c r="AC52" s="172"/>
      <c r="AD52" s="172"/>
      <c r="AE52" s="172"/>
      <c r="AF52" s="172"/>
    </row>
    <row r="53" spans="1:32" ht="20.100000000000001" customHeight="1" x14ac:dyDescent="0.2">
      <c r="A53" s="172"/>
      <c r="B53" s="260"/>
      <c r="C53" s="296"/>
      <c r="D53" s="204" t="s">
        <v>755</v>
      </c>
      <c r="E53" s="205" t="s">
        <v>34</v>
      </c>
      <c r="F53" s="205"/>
      <c r="G53" s="205" t="s">
        <v>752</v>
      </c>
      <c r="H53" s="206" t="s">
        <v>709</v>
      </c>
      <c r="I53" s="205" t="s">
        <v>447</v>
      </c>
      <c r="J53" s="207" t="s">
        <v>543</v>
      </c>
      <c r="K53" s="256" t="s">
        <v>716</v>
      </c>
      <c r="L53" s="207" t="s">
        <v>633</v>
      </c>
      <c r="M53" s="208" t="s">
        <v>753</v>
      </c>
      <c r="N53" s="207" t="s">
        <v>33</v>
      </c>
      <c r="O53" s="208" t="s">
        <v>13</v>
      </c>
      <c r="P53" s="209"/>
      <c r="Q53" s="209"/>
      <c r="R53" s="205" t="str">
        <f t="shared" si="0"/>
        <v>NO-11_CIC_PLUM_CC_TOW_17-24_M3_0001</v>
      </c>
      <c r="S53" s="205"/>
      <c r="T53" s="215"/>
      <c r="U53" s="205" t="s">
        <v>447</v>
      </c>
      <c r="V53" s="209" t="s">
        <v>772</v>
      </c>
      <c r="W53" s="201" t="s">
        <v>781</v>
      </c>
      <c r="X53" s="201" t="s">
        <v>832</v>
      </c>
      <c r="Y53" s="209" t="s">
        <v>795</v>
      </c>
      <c r="Z53" s="210"/>
      <c r="AA53" s="172"/>
      <c r="AB53" s="172"/>
      <c r="AC53" s="172"/>
      <c r="AD53" s="172"/>
      <c r="AE53" s="172"/>
      <c r="AF53" s="172"/>
    </row>
    <row r="54" spans="1:32" ht="20.100000000000001" customHeight="1" x14ac:dyDescent="0.2">
      <c r="A54" s="172"/>
      <c r="B54" s="260"/>
      <c r="C54" s="296"/>
      <c r="D54" s="204" t="s">
        <v>787</v>
      </c>
      <c r="E54" s="205" t="s">
        <v>34</v>
      </c>
      <c r="F54" s="205"/>
      <c r="G54" s="205" t="s">
        <v>752</v>
      </c>
      <c r="H54" s="206" t="s">
        <v>709</v>
      </c>
      <c r="I54" s="205" t="s">
        <v>447</v>
      </c>
      <c r="J54" s="207" t="s">
        <v>543</v>
      </c>
      <c r="K54" s="256" t="s">
        <v>716</v>
      </c>
      <c r="L54" s="207" t="s">
        <v>633</v>
      </c>
      <c r="M54" s="208" t="s">
        <v>785</v>
      </c>
      <c r="N54" s="207" t="s">
        <v>33</v>
      </c>
      <c r="O54" s="208" t="s">
        <v>13</v>
      </c>
      <c r="P54" s="209"/>
      <c r="Q54" s="209"/>
      <c r="R54" s="205" t="str">
        <f t="shared" si="0"/>
        <v>NO-11_CIC_PLUM_CC_TOW_25-32_M3_0001</v>
      </c>
      <c r="S54" s="205"/>
      <c r="T54" s="215"/>
      <c r="U54" s="205" t="s">
        <v>447</v>
      </c>
      <c r="V54" s="209" t="s">
        <v>772</v>
      </c>
      <c r="W54" s="201" t="s">
        <v>781</v>
      </c>
      <c r="X54" s="201" t="s">
        <v>832</v>
      </c>
      <c r="Y54" s="209" t="s">
        <v>795</v>
      </c>
      <c r="Z54" s="210"/>
      <c r="AA54" s="172"/>
      <c r="AB54" s="172"/>
      <c r="AC54" s="172"/>
      <c r="AD54" s="172"/>
      <c r="AE54" s="172"/>
      <c r="AF54" s="172"/>
    </row>
    <row r="55" spans="1:32" ht="20.100000000000001" customHeight="1" x14ac:dyDescent="0.2">
      <c r="A55" s="172"/>
      <c r="B55" s="260"/>
      <c r="C55" s="296"/>
      <c r="D55" s="204" t="s">
        <v>747</v>
      </c>
      <c r="E55" s="205" t="s">
        <v>34</v>
      </c>
      <c r="F55" s="205"/>
      <c r="G55" s="205" t="s">
        <v>623</v>
      </c>
      <c r="H55" s="206" t="s">
        <v>709</v>
      </c>
      <c r="I55" s="205" t="s">
        <v>447</v>
      </c>
      <c r="J55" s="207" t="s">
        <v>543</v>
      </c>
      <c r="K55" s="256" t="s">
        <v>716</v>
      </c>
      <c r="L55" s="207" t="s">
        <v>633</v>
      </c>
      <c r="M55" s="208" t="s">
        <v>740</v>
      </c>
      <c r="N55" s="207" t="s">
        <v>33</v>
      </c>
      <c r="O55" s="208" t="s">
        <v>13</v>
      </c>
      <c r="P55" s="209"/>
      <c r="Q55" s="209"/>
      <c r="R55" s="205" t="str">
        <f t="shared" si="0"/>
        <v>NO-11_CIC_PLUM_CC_TOW_MA_M3_0001</v>
      </c>
      <c r="S55" s="205"/>
      <c r="T55" s="215"/>
      <c r="U55" s="205" t="s">
        <v>447</v>
      </c>
      <c r="V55" s="209" t="s">
        <v>772</v>
      </c>
      <c r="W55" s="201" t="s">
        <v>781</v>
      </c>
      <c r="X55" s="201" t="s">
        <v>832</v>
      </c>
      <c r="Y55" s="209" t="s">
        <v>795</v>
      </c>
      <c r="Z55" s="210"/>
      <c r="AA55" s="172"/>
      <c r="AB55" s="172"/>
      <c r="AC55" s="172"/>
      <c r="AD55" s="172"/>
      <c r="AE55" s="172"/>
      <c r="AF55" s="172"/>
    </row>
    <row r="56" spans="1:32" ht="20.100000000000001" customHeight="1" x14ac:dyDescent="0.2">
      <c r="A56" s="172"/>
      <c r="B56" s="260"/>
      <c r="C56" s="296" t="s">
        <v>342</v>
      </c>
      <c r="D56" s="204" t="s">
        <v>748</v>
      </c>
      <c r="E56" s="205" t="s">
        <v>34</v>
      </c>
      <c r="F56" s="205"/>
      <c r="G56" s="205" t="s">
        <v>623</v>
      </c>
      <c r="H56" s="206" t="s">
        <v>709</v>
      </c>
      <c r="I56" s="205" t="s">
        <v>447</v>
      </c>
      <c r="J56" s="207" t="s">
        <v>545</v>
      </c>
      <c r="K56" s="256" t="s">
        <v>716</v>
      </c>
      <c r="L56" s="207" t="s">
        <v>633</v>
      </c>
      <c r="M56" s="208" t="s">
        <v>707</v>
      </c>
      <c r="N56" s="207" t="s">
        <v>33</v>
      </c>
      <c r="O56" s="208" t="s">
        <v>13</v>
      </c>
      <c r="P56" s="209"/>
      <c r="Q56" s="209"/>
      <c r="R56" s="205" t="str">
        <f t="shared" si="0"/>
        <v>NO-11_CIC_ELEC_CC_TOW_07_M3_0001</v>
      </c>
      <c r="S56" s="205"/>
      <c r="T56" s="215"/>
      <c r="U56" s="205" t="s">
        <v>447</v>
      </c>
      <c r="V56" s="209" t="s">
        <v>772</v>
      </c>
      <c r="W56" s="201" t="s">
        <v>781</v>
      </c>
      <c r="X56" s="201" t="s">
        <v>832</v>
      </c>
      <c r="Y56" s="209" t="s">
        <v>796</v>
      </c>
      <c r="Z56" s="210"/>
      <c r="AA56" s="172"/>
      <c r="AB56" s="172"/>
      <c r="AC56" s="172"/>
      <c r="AD56" s="172"/>
      <c r="AE56" s="172"/>
      <c r="AF56" s="172"/>
    </row>
    <row r="57" spans="1:32" ht="20.100000000000001" customHeight="1" x14ac:dyDescent="0.2">
      <c r="A57" s="172"/>
      <c r="B57" s="260"/>
      <c r="C57" s="296"/>
      <c r="D57" s="204" t="s">
        <v>788</v>
      </c>
      <c r="E57" s="205" t="s">
        <v>34</v>
      </c>
      <c r="F57" s="205"/>
      <c r="G57" s="205" t="s">
        <v>694</v>
      </c>
      <c r="H57" s="206" t="s">
        <v>709</v>
      </c>
      <c r="I57" s="205" t="s">
        <v>447</v>
      </c>
      <c r="J57" s="207" t="s">
        <v>545</v>
      </c>
      <c r="K57" s="256" t="s">
        <v>716</v>
      </c>
      <c r="L57" s="207" t="s">
        <v>633</v>
      </c>
      <c r="M57" s="208" t="s">
        <v>783</v>
      </c>
      <c r="N57" s="207" t="s">
        <v>33</v>
      </c>
      <c r="O57" s="208" t="s">
        <v>13</v>
      </c>
      <c r="P57" s="209"/>
      <c r="Q57" s="209"/>
      <c r="R57" s="205" t="str">
        <f t="shared" si="0"/>
        <v>NO-11_CIC_ELEC_CC_TOW_08-16_M3_0001</v>
      </c>
      <c r="S57" s="205"/>
      <c r="T57" s="215"/>
      <c r="U57" s="205" t="s">
        <v>447</v>
      </c>
      <c r="V57" s="209" t="s">
        <v>772</v>
      </c>
      <c r="W57" s="201" t="s">
        <v>781</v>
      </c>
      <c r="X57" s="201" t="s">
        <v>832</v>
      </c>
      <c r="Y57" s="209" t="s">
        <v>796</v>
      </c>
      <c r="Z57" s="210"/>
      <c r="AA57" s="172"/>
      <c r="AB57" s="172"/>
      <c r="AC57" s="172"/>
      <c r="AD57" s="172"/>
      <c r="AE57" s="172"/>
      <c r="AF57" s="172"/>
    </row>
    <row r="58" spans="1:32" ht="20.100000000000001" customHeight="1" x14ac:dyDescent="0.2">
      <c r="A58" s="172"/>
      <c r="B58" s="260"/>
      <c r="C58" s="296"/>
      <c r="D58" s="204" t="s">
        <v>756</v>
      </c>
      <c r="E58" s="205" t="s">
        <v>34</v>
      </c>
      <c r="F58" s="205"/>
      <c r="G58" s="205" t="s">
        <v>752</v>
      </c>
      <c r="H58" s="206" t="s">
        <v>709</v>
      </c>
      <c r="I58" s="205" t="s">
        <v>447</v>
      </c>
      <c r="J58" s="207" t="s">
        <v>545</v>
      </c>
      <c r="K58" s="256" t="s">
        <v>716</v>
      </c>
      <c r="L58" s="207" t="s">
        <v>633</v>
      </c>
      <c r="M58" s="208" t="s">
        <v>753</v>
      </c>
      <c r="N58" s="207" t="s">
        <v>33</v>
      </c>
      <c r="O58" s="208" t="s">
        <v>13</v>
      </c>
      <c r="P58" s="209"/>
      <c r="Q58" s="209"/>
      <c r="R58" s="205" t="str">
        <f t="shared" si="0"/>
        <v>NO-11_CIC_ELEC_CC_TOW_17-24_M3_0001</v>
      </c>
      <c r="S58" s="205"/>
      <c r="T58" s="215"/>
      <c r="U58" s="205" t="s">
        <v>447</v>
      </c>
      <c r="V58" s="209" t="s">
        <v>772</v>
      </c>
      <c r="W58" s="201" t="s">
        <v>781</v>
      </c>
      <c r="X58" s="201" t="s">
        <v>832</v>
      </c>
      <c r="Y58" s="209" t="s">
        <v>796</v>
      </c>
      <c r="Z58" s="210"/>
      <c r="AA58" s="172"/>
      <c r="AB58" s="172"/>
      <c r="AC58" s="172"/>
      <c r="AD58" s="172"/>
      <c r="AE58" s="172"/>
      <c r="AF58" s="172"/>
    </row>
    <row r="59" spans="1:32" ht="20.100000000000001" customHeight="1" x14ac:dyDescent="0.2">
      <c r="A59" s="172"/>
      <c r="B59" s="260"/>
      <c r="C59" s="296"/>
      <c r="D59" s="204" t="s">
        <v>789</v>
      </c>
      <c r="E59" s="205" t="s">
        <v>34</v>
      </c>
      <c r="F59" s="205"/>
      <c r="G59" s="205" t="s">
        <v>752</v>
      </c>
      <c r="H59" s="206" t="s">
        <v>709</v>
      </c>
      <c r="I59" s="205" t="s">
        <v>447</v>
      </c>
      <c r="J59" s="207" t="s">
        <v>545</v>
      </c>
      <c r="K59" s="256" t="s">
        <v>716</v>
      </c>
      <c r="L59" s="207" t="s">
        <v>633</v>
      </c>
      <c r="M59" s="208" t="s">
        <v>785</v>
      </c>
      <c r="N59" s="207" t="s">
        <v>33</v>
      </c>
      <c r="O59" s="208" t="s">
        <v>13</v>
      </c>
      <c r="P59" s="209"/>
      <c r="Q59" s="209"/>
      <c r="R59" s="205" t="str">
        <f t="shared" si="0"/>
        <v>NO-11_CIC_ELEC_CC_TOW_25-32_M3_0001</v>
      </c>
      <c r="S59" s="205"/>
      <c r="T59" s="215"/>
      <c r="U59" s="205" t="s">
        <v>447</v>
      </c>
      <c r="V59" s="209" t="s">
        <v>772</v>
      </c>
      <c r="W59" s="201" t="s">
        <v>781</v>
      </c>
      <c r="X59" s="201" t="s">
        <v>832</v>
      </c>
      <c r="Y59" s="209" t="s">
        <v>796</v>
      </c>
      <c r="Z59" s="210"/>
      <c r="AA59" s="172"/>
      <c r="AB59" s="172"/>
      <c r="AC59" s="172"/>
      <c r="AD59" s="172"/>
      <c r="AE59" s="172"/>
      <c r="AF59" s="172"/>
    </row>
    <row r="60" spans="1:32" ht="20.100000000000001" customHeight="1" x14ac:dyDescent="0.2">
      <c r="A60" s="172"/>
      <c r="B60" s="260"/>
      <c r="C60" s="296"/>
      <c r="D60" s="204" t="s">
        <v>749</v>
      </c>
      <c r="E60" s="205" t="s">
        <v>34</v>
      </c>
      <c r="F60" s="205"/>
      <c r="G60" s="205" t="s">
        <v>623</v>
      </c>
      <c r="H60" s="206" t="s">
        <v>709</v>
      </c>
      <c r="I60" s="205" t="s">
        <v>447</v>
      </c>
      <c r="J60" s="207" t="s">
        <v>545</v>
      </c>
      <c r="K60" s="256" t="s">
        <v>716</v>
      </c>
      <c r="L60" s="207" t="s">
        <v>633</v>
      </c>
      <c r="M60" s="208" t="s">
        <v>740</v>
      </c>
      <c r="N60" s="207" t="s">
        <v>33</v>
      </c>
      <c r="O60" s="208" t="s">
        <v>13</v>
      </c>
      <c r="P60" s="209"/>
      <c r="Q60" s="209"/>
      <c r="R60" s="205" t="str">
        <f t="shared" si="0"/>
        <v>NO-11_CIC_ELEC_CC_TOW_MA_M3_0001</v>
      </c>
      <c r="S60" s="205"/>
      <c r="T60" s="215"/>
      <c r="U60" s="205" t="s">
        <v>447</v>
      </c>
      <c r="V60" s="209" t="s">
        <v>772</v>
      </c>
      <c r="W60" s="201" t="s">
        <v>781</v>
      </c>
      <c r="X60" s="201" t="s">
        <v>832</v>
      </c>
      <c r="Y60" s="209" t="s">
        <v>796</v>
      </c>
      <c r="Z60" s="210"/>
      <c r="AA60" s="172"/>
      <c r="AB60" s="172"/>
      <c r="AC60" s="172"/>
      <c r="AD60" s="172"/>
      <c r="AE60" s="172"/>
      <c r="AF60" s="172"/>
    </row>
    <row r="61" spans="1:32" ht="20.100000000000001" customHeight="1" x14ac:dyDescent="0.2">
      <c r="A61" s="172"/>
      <c r="B61" s="260"/>
      <c r="C61" s="296" t="s">
        <v>537</v>
      </c>
      <c r="D61" s="204" t="s">
        <v>750</v>
      </c>
      <c r="E61" s="205" t="s">
        <v>34</v>
      </c>
      <c r="F61" s="205"/>
      <c r="G61" s="205" t="s">
        <v>623</v>
      </c>
      <c r="H61" s="206" t="s">
        <v>709</v>
      </c>
      <c r="I61" s="205" t="s">
        <v>447</v>
      </c>
      <c r="J61" s="207" t="s">
        <v>544</v>
      </c>
      <c r="K61" s="256" t="s">
        <v>716</v>
      </c>
      <c r="L61" s="207" t="s">
        <v>633</v>
      </c>
      <c r="M61" s="208" t="s">
        <v>707</v>
      </c>
      <c r="N61" s="207" t="s">
        <v>33</v>
      </c>
      <c r="O61" s="208" t="s">
        <v>13</v>
      </c>
      <c r="P61" s="209"/>
      <c r="Q61" s="209"/>
      <c r="R61" s="205" t="str">
        <f t="shared" ref="R61:R96" si="1">IF(H61="","_",CONCATENATE(H61,"_",I61,"_",J61,"_",K61,"_",L61,"_",M61,"_",N61,"_",O61))</f>
        <v>NO-11_CIC_FIRE_CC_TOW_07_M3_0001</v>
      </c>
      <c r="S61" s="205"/>
      <c r="T61" s="215"/>
      <c r="U61" s="205" t="s">
        <v>447</v>
      </c>
      <c r="V61" s="209" t="s">
        <v>772</v>
      </c>
      <c r="W61" s="201" t="s">
        <v>781</v>
      </c>
      <c r="X61" s="201" t="s">
        <v>834</v>
      </c>
      <c r="Y61" s="209" t="s">
        <v>795</v>
      </c>
      <c r="Z61" s="210"/>
      <c r="AA61" s="172"/>
      <c r="AB61" s="172"/>
      <c r="AC61" s="172"/>
      <c r="AD61" s="172"/>
      <c r="AE61" s="172"/>
      <c r="AF61" s="172"/>
    </row>
    <row r="62" spans="1:32" ht="20.100000000000001" customHeight="1" x14ac:dyDescent="0.2">
      <c r="A62" s="172"/>
      <c r="B62" s="260"/>
      <c r="C62" s="296"/>
      <c r="D62" s="204" t="s">
        <v>790</v>
      </c>
      <c r="E62" s="205" t="s">
        <v>34</v>
      </c>
      <c r="F62" s="205"/>
      <c r="G62" s="205" t="s">
        <v>694</v>
      </c>
      <c r="H62" s="206" t="s">
        <v>709</v>
      </c>
      <c r="I62" s="205" t="s">
        <v>447</v>
      </c>
      <c r="J62" s="207" t="s">
        <v>544</v>
      </c>
      <c r="K62" s="256" t="s">
        <v>716</v>
      </c>
      <c r="L62" s="207" t="s">
        <v>633</v>
      </c>
      <c r="M62" s="208" t="s">
        <v>783</v>
      </c>
      <c r="N62" s="207" t="s">
        <v>33</v>
      </c>
      <c r="O62" s="208" t="s">
        <v>13</v>
      </c>
      <c r="P62" s="209"/>
      <c r="Q62" s="209"/>
      <c r="R62" s="205" t="str">
        <f t="shared" si="1"/>
        <v>NO-11_CIC_FIRE_CC_TOW_08-16_M3_0001</v>
      </c>
      <c r="S62" s="205"/>
      <c r="T62" s="215"/>
      <c r="U62" s="205" t="s">
        <v>447</v>
      </c>
      <c r="V62" s="209" t="s">
        <v>772</v>
      </c>
      <c r="W62" s="201" t="s">
        <v>781</v>
      </c>
      <c r="X62" s="201" t="s">
        <v>834</v>
      </c>
      <c r="Y62" s="209" t="s">
        <v>795</v>
      </c>
      <c r="Z62" s="210"/>
      <c r="AA62" s="172"/>
      <c r="AB62" s="172"/>
      <c r="AC62" s="172"/>
      <c r="AD62" s="172"/>
      <c r="AE62" s="172"/>
      <c r="AF62" s="172"/>
    </row>
    <row r="63" spans="1:32" ht="20.100000000000001" customHeight="1" x14ac:dyDescent="0.2">
      <c r="A63" s="172"/>
      <c r="B63" s="260"/>
      <c r="C63" s="296"/>
      <c r="D63" s="204" t="s">
        <v>757</v>
      </c>
      <c r="E63" s="205" t="s">
        <v>34</v>
      </c>
      <c r="F63" s="205"/>
      <c r="G63" s="205" t="s">
        <v>752</v>
      </c>
      <c r="H63" s="206" t="s">
        <v>709</v>
      </c>
      <c r="I63" s="205" t="s">
        <v>447</v>
      </c>
      <c r="J63" s="207" t="s">
        <v>544</v>
      </c>
      <c r="K63" s="256" t="s">
        <v>716</v>
      </c>
      <c r="L63" s="207" t="s">
        <v>633</v>
      </c>
      <c r="M63" s="208" t="s">
        <v>753</v>
      </c>
      <c r="N63" s="207" t="s">
        <v>33</v>
      </c>
      <c r="O63" s="208" t="s">
        <v>13</v>
      </c>
      <c r="P63" s="209"/>
      <c r="Q63" s="209"/>
      <c r="R63" s="205" t="str">
        <f t="shared" si="1"/>
        <v>NO-11_CIC_FIRE_CC_TOW_17-24_M3_0001</v>
      </c>
      <c r="S63" s="205"/>
      <c r="T63" s="215"/>
      <c r="U63" s="205" t="s">
        <v>447</v>
      </c>
      <c r="V63" s="209" t="s">
        <v>772</v>
      </c>
      <c r="W63" s="201" t="s">
        <v>781</v>
      </c>
      <c r="X63" s="201" t="s">
        <v>834</v>
      </c>
      <c r="Y63" s="209" t="s">
        <v>795</v>
      </c>
      <c r="Z63" s="210"/>
      <c r="AA63" s="172"/>
      <c r="AB63" s="172"/>
      <c r="AC63" s="172"/>
      <c r="AD63" s="172"/>
      <c r="AE63" s="172"/>
      <c r="AF63" s="172"/>
    </row>
    <row r="64" spans="1:32" ht="20.100000000000001" customHeight="1" x14ac:dyDescent="0.2">
      <c r="A64" s="172"/>
      <c r="B64" s="260"/>
      <c r="C64" s="296"/>
      <c r="D64" s="204" t="s">
        <v>791</v>
      </c>
      <c r="E64" s="205" t="s">
        <v>34</v>
      </c>
      <c r="F64" s="205"/>
      <c r="G64" s="205" t="s">
        <v>752</v>
      </c>
      <c r="H64" s="206" t="s">
        <v>709</v>
      </c>
      <c r="I64" s="205" t="s">
        <v>447</v>
      </c>
      <c r="J64" s="207" t="s">
        <v>544</v>
      </c>
      <c r="K64" s="256" t="s">
        <v>716</v>
      </c>
      <c r="L64" s="207" t="s">
        <v>633</v>
      </c>
      <c r="M64" s="208" t="s">
        <v>785</v>
      </c>
      <c r="N64" s="207" t="s">
        <v>33</v>
      </c>
      <c r="O64" s="208" t="s">
        <v>13</v>
      </c>
      <c r="P64" s="209"/>
      <c r="Q64" s="209"/>
      <c r="R64" s="205" t="str">
        <f t="shared" si="1"/>
        <v>NO-11_CIC_FIRE_CC_TOW_25-32_M3_0001</v>
      </c>
      <c r="S64" s="205"/>
      <c r="T64" s="215"/>
      <c r="U64" s="205" t="s">
        <v>447</v>
      </c>
      <c r="V64" s="209" t="s">
        <v>772</v>
      </c>
      <c r="W64" s="201" t="s">
        <v>781</v>
      </c>
      <c r="X64" s="201" t="s">
        <v>834</v>
      </c>
      <c r="Y64" s="209" t="s">
        <v>795</v>
      </c>
      <c r="Z64" s="210"/>
      <c r="AA64" s="172"/>
      <c r="AB64" s="172"/>
      <c r="AC64" s="172"/>
      <c r="AD64" s="172"/>
      <c r="AE64" s="172"/>
      <c r="AF64" s="172"/>
    </row>
    <row r="65" spans="1:32" ht="20.100000000000001" customHeight="1" x14ac:dyDescent="0.2">
      <c r="A65" s="172"/>
      <c r="B65" s="260"/>
      <c r="C65" s="296"/>
      <c r="D65" s="204" t="s">
        <v>751</v>
      </c>
      <c r="E65" s="205" t="s">
        <v>34</v>
      </c>
      <c r="F65" s="205"/>
      <c r="G65" s="205" t="s">
        <v>623</v>
      </c>
      <c r="H65" s="206" t="s">
        <v>709</v>
      </c>
      <c r="I65" s="205" t="s">
        <v>447</v>
      </c>
      <c r="J65" s="207" t="s">
        <v>544</v>
      </c>
      <c r="K65" s="256" t="s">
        <v>716</v>
      </c>
      <c r="L65" s="207" t="s">
        <v>633</v>
      </c>
      <c r="M65" s="208" t="s">
        <v>740</v>
      </c>
      <c r="N65" s="207" t="s">
        <v>33</v>
      </c>
      <c r="O65" s="208" t="s">
        <v>13</v>
      </c>
      <c r="P65" s="209"/>
      <c r="Q65" s="209"/>
      <c r="R65" s="205" t="str">
        <f t="shared" si="1"/>
        <v>NO-11_CIC_FIRE_CC_TOW_MA_M3_0001</v>
      </c>
      <c r="S65" s="205"/>
      <c r="T65" s="215"/>
      <c r="U65" s="205" t="s">
        <v>447</v>
      </c>
      <c r="V65" s="209" t="s">
        <v>772</v>
      </c>
      <c r="W65" s="201" t="s">
        <v>781</v>
      </c>
      <c r="X65" s="201" t="s">
        <v>834</v>
      </c>
      <c r="Y65" s="209" t="s">
        <v>795</v>
      </c>
      <c r="Z65" s="210"/>
      <c r="AA65" s="172"/>
      <c r="AB65" s="172"/>
      <c r="AC65" s="172"/>
      <c r="AD65" s="172"/>
      <c r="AE65" s="172"/>
      <c r="AF65" s="172"/>
    </row>
    <row r="66" spans="1:32" ht="20.100000000000001" customHeight="1" x14ac:dyDescent="0.2">
      <c r="B66" s="259" t="s">
        <v>695</v>
      </c>
      <c r="C66" s="215" t="s">
        <v>536</v>
      </c>
      <c r="D66" s="204" t="s">
        <v>705</v>
      </c>
      <c r="E66" s="205" t="s">
        <v>34</v>
      </c>
      <c r="F66" s="205"/>
      <c r="G66" s="205" t="s">
        <v>623</v>
      </c>
      <c r="H66" s="206" t="s">
        <v>709</v>
      </c>
      <c r="I66" s="205" t="s">
        <v>447</v>
      </c>
      <c r="J66" s="207" t="s">
        <v>543</v>
      </c>
      <c r="K66" s="207" t="s">
        <v>718</v>
      </c>
      <c r="L66" s="207" t="s">
        <v>631</v>
      </c>
      <c r="M66" s="208" t="s">
        <v>760</v>
      </c>
      <c r="N66" s="207" t="s">
        <v>33</v>
      </c>
      <c r="O66" s="208" t="s">
        <v>13</v>
      </c>
      <c r="P66" s="209"/>
      <c r="Q66" s="209"/>
      <c r="R66" s="205" t="str">
        <f t="shared" si="1"/>
        <v>NO-11_CIC_PLUM_NN_XXX_00_M3_0001</v>
      </c>
      <c r="S66" s="205"/>
      <c r="T66" s="215"/>
      <c r="U66" s="205" t="s">
        <v>447</v>
      </c>
      <c r="V66" s="209" t="s">
        <v>774</v>
      </c>
      <c r="W66" s="201" t="s">
        <v>793</v>
      </c>
      <c r="X66" s="201" t="s">
        <v>793</v>
      </c>
      <c r="Y66" s="209" t="s">
        <v>655</v>
      </c>
      <c r="Z66" s="210"/>
      <c r="AA66" s="172"/>
      <c r="AB66" s="172"/>
      <c r="AC66" s="172"/>
      <c r="AD66" s="172"/>
      <c r="AE66" s="172"/>
      <c r="AF66" s="172"/>
    </row>
    <row r="67" spans="1:32" ht="20.100000000000001" customHeight="1" x14ac:dyDescent="0.2">
      <c r="B67" s="260"/>
      <c r="C67" s="215" t="s">
        <v>342</v>
      </c>
      <c r="D67" s="204" t="s">
        <v>706</v>
      </c>
      <c r="E67" s="205" t="s">
        <v>34</v>
      </c>
      <c r="F67" s="205"/>
      <c r="G67" s="205" t="s">
        <v>623</v>
      </c>
      <c r="H67" s="206" t="s">
        <v>709</v>
      </c>
      <c r="I67" s="205" t="s">
        <v>447</v>
      </c>
      <c r="J67" s="207" t="s">
        <v>545</v>
      </c>
      <c r="K67" s="207" t="s">
        <v>718</v>
      </c>
      <c r="L67" s="207" t="s">
        <v>631</v>
      </c>
      <c r="M67" s="208" t="s">
        <v>760</v>
      </c>
      <c r="N67" s="207" t="s">
        <v>33</v>
      </c>
      <c r="O67" s="208" t="s">
        <v>13</v>
      </c>
      <c r="P67" s="209"/>
      <c r="Q67" s="209"/>
      <c r="R67" s="205" t="str">
        <f t="shared" si="1"/>
        <v>NO-11_CIC_ELEC_NN_XXX_00_M3_0001</v>
      </c>
      <c r="S67" s="205"/>
      <c r="T67" s="215"/>
      <c r="U67" s="205" t="s">
        <v>447</v>
      </c>
      <c r="V67" s="209" t="s">
        <v>774</v>
      </c>
      <c r="W67" s="201" t="s">
        <v>797</v>
      </c>
      <c r="X67" s="201" t="s">
        <v>797</v>
      </c>
      <c r="Y67" s="209" t="s">
        <v>655</v>
      </c>
      <c r="Z67" s="210"/>
      <c r="AA67" s="172"/>
      <c r="AB67" s="172"/>
      <c r="AC67" s="172"/>
      <c r="AD67" s="172"/>
      <c r="AE67" s="172"/>
      <c r="AF67" s="172"/>
    </row>
    <row r="68" spans="1:32" ht="20.100000000000001" customHeight="1" x14ac:dyDescent="0.2">
      <c r="B68" s="260"/>
      <c r="C68" s="215" t="s">
        <v>533</v>
      </c>
      <c r="D68" s="204" t="s">
        <v>792</v>
      </c>
      <c r="E68" s="205" t="s">
        <v>34</v>
      </c>
      <c r="F68" s="205"/>
      <c r="G68" s="205" t="s">
        <v>623</v>
      </c>
      <c r="H68" s="206" t="s">
        <v>709</v>
      </c>
      <c r="I68" s="205" t="s">
        <v>447</v>
      </c>
      <c r="J68" s="207" t="s">
        <v>539</v>
      </c>
      <c r="K68" s="207" t="s">
        <v>718</v>
      </c>
      <c r="L68" s="207" t="s">
        <v>631</v>
      </c>
      <c r="M68" s="208" t="s">
        <v>760</v>
      </c>
      <c r="N68" s="207" t="s">
        <v>33</v>
      </c>
      <c r="O68" s="208" t="s">
        <v>13</v>
      </c>
      <c r="P68" s="209"/>
      <c r="Q68" s="209"/>
      <c r="R68" s="205" t="str">
        <f t="shared" si="1"/>
        <v>NO-11_CIC_STRU_NN_XXX_00_M3_0001</v>
      </c>
      <c r="S68" s="205"/>
      <c r="T68" s="215"/>
      <c r="U68" s="205" t="s">
        <v>447</v>
      </c>
      <c r="V68" s="209" t="s">
        <v>774</v>
      </c>
      <c r="W68" s="201" t="s">
        <v>781</v>
      </c>
      <c r="X68" s="201" t="s">
        <v>834</v>
      </c>
      <c r="Y68" s="209" t="s">
        <v>795</v>
      </c>
      <c r="Z68" s="210"/>
      <c r="AA68" s="172"/>
      <c r="AB68" s="172"/>
      <c r="AC68" s="172"/>
      <c r="AD68" s="172"/>
      <c r="AE68" s="172"/>
      <c r="AF68" s="172"/>
    </row>
    <row r="69" spans="1:32" ht="33.950000000000003" customHeight="1" x14ac:dyDescent="0.2">
      <c r="B69" s="261"/>
      <c r="C69" s="215" t="s">
        <v>758</v>
      </c>
      <c r="D69" s="204" t="s">
        <v>759</v>
      </c>
      <c r="E69" s="205" t="s">
        <v>34</v>
      </c>
      <c r="F69" s="205"/>
      <c r="G69" s="205" t="s">
        <v>623</v>
      </c>
      <c r="H69" s="206" t="s">
        <v>709</v>
      </c>
      <c r="I69" s="205" t="s">
        <v>447</v>
      </c>
      <c r="J69" s="207" t="s">
        <v>624</v>
      </c>
      <c r="K69" s="207" t="s">
        <v>718</v>
      </c>
      <c r="L69" s="207" t="s">
        <v>631</v>
      </c>
      <c r="M69" s="208" t="s">
        <v>760</v>
      </c>
      <c r="N69" s="207" t="s">
        <v>33</v>
      </c>
      <c r="O69" s="208" t="s">
        <v>13</v>
      </c>
      <c r="P69" s="209"/>
      <c r="Q69" s="209"/>
      <c r="R69" s="205" t="str">
        <f t="shared" si="1"/>
        <v>NO-11_CIC_LAND_NN_XXX_00_M3_0001</v>
      </c>
      <c r="S69" s="205"/>
      <c r="T69" s="215"/>
      <c r="U69" s="205" t="s">
        <v>447</v>
      </c>
      <c r="V69" s="209" t="s">
        <v>774</v>
      </c>
      <c r="W69" s="201" t="s">
        <v>781</v>
      </c>
      <c r="X69" s="201" t="s">
        <v>834</v>
      </c>
      <c r="Y69" s="209" t="s">
        <v>795</v>
      </c>
      <c r="Z69" s="210"/>
      <c r="AA69" s="172"/>
      <c r="AB69" s="172"/>
      <c r="AC69" s="172"/>
      <c r="AD69" s="172"/>
      <c r="AE69" s="172"/>
      <c r="AF69" s="172"/>
    </row>
    <row r="70" spans="1:32" ht="20.100000000000001" customHeight="1" x14ac:dyDescent="0.2">
      <c r="A70" s="172"/>
      <c r="B70" s="259" t="s">
        <v>538</v>
      </c>
      <c r="C70" s="211" t="s">
        <v>535</v>
      </c>
      <c r="D70" s="204" t="s">
        <v>761</v>
      </c>
      <c r="E70" s="205" t="s">
        <v>34</v>
      </c>
      <c r="F70" s="205"/>
      <c r="G70" s="205" t="s">
        <v>694</v>
      </c>
      <c r="H70" s="206" t="s">
        <v>709</v>
      </c>
      <c r="I70" s="205" t="s">
        <v>447</v>
      </c>
      <c r="J70" s="207" t="s">
        <v>542</v>
      </c>
      <c r="K70" s="207" t="s">
        <v>11</v>
      </c>
      <c r="L70" s="207" t="s">
        <v>659</v>
      </c>
      <c r="M70" s="208" t="s">
        <v>11</v>
      </c>
      <c r="N70" s="207" t="s">
        <v>33</v>
      </c>
      <c r="O70" s="212" t="s">
        <v>13</v>
      </c>
      <c r="P70" s="213"/>
      <c r="Q70" s="213"/>
      <c r="R70" s="205" t="str">
        <f t="shared" si="1"/>
        <v>NO-11_CIC_HVAC_ZZ_ZZZ_ZZ_M3_0001</v>
      </c>
      <c r="S70" s="205"/>
      <c r="T70" s="215"/>
      <c r="U70" s="205" t="s">
        <v>447</v>
      </c>
      <c r="V70" s="209"/>
      <c r="W70" s="209"/>
      <c r="X70" s="209"/>
      <c r="Y70" s="209"/>
      <c r="Z70" s="210"/>
      <c r="AA70" s="172"/>
      <c r="AB70" s="172"/>
      <c r="AC70" s="172"/>
      <c r="AD70" s="172"/>
      <c r="AE70" s="172"/>
      <c r="AF70" s="172"/>
    </row>
    <row r="71" spans="1:32" ht="20.100000000000001" customHeight="1" x14ac:dyDescent="0.2">
      <c r="A71" s="172"/>
      <c r="B71" s="260"/>
      <c r="C71" s="211" t="s">
        <v>536</v>
      </c>
      <c r="D71" s="204" t="s">
        <v>762</v>
      </c>
      <c r="E71" s="205" t="s">
        <v>34</v>
      </c>
      <c r="F71" s="205"/>
      <c r="G71" s="205" t="s">
        <v>694</v>
      </c>
      <c r="H71" s="206" t="s">
        <v>709</v>
      </c>
      <c r="I71" s="205" t="s">
        <v>447</v>
      </c>
      <c r="J71" s="207" t="s">
        <v>543</v>
      </c>
      <c r="K71" s="207" t="s">
        <v>11</v>
      </c>
      <c r="L71" s="207" t="s">
        <v>659</v>
      </c>
      <c r="M71" s="208" t="s">
        <v>11</v>
      </c>
      <c r="N71" s="207" t="s">
        <v>33</v>
      </c>
      <c r="O71" s="212" t="s">
        <v>13</v>
      </c>
      <c r="P71" s="213"/>
      <c r="Q71" s="213"/>
      <c r="R71" s="205" t="str">
        <f t="shared" si="1"/>
        <v>NO-11_CIC_PLUM_ZZ_ZZZ_ZZ_M3_0001</v>
      </c>
      <c r="S71" s="205"/>
      <c r="T71" s="215"/>
      <c r="U71" s="205" t="s">
        <v>447</v>
      </c>
      <c r="V71" s="209"/>
      <c r="W71" s="209"/>
      <c r="X71" s="209"/>
      <c r="Y71" s="209"/>
      <c r="Z71" s="210"/>
      <c r="AA71" s="172"/>
      <c r="AB71" s="172"/>
      <c r="AC71" s="172"/>
      <c r="AD71" s="172"/>
      <c r="AE71" s="172"/>
      <c r="AF71" s="172"/>
    </row>
    <row r="72" spans="1:32" ht="20.100000000000001" customHeight="1" x14ac:dyDescent="0.2">
      <c r="A72" s="172"/>
      <c r="B72" s="260"/>
      <c r="C72" s="211" t="s">
        <v>342</v>
      </c>
      <c r="D72" s="204" t="s">
        <v>763</v>
      </c>
      <c r="E72" s="205" t="s">
        <v>34</v>
      </c>
      <c r="F72" s="205"/>
      <c r="G72" s="205" t="s">
        <v>694</v>
      </c>
      <c r="H72" s="206" t="s">
        <v>709</v>
      </c>
      <c r="I72" s="205" t="s">
        <v>447</v>
      </c>
      <c r="J72" s="207" t="s">
        <v>545</v>
      </c>
      <c r="K72" s="207" t="s">
        <v>11</v>
      </c>
      <c r="L72" s="207" t="s">
        <v>659</v>
      </c>
      <c r="M72" s="208" t="s">
        <v>11</v>
      </c>
      <c r="N72" s="207" t="s">
        <v>33</v>
      </c>
      <c r="O72" s="212" t="s">
        <v>13</v>
      </c>
      <c r="P72" s="213"/>
      <c r="Q72" s="213"/>
      <c r="R72" s="205" t="str">
        <f t="shared" si="1"/>
        <v>NO-11_CIC_ELEC_ZZ_ZZZ_ZZ_M3_0001</v>
      </c>
      <c r="S72" s="205"/>
      <c r="T72" s="215"/>
      <c r="U72" s="205" t="s">
        <v>447</v>
      </c>
      <c r="V72" s="209"/>
      <c r="W72" s="209"/>
      <c r="X72" s="209"/>
      <c r="Y72" s="209"/>
      <c r="Z72" s="210"/>
      <c r="AA72" s="172"/>
      <c r="AB72" s="172"/>
      <c r="AC72" s="172"/>
      <c r="AD72" s="172"/>
      <c r="AE72" s="172"/>
      <c r="AF72" s="172"/>
    </row>
    <row r="73" spans="1:32" ht="20.100000000000001" customHeight="1" x14ac:dyDescent="0.2">
      <c r="A73" s="172"/>
      <c r="B73" s="260"/>
      <c r="C73" s="211" t="s">
        <v>537</v>
      </c>
      <c r="D73" s="204" t="s">
        <v>764</v>
      </c>
      <c r="E73" s="205" t="s">
        <v>34</v>
      </c>
      <c r="F73" s="205"/>
      <c r="G73" s="205" t="s">
        <v>694</v>
      </c>
      <c r="H73" s="206" t="s">
        <v>709</v>
      </c>
      <c r="I73" s="205" t="s">
        <v>447</v>
      </c>
      <c r="J73" s="207" t="s">
        <v>544</v>
      </c>
      <c r="K73" s="207" t="s">
        <v>11</v>
      </c>
      <c r="L73" s="207" t="s">
        <v>659</v>
      </c>
      <c r="M73" s="208" t="s">
        <v>11</v>
      </c>
      <c r="N73" s="207" t="s">
        <v>33</v>
      </c>
      <c r="O73" s="212" t="s">
        <v>13</v>
      </c>
      <c r="P73" s="213"/>
      <c r="Q73" s="213"/>
      <c r="R73" s="205" t="str">
        <f t="shared" si="1"/>
        <v>NO-11_CIC_FIRE_ZZ_ZZZ_ZZ_M3_0001</v>
      </c>
      <c r="S73" s="205"/>
      <c r="T73" s="215"/>
      <c r="U73" s="205" t="s">
        <v>447</v>
      </c>
      <c r="V73" s="209"/>
      <c r="W73" s="209"/>
      <c r="X73" s="209"/>
      <c r="Y73" s="209"/>
      <c r="Z73" s="210"/>
      <c r="AA73" s="172"/>
      <c r="AB73" s="172"/>
      <c r="AC73" s="172"/>
      <c r="AD73" s="172"/>
      <c r="AE73" s="172"/>
      <c r="AF73" s="172"/>
    </row>
    <row r="74" spans="1:32" ht="20.100000000000001" customHeight="1" x14ac:dyDescent="0.2">
      <c r="A74" s="172"/>
      <c r="B74" s="260"/>
      <c r="C74" s="211" t="s">
        <v>532</v>
      </c>
      <c r="D74" s="204" t="s">
        <v>690</v>
      </c>
      <c r="E74" s="205" t="s">
        <v>34</v>
      </c>
      <c r="F74" s="205"/>
      <c r="G74" s="205" t="s">
        <v>694</v>
      </c>
      <c r="H74" s="206" t="s">
        <v>709</v>
      </c>
      <c r="I74" s="205" t="s">
        <v>447</v>
      </c>
      <c r="J74" s="207" t="s">
        <v>540</v>
      </c>
      <c r="K74" s="207" t="s">
        <v>11</v>
      </c>
      <c r="L74" s="207" t="s">
        <v>659</v>
      </c>
      <c r="M74" s="208" t="s">
        <v>11</v>
      </c>
      <c r="N74" s="207" t="s">
        <v>33</v>
      </c>
      <c r="O74" s="212" t="s">
        <v>13</v>
      </c>
      <c r="P74" s="213"/>
      <c r="Q74" s="213"/>
      <c r="R74" s="205" t="str">
        <f t="shared" si="1"/>
        <v>NO-11_CIC_ARCH_ZZ_ZZZ_ZZ_M3_0001</v>
      </c>
      <c r="S74" s="205"/>
      <c r="T74" s="215"/>
      <c r="U74" s="205" t="s">
        <v>447</v>
      </c>
      <c r="V74" s="209"/>
      <c r="W74" s="209"/>
      <c r="X74" s="209"/>
      <c r="Y74" s="209"/>
      <c r="Z74" s="210"/>
      <c r="AA74" s="172"/>
      <c r="AB74" s="172"/>
      <c r="AC74" s="172"/>
      <c r="AD74" s="172"/>
      <c r="AE74" s="172"/>
      <c r="AF74" s="172"/>
    </row>
    <row r="75" spans="1:32" ht="20.100000000000001" customHeight="1" x14ac:dyDescent="0.2">
      <c r="A75" s="172"/>
      <c r="B75" s="260"/>
      <c r="C75" s="211" t="s">
        <v>533</v>
      </c>
      <c r="D75" s="204" t="s">
        <v>691</v>
      </c>
      <c r="E75" s="205" t="s">
        <v>34</v>
      </c>
      <c r="F75" s="205"/>
      <c r="G75" s="205" t="s">
        <v>694</v>
      </c>
      <c r="H75" s="206" t="s">
        <v>709</v>
      </c>
      <c r="I75" s="205" t="s">
        <v>447</v>
      </c>
      <c r="J75" s="207" t="s">
        <v>539</v>
      </c>
      <c r="K75" s="207" t="s">
        <v>11</v>
      </c>
      <c r="L75" s="207" t="s">
        <v>659</v>
      </c>
      <c r="M75" s="208" t="s">
        <v>11</v>
      </c>
      <c r="N75" s="207" t="s">
        <v>33</v>
      </c>
      <c r="O75" s="212" t="s">
        <v>13</v>
      </c>
      <c r="P75" s="213"/>
      <c r="Q75" s="213"/>
      <c r="R75" s="205" t="str">
        <f t="shared" si="1"/>
        <v>NO-11_CIC_STRU_ZZ_ZZZ_ZZ_M3_0001</v>
      </c>
      <c r="S75" s="205"/>
      <c r="T75" s="215"/>
      <c r="U75" s="205" t="s">
        <v>447</v>
      </c>
      <c r="V75" s="209"/>
      <c r="W75" s="209"/>
      <c r="X75" s="209"/>
      <c r="Y75" s="209"/>
      <c r="Z75" s="210"/>
      <c r="AA75" s="172"/>
      <c r="AB75" s="172"/>
      <c r="AC75" s="172"/>
      <c r="AD75" s="172"/>
      <c r="AE75" s="172"/>
      <c r="AF75" s="172"/>
    </row>
    <row r="76" spans="1:32" ht="20.100000000000001" customHeight="1" x14ac:dyDescent="0.2">
      <c r="A76" s="172"/>
      <c r="B76" s="261"/>
      <c r="C76" s="211" t="s">
        <v>538</v>
      </c>
      <c r="D76" s="204" t="s">
        <v>673</v>
      </c>
      <c r="E76" s="205" t="s">
        <v>34</v>
      </c>
      <c r="F76" s="205"/>
      <c r="G76" s="205" t="s">
        <v>85</v>
      </c>
      <c r="H76" s="206" t="s">
        <v>709</v>
      </c>
      <c r="I76" s="205" t="s">
        <v>447</v>
      </c>
      <c r="J76" s="207" t="s">
        <v>546</v>
      </c>
      <c r="K76" s="207" t="s">
        <v>11</v>
      </c>
      <c r="L76" s="207" t="s">
        <v>659</v>
      </c>
      <c r="M76" s="208" t="s">
        <v>11</v>
      </c>
      <c r="N76" s="207" t="s">
        <v>33</v>
      </c>
      <c r="O76" s="212" t="s">
        <v>13</v>
      </c>
      <c r="P76" s="213"/>
      <c r="Q76" s="213"/>
      <c r="R76" s="205" t="str">
        <f t="shared" si="1"/>
        <v>NO-11_CIC_FEDE_ZZ_ZZZ_ZZ_M3_0001</v>
      </c>
      <c r="S76" s="205"/>
      <c r="T76" s="215"/>
      <c r="U76" s="205" t="s">
        <v>447</v>
      </c>
      <c r="V76" s="209"/>
      <c r="W76" s="201" t="s">
        <v>829</v>
      </c>
      <c r="X76" s="201" t="s">
        <v>832</v>
      </c>
      <c r="Y76" s="209" t="s">
        <v>833</v>
      </c>
      <c r="Z76" s="210"/>
      <c r="AA76" s="172"/>
      <c r="AB76" s="172"/>
      <c r="AC76" s="172"/>
      <c r="AD76" s="172"/>
      <c r="AE76" s="172"/>
      <c r="AF76" s="172"/>
    </row>
    <row r="77" spans="1:32" ht="20.100000000000001" customHeight="1" x14ac:dyDescent="0.2">
      <c r="A77" s="172"/>
      <c r="B77" s="183" t="s">
        <v>500</v>
      </c>
      <c r="C77" s="184"/>
      <c r="D77" s="185"/>
      <c r="E77" s="186"/>
      <c r="F77" s="186"/>
      <c r="G77" s="186"/>
      <c r="H77" s="186"/>
      <c r="I77" s="186"/>
      <c r="J77" s="186"/>
      <c r="K77" s="186"/>
      <c r="L77" s="186"/>
      <c r="M77" s="187"/>
      <c r="N77" s="186"/>
      <c r="O77" s="187"/>
      <c r="P77" s="187"/>
      <c r="Q77" s="187"/>
      <c r="R77" s="186"/>
      <c r="S77" s="186"/>
      <c r="T77" s="185"/>
      <c r="U77" s="186"/>
      <c r="V77" s="187"/>
      <c r="W77" s="187"/>
      <c r="X77" s="187"/>
      <c r="Y77" s="236"/>
      <c r="Z77" s="188"/>
      <c r="AA77" s="172"/>
      <c r="AB77" s="172"/>
      <c r="AC77" s="172"/>
      <c r="AD77" s="172"/>
      <c r="AE77" s="172"/>
      <c r="AF77" s="172"/>
    </row>
    <row r="78" spans="1:32" ht="20.100000000000001" customHeight="1" x14ac:dyDescent="0.2">
      <c r="B78" s="214"/>
      <c r="C78" s="211" t="s">
        <v>538</v>
      </c>
      <c r="D78" s="215" t="s">
        <v>766</v>
      </c>
      <c r="E78" s="205" t="s">
        <v>39</v>
      </c>
      <c r="F78" s="205"/>
      <c r="G78" s="205" t="s">
        <v>89</v>
      </c>
      <c r="H78" s="206" t="s">
        <v>709</v>
      </c>
      <c r="I78" s="205" t="s">
        <v>447</v>
      </c>
      <c r="J78" s="207" t="s">
        <v>546</v>
      </c>
      <c r="K78" s="207" t="s">
        <v>11</v>
      </c>
      <c r="L78" s="207" t="s">
        <v>547</v>
      </c>
      <c r="M78" s="208" t="s">
        <v>11</v>
      </c>
      <c r="N78" s="207" t="s">
        <v>38</v>
      </c>
      <c r="O78" s="208" t="s">
        <v>13</v>
      </c>
      <c r="P78" s="209"/>
      <c r="Q78" s="209"/>
      <c r="R78" s="205" t="str">
        <f t="shared" si="1"/>
        <v>NO-11_CIC_FEDE_ZZ_BAS_ZZ_RP_0001</v>
      </c>
      <c r="S78" s="205"/>
      <c r="T78" s="215"/>
      <c r="U78" s="205" t="s">
        <v>447</v>
      </c>
      <c r="V78" s="209" t="s">
        <v>772</v>
      </c>
      <c r="W78" s="209" t="s">
        <v>829</v>
      </c>
      <c r="X78" s="209" t="s">
        <v>793</v>
      </c>
      <c r="Y78" s="209" t="s">
        <v>657</v>
      </c>
      <c r="Z78" s="210"/>
      <c r="AA78" s="172"/>
      <c r="AC78" s="172"/>
      <c r="AD78" s="172"/>
      <c r="AF78" s="172"/>
    </row>
    <row r="79" spans="1:32" ht="20.100000000000001" customHeight="1" x14ac:dyDescent="0.2">
      <c r="B79" s="214"/>
      <c r="C79" s="211" t="s">
        <v>538</v>
      </c>
      <c r="D79" s="215" t="s">
        <v>775</v>
      </c>
      <c r="E79" s="205" t="s">
        <v>39</v>
      </c>
      <c r="F79" s="205"/>
      <c r="G79" s="205" t="s">
        <v>89</v>
      </c>
      <c r="H79" s="206" t="s">
        <v>709</v>
      </c>
      <c r="I79" s="205" t="s">
        <v>447</v>
      </c>
      <c r="J79" s="207" t="s">
        <v>546</v>
      </c>
      <c r="K79" s="207" t="s">
        <v>11</v>
      </c>
      <c r="L79" s="207" t="s">
        <v>632</v>
      </c>
      <c r="M79" s="208" t="s">
        <v>11</v>
      </c>
      <c r="N79" s="207" t="s">
        <v>38</v>
      </c>
      <c r="O79" s="208" t="s">
        <v>17</v>
      </c>
      <c r="P79" s="209"/>
      <c r="Q79" s="209"/>
      <c r="R79" s="205" t="str">
        <f t="shared" si="1"/>
        <v>NO-11_CIC_FEDE_ZZ_POD_ZZ_RP_0002</v>
      </c>
      <c r="S79" s="205"/>
      <c r="T79" s="215"/>
      <c r="U79" s="205" t="s">
        <v>447</v>
      </c>
      <c r="V79" s="209" t="s">
        <v>776</v>
      </c>
      <c r="W79" s="209" t="s">
        <v>776</v>
      </c>
      <c r="X79" s="209" t="s">
        <v>793</v>
      </c>
      <c r="Y79" s="209" t="s">
        <v>657</v>
      </c>
      <c r="Z79" s="210"/>
      <c r="AA79" s="172"/>
      <c r="AC79" s="172"/>
      <c r="AD79" s="172"/>
      <c r="AF79" s="172"/>
    </row>
    <row r="80" spans="1:32" ht="20.100000000000001" customHeight="1" x14ac:dyDescent="0.2">
      <c r="B80" s="214"/>
      <c r="C80" s="211" t="s">
        <v>538</v>
      </c>
      <c r="D80" s="215" t="s">
        <v>767</v>
      </c>
      <c r="E80" s="205" t="s">
        <v>39</v>
      </c>
      <c r="F80" s="205"/>
      <c r="G80" s="205" t="s">
        <v>89</v>
      </c>
      <c r="H80" s="206" t="s">
        <v>709</v>
      </c>
      <c r="I80" s="205" t="s">
        <v>447</v>
      </c>
      <c r="J80" s="207" t="s">
        <v>546</v>
      </c>
      <c r="K80" s="207" t="s">
        <v>11</v>
      </c>
      <c r="L80" s="207" t="s">
        <v>633</v>
      </c>
      <c r="M80" s="208" t="s">
        <v>11</v>
      </c>
      <c r="N80" s="207" t="s">
        <v>38</v>
      </c>
      <c r="O80" s="208" t="s">
        <v>90</v>
      </c>
      <c r="P80" s="209"/>
      <c r="Q80" s="209"/>
      <c r="R80" s="205" t="str">
        <f t="shared" si="1"/>
        <v>NO-11_CIC_FEDE_ZZ_TOW_ZZ_RP_0003</v>
      </c>
      <c r="S80" s="205"/>
      <c r="T80" s="215"/>
      <c r="U80" s="205" t="s">
        <v>447</v>
      </c>
      <c r="V80" s="209" t="s">
        <v>777</v>
      </c>
      <c r="W80" s="209" t="s">
        <v>830</v>
      </c>
      <c r="X80" s="209" t="s">
        <v>793</v>
      </c>
      <c r="Y80" s="209" t="s">
        <v>657</v>
      </c>
      <c r="Z80" s="210"/>
      <c r="AA80" s="172"/>
      <c r="AC80" s="172"/>
      <c r="AD80" s="172"/>
      <c r="AF80" s="172"/>
    </row>
    <row r="81" spans="1:32" ht="20.100000000000001" customHeight="1" x14ac:dyDescent="0.2">
      <c r="B81" s="214"/>
      <c r="C81" s="211" t="s">
        <v>538</v>
      </c>
      <c r="D81" s="215" t="s">
        <v>817</v>
      </c>
      <c r="E81" s="205" t="s">
        <v>39</v>
      </c>
      <c r="F81" s="205"/>
      <c r="G81" s="205" t="s">
        <v>89</v>
      </c>
      <c r="H81" s="206" t="s">
        <v>709</v>
      </c>
      <c r="I81" s="205" t="s">
        <v>447</v>
      </c>
      <c r="J81" s="207" t="s">
        <v>546</v>
      </c>
      <c r="K81" s="207" t="s">
        <v>11</v>
      </c>
      <c r="L81" s="207" t="s">
        <v>659</v>
      </c>
      <c r="M81" s="208" t="s">
        <v>11</v>
      </c>
      <c r="N81" s="207" t="s">
        <v>38</v>
      </c>
      <c r="O81" s="208" t="s">
        <v>511</v>
      </c>
      <c r="P81" s="209"/>
      <c r="Q81" s="209"/>
      <c r="R81" s="205" t="str">
        <f t="shared" si="1"/>
        <v>NO-11_CIC_FEDE_ZZ_ZZZ_ZZ_RP_0004</v>
      </c>
      <c r="S81" s="205"/>
      <c r="T81" s="215"/>
      <c r="U81" s="205" t="s">
        <v>447</v>
      </c>
      <c r="V81" s="209"/>
      <c r="W81" s="209" t="s">
        <v>823</v>
      </c>
      <c r="X81" s="209" t="s">
        <v>818</v>
      </c>
      <c r="Y81" s="209" t="s">
        <v>655</v>
      </c>
      <c r="Z81" s="210"/>
      <c r="AA81" s="172"/>
      <c r="AC81" s="172"/>
      <c r="AD81" s="172"/>
      <c r="AF81" s="172"/>
    </row>
    <row r="82" spans="1:32" ht="20.100000000000001" customHeight="1" x14ac:dyDescent="0.2">
      <c r="B82" s="214"/>
      <c r="C82" s="211" t="s">
        <v>538</v>
      </c>
      <c r="D82" s="215" t="s">
        <v>820</v>
      </c>
      <c r="E82" s="205" t="s">
        <v>39</v>
      </c>
      <c r="F82" s="205"/>
      <c r="G82" s="205" t="s">
        <v>89</v>
      </c>
      <c r="H82" s="206" t="s">
        <v>709</v>
      </c>
      <c r="I82" s="205" t="s">
        <v>713</v>
      </c>
      <c r="J82" s="207" t="s">
        <v>546</v>
      </c>
      <c r="K82" s="207" t="s">
        <v>11</v>
      </c>
      <c r="L82" s="207" t="s">
        <v>659</v>
      </c>
      <c r="M82" s="208" t="s">
        <v>11</v>
      </c>
      <c r="N82" s="207" t="s">
        <v>38</v>
      </c>
      <c r="O82" s="208" t="s">
        <v>512</v>
      </c>
      <c r="P82" s="209"/>
      <c r="Q82" s="209"/>
      <c r="R82" s="205" t="str">
        <f t="shared" si="1"/>
        <v>NO-11_PAY_FEDE_ZZ_ZZZ_ZZ_RP_0005</v>
      </c>
      <c r="S82" s="205"/>
      <c r="T82" s="215"/>
      <c r="U82" s="205" t="s">
        <v>713</v>
      </c>
      <c r="V82" s="209"/>
      <c r="W82" s="209" t="s">
        <v>812</v>
      </c>
      <c r="X82" s="209" t="s">
        <v>819</v>
      </c>
      <c r="Y82" s="209" t="s">
        <v>795</v>
      </c>
      <c r="Z82" s="210"/>
      <c r="AA82" s="172"/>
      <c r="AC82" s="172"/>
      <c r="AD82" s="172"/>
      <c r="AF82" s="172"/>
    </row>
    <row r="83" spans="1:32" ht="20.100000000000001" customHeight="1" x14ac:dyDescent="0.2">
      <c r="B83" s="214"/>
      <c r="C83" s="211" t="s">
        <v>538</v>
      </c>
      <c r="D83" s="215" t="s">
        <v>824</v>
      </c>
      <c r="E83" s="205" t="s">
        <v>39</v>
      </c>
      <c r="F83" s="205"/>
      <c r="G83" s="205" t="s">
        <v>89</v>
      </c>
      <c r="H83" s="206" t="s">
        <v>709</v>
      </c>
      <c r="I83" s="205" t="s">
        <v>801</v>
      </c>
      <c r="J83" s="207" t="s">
        <v>546</v>
      </c>
      <c r="K83" s="207" t="s">
        <v>11</v>
      </c>
      <c r="L83" s="207" t="s">
        <v>659</v>
      </c>
      <c r="M83" s="208" t="s">
        <v>11</v>
      </c>
      <c r="N83" s="207" t="s">
        <v>38</v>
      </c>
      <c r="O83" s="208" t="s">
        <v>825</v>
      </c>
      <c r="P83" s="209"/>
      <c r="Q83" s="209"/>
      <c r="R83" s="205" t="str">
        <f t="shared" si="1"/>
        <v>NO-11_FIR_FEDE_ZZ_ZZZ_ZZ_RP_0006</v>
      </c>
      <c r="S83" s="205"/>
      <c r="T83" s="215"/>
      <c r="U83" s="205" t="s">
        <v>801</v>
      </c>
      <c r="V83" s="209"/>
      <c r="W83" s="209" t="s">
        <v>819</v>
      </c>
      <c r="X83" s="209" t="s">
        <v>819</v>
      </c>
      <c r="Y83" s="209" t="s">
        <v>655</v>
      </c>
      <c r="Z83" s="210"/>
      <c r="AA83" s="172"/>
      <c r="AC83" s="172"/>
      <c r="AD83" s="172"/>
      <c r="AF83" s="172"/>
    </row>
    <row r="84" spans="1:32" ht="20.100000000000001" customHeight="1" x14ac:dyDescent="0.2">
      <c r="B84" s="214"/>
      <c r="C84" s="211" t="s">
        <v>538</v>
      </c>
      <c r="D84" s="215" t="s">
        <v>826</v>
      </c>
      <c r="E84" s="205" t="s">
        <v>39</v>
      </c>
      <c r="F84" s="205"/>
      <c r="G84" s="205" t="s">
        <v>89</v>
      </c>
      <c r="H84" s="206" t="s">
        <v>709</v>
      </c>
      <c r="I84" s="205" t="s">
        <v>711</v>
      </c>
      <c r="J84" s="207" t="s">
        <v>546</v>
      </c>
      <c r="K84" s="207" t="s">
        <v>11</v>
      </c>
      <c r="L84" s="207" t="s">
        <v>659</v>
      </c>
      <c r="M84" s="208" t="s">
        <v>11</v>
      </c>
      <c r="N84" s="207" t="s">
        <v>38</v>
      </c>
      <c r="O84" s="208" t="s">
        <v>827</v>
      </c>
      <c r="P84" s="209"/>
      <c r="Q84" s="209"/>
      <c r="R84" s="205" t="str">
        <f t="shared" si="1"/>
        <v>NO-11_LID_FEDE_ZZ_ZZZ_ZZ_RP_0007</v>
      </c>
      <c r="S84" s="205"/>
      <c r="T84" s="215"/>
      <c r="U84" s="205" t="s">
        <v>711</v>
      </c>
      <c r="V84" s="209"/>
      <c r="W84" s="209"/>
      <c r="X84" s="209"/>
      <c r="Y84" s="209"/>
      <c r="Z84" s="210"/>
      <c r="AA84" s="172"/>
      <c r="AC84" s="172"/>
      <c r="AD84" s="172"/>
      <c r="AF84" s="172"/>
    </row>
    <row r="85" spans="1:32" ht="20.100000000000001" customHeight="1" x14ac:dyDescent="0.2">
      <c r="A85" s="172"/>
      <c r="B85" s="183" t="s">
        <v>765</v>
      </c>
      <c r="C85" s="184"/>
      <c r="D85" s="185"/>
      <c r="E85" s="186"/>
      <c r="F85" s="186"/>
      <c r="G85" s="186"/>
      <c r="H85" s="186"/>
      <c r="I85" s="186"/>
      <c r="J85" s="186"/>
      <c r="K85" s="186"/>
      <c r="L85" s="186"/>
      <c r="M85" s="187"/>
      <c r="N85" s="186"/>
      <c r="O85" s="187"/>
      <c r="P85" s="187"/>
      <c r="Q85" s="187"/>
      <c r="R85" s="186"/>
      <c r="S85" s="186"/>
      <c r="T85" s="185"/>
      <c r="U85" s="186"/>
      <c r="V85" s="187"/>
      <c r="W85" s="187"/>
      <c r="X85" s="187"/>
      <c r="Y85" s="236"/>
      <c r="Z85" s="188"/>
      <c r="AA85" s="172"/>
      <c r="AB85" s="172"/>
      <c r="AC85" s="172"/>
      <c r="AD85" s="172"/>
      <c r="AE85" s="172"/>
      <c r="AF85" s="172"/>
    </row>
    <row r="86" spans="1:32" ht="20.100000000000001" customHeight="1" x14ac:dyDescent="0.2">
      <c r="B86" s="248"/>
      <c r="C86" s="248" t="s">
        <v>538</v>
      </c>
      <c r="D86" s="248" t="s">
        <v>768</v>
      </c>
      <c r="E86" s="244" t="s">
        <v>644</v>
      </c>
      <c r="F86" s="244"/>
      <c r="G86" s="244" t="s">
        <v>769</v>
      </c>
      <c r="H86" s="206" t="s">
        <v>709</v>
      </c>
      <c r="I86" s="244" t="s">
        <v>447</v>
      </c>
      <c r="J86" s="245" t="s">
        <v>546</v>
      </c>
      <c r="K86" s="245" t="s">
        <v>11</v>
      </c>
      <c r="L86" s="245" t="s">
        <v>659</v>
      </c>
      <c r="M86" s="246" t="s">
        <v>11</v>
      </c>
      <c r="N86" s="245" t="s">
        <v>643</v>
      </c>
      <c r="O86" s="246" t="s">
        <v>13</v>
      </c>
      <c r="P86" s="249"/>
      <c r="Q86" s="249"/>
      <c r="R86" s="244" t="str">
        <f t="shared" si="1"/>
        <v>NO-11_CIC_FEDE_ZZ_ZZZ_ZZ_VI_0001</v>
      </c>
      <c r="S86" s="205"/>
      <c r="T86" s="215"/>
      <c r="U86" s="205" t="s">
        <v>447</v>
      </c>
      <c r="V86" s="209" t="s">
        <v>776</v>
      </c>
      <c r="W86" s="209" t="s">
        <v>828</v>
      </c>
      <c r="X86" s="209" t="s">
        <v>803</v>
      </c>
      <c r="Y86" s="209" t="s">
        <v>795</v>
      </c>
      <c r="Z86" s="210"/>
      <c r="AA86" s="172"/>
      <c r="AC86" s="172"/>
      <c r="AD86" s="172"/>
      <c r="AF86" s="172"/>
    </row>
    <row r="87" spans="1:32" ht="20.100000000000001" customHeight="1" x14ac:dyDescent="0.2">
      <c r="A87" s="172"/>
      <c r="B87" s="183" t="s">
        <v>674</v>
      </c>
      <c r="C87" s="184"/>
      <c r="D87" s="185"/>
      <c r="E87" s="186"/>
      <c r="F87" s="186"/>
      <c r="G87" s="186"/>
      <c r="H87" s="186"/>
      <c r="I87" s="186"/>
      <c r="J87" s="186"/>
      <c r="K87" s="186"/>
      <c r="L87" s="186"/>
      <c r="M87" s="187"/>
      <c r="N87" s="186"/>
      <c r="O87" s="187"/>
      <c r="P87" s="187"/>
      <c r="Q87" s="187"/>
      <c r="R87" s="186" t="str">
        <f t="shared" si="1"/>
        <v>_</v>
      </c>
      <c r="S87" s="186"/>
      <c r="T87" s="185"/>
      <c r="U87" s="186"/>
      <c r="V87" s="187"/>
      <c r="W87" s="187"/>
      <c r="X87" s="187"/>
      <c r="Y87" s="236"/>
      <c r="Z87" s="188"/>
      <c r="AA87" s="172"/>
      <c r="AB87" s="172"/>
      <c r="AC87" s="172"/>
      <c r="AD87" s="172"/>
      <c r="AE87" s="172"/>
      <c r="AF87" s="172"/>
    </row>
    <row r="88" spans="1:32" ht="20.100000000000001" customHeight="1" x14ac:dyDescent="0.2">
      <c r="A88" s="182"/>
      <c r="B88" s="259"/>
      <c r="C88" s="211" t="s">
        <v>532</v>
      </c>
      <c r="D88" s="215" t="s">
        <v>675</v>
      </c>
      <c r="E88" s="205" t="s">
        <v>676</v>
      </c>
      <c r="F88" s="205"/>
      <c r="G88" s="205" t="s">
        <v>682</v>
      </c>
      <c r="H88" s="206" t="s">
        <v>709</v>
      </c>
      <c r="I88" s="205" t="s">
        <v>447</v>
      </c>
      <c r="J88" s="207" t="s">
        <v>540</v>
      </c>
      <c r="K88" s="207" t="s">
        <v>11</v>
      </c>
      <c r="L88" s="207" t="s">
        <v>659</v>
      </c>
      <c r="M88" s="208" t="s">
        <v>11</v>
      </c>
      <c r="N88" s="207" t="s">
        <v>15</v>
      </c>
      <c r="O88" s="208" t="s">
        <v>13</v>
      </c>
      <c r="P88" s="209"/>
      <c r="Q88" s="209"/>
      <c r="R88" s="205" t="str">
        <f t="shared" si="1"/>
        <v>NO-11_CIC_ARCH_ZZ_ZZZ_ZZ_BQ_0001</v>
      </c>
      <c r="S88" s="205"/>
      <c r="T88" s="215"/>
      <c r="U88" s="205" t="s">
        <v>447</v>
      </c>
      <c r="V88" s="209" t="s">
        <v>778</v>
      </c>
      <c r="W88" s="209" t="s">
        <v>780</v>
      </c>
      <c r="X88" s="209" t="s">
        <v>798</v>
      </c>
      <c r="Y88" s="209" t="s">
        <v>657</v>
      </c>
      <c r="Z88" s="210"/>
      <c r="AD88" s="172"/>
      <c r="AF88" s="172"/>
    </row>
    <row r="89" spans="1:32" ht="20.100000000000001" customHeight="1" x14ac:dyDescent="0.2">
      <c r="A89" s="182"/>
      <c r="B89" s="260"/>
      <c r="C89" s="211" t="s">
        <v>533</v>
      </c>
      <c r="D89" s="215" t="s">
        <v>677</v>
      </c>
      <c r="E89" s="205" t="s">
        <v>676</v>
      </c>
      <c r="F89" s="205"/>
      <c r="G89" s="205" t="s">
        <v>682</v>
      </c>
      <c r="H89" s="206" t="s">
        <v>709</v>
      </c>
      <c r="I89" s="205" t="s">
        <v>447</v>
      </c>
      <c r="J89" s="207" t="s">
        <v>539</v>
      </c>
      <c r="K89" s="207" t="s">
        <v>11</v>
      </c>
      <c r="L89" s="207" t="s">
        <v>659</v>
      </c>
      <c r="M89" s="208" t="s">
        <v>11</v>
      </c>
      <c r="N89" s="207" t="s">
        <v>15</v>
      </c>
      <c r="O89" s="208" t="s">
        <v>13</v>
      </c>
      <c r="P89" s="209"/>
      <c r="Q89" s="209"/>
      <c r="R89" s="205" t="str">
        <f t="shared" si="1"/>
        <v>NO-11_CIC_STRU_ZZ_ZZZ_ZZ_BQ_0001</v>
      </c>
      <c r="S89" s="205"/>
      <c r="T89" s="215"/>
      <c r="U89" s="205" t="s">
        <v>447</v>
      </c>
      <c r="V89" s="209" t="s">
        <v>779</v>
      </c>
      <c r="W89" s="209" t="s">
        <v>780</v>
      </c>
      <c r="X89" s="209" t="s">
        <v>793</v>
      </c>
      <c r="Y89" s="209" t="s">
        <v>795</v>
      </c>
      <c r="Z89" s="210"/>
      <c r="AD89" s="172"/>
      <c r="AF89" s="172"/>
    </row>
    <row r="90" spans="1:32" ht="20.100000000000001" customHeight="1" x14ac:dyDescent="0.2">
      <c r="A90" s="182"/>
      <c r="B90" s="260"/>
      <c r="C90" s="211" t="s">
        <v>542</v>
      </c>
      <c r="D90" s="215" t="s">
        <v>678</v>
      </c>
      <c r="E90" s="205" t="s">
        <v>676</v>
      </c>
      <c r="F90" s="205"/>
      <c r="G90" s="205" t="s">
        <v>682</v>
      </c>
      <c r="H90" s="206" t="s">
        <v>709</v>
      </c>
      <c r="I90" s="205" t="s">
        <v>447</v>
      </c>
      <c r="J90" s="207" t="s">
        <v>542</v>
      </c>
      <c r="K90" s="207" t="s">
        <v>11</v>
      </c>
      <c r="L90" s="207" t="s">
        <v>659</v>
      </c>
      <c r="M90" s="208" t="s">
        <v>11</v>
      </c>
      <c r="N90" s="207" t="s">
        <v>15</v>
      </c>
      <c r="O90" s="208" t="s">
        <v>13</v>
      </c>
      <c r="P90" s="209"/>
      <c r="Q90" s="209"/>
      <c r="R90" s="205" t="str">
        <f t="shared" si="1"/>
        <v>NO-11_CIC_HVAC_ZZ_ZZZ_ZZ_BQ_0001</v>
      </c>
      <c r="S90" s="205"/>
      <c r="T90" s="215"/>
      <c r="U90" s="205" t="s">
        <v>447</v>
      </c>
      <c r="V90" s="209" t="s">
        <v>778</v>
      </c>
      <c r="W90" s="209" t="s">
        <v>798</v>
      </c>
      <c r="X90" s="209" t="s">
        <v>798</v>
      </c>
      <c r="Y90" s="209" t="s">
        <v>655</v>
      </c>
      <c r="Z90" s="210"/>
      <c r="AD90" s="172"/>
      <c r="AF90" s="172"/>
    </row>
    <row r="91" spans="1:32" ht="20.100000000000001" customHeight="1" x14ac:dyDescent="0.2">
      <c r="A91" s="182"/>
      <c r="B91" s="260"/>
      <c r="C91" s="211" t="s">
        <v>536</v>
      </c>
      <c r="D91" s="215" t="s">
        <v>679</v>
      </c>
      <c r="E91" s="205" t="s">
        <v>676</v>
      </c>
      <c r="F91" s="205"/>
      <c r="G91" s="205" t="s">
        <v>682</v>
      </c>
      <c r="H91" s="206" t="s">
        <v>709</v>
      </c>
      <c r="I91" s="205" t="s">
        <v>447</v>
      </c>
      <c r="J91" s="207" t="s">
        <v>543</v>
      </c>
      <c r="K91" s="207" t="s">
        <v>11</v>
      </c>
      <c r="L91" s="207" t="s">
        <v>659</v>
      </c>
      <c r="M91" s="208" t="s">
        <v>11</v>
      </c>
      <c r="N91" s="207" t="s">
        <v>15</v>
      </c>
      <c r="O91" s="208" t="s">
        <v>13</v>
      </c>
      <c r="P91" s="209"/>
      <c r="Q91" s="209"/>
      <c r="R91" s="205" t="str">
        <f t="shared" si="1"/>
        <v>NO-11_CIC_PLUM_ZZ_ZZZ_ZZ_BQ_0001</v>
      </c>
      <c r="S91" s="205"/>
      <c r="T91" s="215"/>
      <c r="U91" s="205" t="s">
        <v>447</v>
      </c>
      <c r="V91" s="209" t="s">
        <v>778</v>
      </c>
      <c r="W91" s="209" t="s">
        <v>798</v>
      </c>
      <c r="X91" s="209" t="s">
        <v>798</v>
      </c>
      <c r="Y91" s="209" t="s">
        <v>655</v>
      </c>
      <c r="Z91" s="210"/>
      <c r="AD91" s="172"/>
      <c r="AF91" s="172"/>
    </row>
    <row r="92" spans="1:32" ht="20.100000000000001" customHeight="1" x14ac:dyDescent="0.2">
      <c r="A92" s="182"/>
      <c r="B92" s="260"/>
      <c r="C92" s="211" t="s">
        <v>342</v>
      </c>
      <c r="D92" s="215" t="s">
        <v>680</v>
      </c>
      <c r="E92" s="205" t="s">
        <v>676</v>
      </c>
      <c r="F92" s="205"/>
      <c r="G92" s="205" t="s">
        <v>682</v>
      </c>
      <c r="H92" s="206" t="s">
        <v>709</v>
      </c>
      <c r="I92" s="205" t="s">
        <v>447</v>
      </c>
      <c r="J92" s="207" t="s">
        <v>545</v>
      </c>
      <c r="K92" s="207" t="s">
        <v>11</v>
      </c>
      <c r="L92" s="207" t="s">
        <v>659</v>
      </c>
      <c r="M92" s="208" t="s">
        <v>11</v>
      </c>
      <c r="N92" s="207" t="s">
        <v>15</v>
      </c>
      <c r="O92" s="208" t="s">
        <v>13</v>
      </c>
      <c r="P92" s="209"/>
      <c r="Q92" s="209"/>
      <c r="R92" s="205" t="str">
        <f t="shared" si="1"/>
        <v>NO-11_CIC_ELEC_ZZ_ZZZ_ZZ_BQ_0001</v>
      </c>
      <c r="S92" s="205"/>
      <c r="T92" s="215"/>
      <c r="U92" s="205" t="s">
        <v>447</v>
      </c>
      <c r="V92" s="209" t="s">
        <v>778</v>
      </c>
      <c r="W92" s="209" t="s">
        <v>798</v>
      </c>
      <c r="X92" s="209" t="s">
        <v>798</v>
      </c>
      <c r="Y92" s="209" t="s">
        <v>655</v>
      </c>
      <c r="Z92" s="210"/>
      <c r="AD92" s="172"/>
      <c r="AF92" s="172"/>
    </row>
    <row r="93" spans="1:32" ht="20.100000000000001" customHeight="1" x14ac:dyDescent="0.2">
      <c r="A93" s="182"/>
      <c r="B93" s="260"/>
      <c r="C93" s="211" t="s">
        <v>537</v>
      </c>
      <c r="D93" s="215" t="s">
        <v>681</v>
      </c>
      <c r="E93" s="205" t="s">
        <v>676</v>
      </c>
      <c r="F93" s="205"/>
      <c r="G93" s="205" t="s">
        <v>682</v>
      </c>
      <c r="H93" s="206" t="s">
        <v>709</v>
      </c>
      <c r="I93" s="205" t="s">
        <v>447</v>
      </c>
      <c r="J93" s="207" t="s">
        <v>544</v>
      </c>
      <c r="K93" s="207" t="s">
        <v>11</v>
      </c>
      <c r="L93" s="207" t="s">
        <v>659</v>
      </c>
      <c r="M93" s="208" t="s">
        <v>11</v>
      </c>
      <c r="N93" s="207" t="s">
        <v>15</v>
      </c>
      <c r="O93" s="208" t="s">
        <v>13</v>
      </c>
      <c r="P93" s="209"/>
      <c r="Q93" s="209"/>
      <c r="R93" s="205" t="str">
        <f t="shared" si="1"/>
        <v>NO-11_CIC_FIRE_ZZ_ZZZ_ZZ_BQ_0001</v>
      </c>
      <c r="S93" s="205"/>
      <c r="T93" s="215"/>
      <c r="U93" s="205" t="s">
        <v>447</v>
      </c>
      <c r="V93" s="209" t="s">
        <v>778</v>
      </c>
      <c r="W93" s="209" t="s">
        <v>798</v>
      </c>
      <c r="X93" s="209" t="s">
        <v>798</v>
      </c>
      <c r="Y93" s="209" t="s">
        <v>655</v>
      </c>
      <c r="Z93" s="210"/>
      <c r="AD93" s="172"/>
      <c r="AF93" s="172"/>
    </row>
    <row r="94" spans="1:32" ht="20.100000000000001" customHeight="1" x14ac:dyDescent="0.2">
      <c r="A94" s="182"/>
      <c r="B94" s="260"/>
      <c r="C94" s="211" t="s">
        <v>804</v>
      </c>
      <c r="D94" s="215" t="s">
        <v>805</v>
      </c>
      <c r="E94" s="205" t="s">
        <v>676</v>
      </c>
      <c r="F94" s="205"/>
      <c r="G94" s="205" t="s">
        <v>682</v>
      </c>
      <c r="H94" s="206" t="s">
        <v>709</v>
      </c>
      <c r="I94" s="205" t="s">
        <v>447</v>
      </c>
      <c r="J94" s="207" t="s">
        <v>806</v>
      </c>
      <c r="K94" s="207" t="s">
        <v>11</v>
      </c>
      <c r="L94" s="207" t="s">
        <v>659</v>
      </c>
      <c r="M94" s="208" t="s">
        <v>11</v>
      </c>
      <c r="N94" s="207" t="s">
        <v>15</v>
      </c>
      <c r="O94" s="208" t="s">
        <v>13</v>
      </c>
      <c r="P94" s="209"/>
      <c r="Q94" s="209"/>
      <c r="R94" s="205" t="str">
        <f t="shared" si="1"/>
        <v>NO-11_CIC_STAR_ZZ_ZZZ_ZZ_BQ_0001</v>
      </c>
      <c r="S94" s="205"/>
      <c r="T94" s="215"/>
      <c r="U94" s="205" t="s">
        <v>447</v>
      </c>
      <c r="V94" s="209" t="s">
        <v>808</v>
      </c>
      <c r="W94" s="209"/>
      <c r="X94" s="209"/>
      <c r="Y94" s="209"/>
      <c r="Z94" s="210"/>
      <c r="AD94" s="172"/>
      <c r="AF94" s="172"/>
    </row>
    <row r="95" spans="1:32" ht="20.100000000000001" customHeight="1" x14ac:dyDescent="0.2">
      <c r="A95" s="182"/>
      <c r="B95" s="260"/>
      <c r="C95" s="211" t="s">
        <v>815</v>
      </c>
      <c r="D95" s="215" t="s">
        <v>816</v>
      </c>
      <c r="E95" s="205" t="s">
        <v>676</v>
      </c>
      <c r="F95" s="205"/>
      <c r="G95" s="205" t="s">
        <v>682</v>
      </c>
      <c r="H95" s="206" t="s">
        <v>709</v>
      </c>
      <c r="I95" s="205" t="s">
        <v>447</v>
      </c>
      <c r="J95" s="207" t="s">
        <v>544</v>
      </c>
      <c r="K95" s="207" t="s">
        <v>11</v>
      </c>
      <c r="L95" s="207" t="s">
        <v>659</v>
      </c>
      <c r="M95" s="208" t="s">
        <v>11</v>
      </c>
      <c r="N95" s="207" t="s">
        <v>15</v>
      </c>
      <c r="O95" s="208" t="s">
        <v>13</v>
      </c>
      <c r="P95" s="209"/>
      <c r="Q95" s="209"/>
      <c r="R95" s="205" t="str">
        <f t="shared" si="1"/>
        <v>NO-11_CIC_FIRE_ZZ_ZZZ_ZZ_BQ_0001</v>
      </c>
      <c r="S95" s="205"/>
      <c r="T95" s="215"/>
      <c r="U95" s="205" t="s">
        <v>447</v>
      </c>
      <c r="V95" s="209" t="s">
        <v>808</v>
      </c>
      <c r="W95" s="209"/>
      <c r="X95" s="209"/>
      <c r="Y95" s="209"/>
      <c r="Z95" s="210"/>
      <c r="AD95" s="172"/>
      <c r="AF95" s="172"/>
    </row>
    <row r="96" spans="1:32" ht="30" customHeight="1" x14ac:dyDescent="0.2">
      <c r="A96" s="420"/>
      <c r="B96" s="261"/>
      <c r="C96" s="211" t="s">
        <v>814</v>
      </c>
      <c r="D96" s="215" t="s">
        <v>807</v>
      </c>
      <c r="E96" s="205" t="s">
        <v>676</v>
      </c>
      <c r="F96" s="205"/>
      <c r="G96" s="205" t="s">
        <v>682</v>
      </c>
      <c r="H96" s="206" t="s">
        <v>709</v>
      </c>
      <c r="I96" s="205" t="s">
        <v>447</v>
      </c>
      <c r="J96" s="207" t="s">
        <v>541</v>
      </c>
      <c r="K96" s="207" t="s">
        <v>11</v>
      </c>
      <c r="L96" s="207" t="s">
        <v>659</v>
      </c>
      <c r="M96" s="208" t="s">
        <v>11</v>
      </c>
      <c r="N96" s="207" t="s">
        <v>15</v>
      </c>
      <c r="O96" s="208" t="s">
        <v>13</v>
      </c>
      <c r="P96" s="209"/>
      <c r="Q96" s="209"/>
      <c r="R96" s="205" t="str">
        <f t="shared" si="1"/>
        <v>NO-11_CIC_MEPF_ZZ_ZZZ_ZZ_BQ_0001</v>
      </c>
      <c r="S96" s="205"/>
      <c r="T96" s="215"/>
      <c r="U96" s="205" t="s">
        <v>447</v>
      </c>
      <c r="V96" s="209" t="s">
        <v>809</v>
      </c>
      <c r="W96" s="209"/>
      <c r="X96" s="209"/>
      <c r="Y96" s="209"/>
      <c r="Z96" s="210"/>
      <c r="AD96" s="172"/>
      <c r="AF96" s="172"/>
    </row>
    <row r="97" spans="4:32" x14ac:dyDescent="0.2">
      <c r="D97" s="171"/>
      <c r="G97" s="172"/>
      <c r="H97" s="173"/>
      <c r="J97" s="172"/>
      <c r="P97" s="174"/>
      <c r="Q97" s="174"/>
      <c r="R97" s="173"/>
      <c r="S97" s="182"/>
      <c r="T97" s="226"/>
      <c r="AD97" s="172"/>
      <c r="AF97" s="172"/>
    </row>
    <row r="98" spans="4:32" x14ac:dyDescent="0.2">
      <c r="D98" s="171"/>
      <c r="G98" s="172"/>
      <c r="H98" s="173"/>
      <c r="J98" s="172"/>
      <c r="P98" s="174"/>
      <c r="Q98" s="174"/>
      <c r="R98" s="173"/>
      <c r="S98" s="182"/>
      <c r="T98" s="226"/>
      <c r="AD98" s="172"/>
      <c r="AF98" s="172"/>
    </row>
    <row r="99" spans="4:32" x14ac:dyDescent="0.2">
      <c r="D99" s="171"/>
      <c r="G99" s="172"/>
      <c r="H99" s="173"/>
      <c r="J99" s="172"/>
      <c r="P99" s="174"/>
      <c r="Q99" s="174"/>
      <c r="R99" s="173"/>
      <c r="S99" s="182"/>
      <c r="T99" s="226"/>
      <c r="AD99" s="172"/>
      <c r="AF99" s="172"/>
    </row>
    <row r="100" spans="4:32" x14ac:dyDescent="0.2">
      <c r="D100" s="171"/>
      <c r="G100" s="172"/>
      <c r="H100" s="173"/>
      <c r="J100" s="172"/>
      <c r="P100" s="174"/>
      <c r="Q100" s="174"/>
      <c r="R100" s="173"/>
      <c r="S100" s="182"/>
      <c r="T100" s="226"/>
      <c r="AD100" s="172"/>
      <c r="AF100" s="172"/>
    </row>
    <row r="101" spans="4:32" x14ac:dyDescent="0.2">
      <c r="D101" s="171"/>
      <c r="G101" s="172"/>
      <c r="H101" s="173"/>
      <c r="J101" s="172"/>
      <c r="P101" s="174"/>
      <c r="Q101" s="174"/>
      <c r="R101" s="173"/>
      <c r="S101" s="182"/>
      <c r="T101" s="226"/>
      <c r="AD101" s="172"/>
      <c r="AF101" s="172"/>
    </row>
    <row r="102" spans="4:32" x14ac:dyDescent="0.2">
      <c r="D102" s="171"/>
      <c r="G102" s="172"/>
      <c r="H102" s="173"/>
      <c r="J102" s="172"/>
      <c r="P102" s="174"/>
      <c r="Q102" s="174"/>
      <c r="R102" s="173"/>
      <c r="S102" s="182"/>
      <c r="T102" s="226"/>
      <c r="AD102" s="172"/>
      <c r="AF102" s="172"/>
    </row>
    <row r="103" spans="4:32" x14ac:dyDescent="0.2">
      <c r="D103" s="171"/>
      <c r="G103" s="172"/>
      <c r="H103" s="173"/>
      <c r="J103" s="172"/>
      <c r="P103" s="174"/>
      <c r="Q103" s="174"/>
      <c r="R103" s="173"/>
      <c r="S103" s="182"/>
      <c r="T103" s="226"/>
      <c r="AD103" s="172"/>
      <c r="AF103" s="172"/>
    </row>
    <row r="104" spans="4:32" x14ac:dyDescent="0.2">
      <c r="D104" s="171"/>
      <c r="G104" s="172"/>
      <c r="H104" s="173"/>
      <c r="J104" s="172"/>
      <c r="P104" s="174"/>
      <c r="Q104" s="174"/>
      <c r="R104" s="173"/>
      <c r="S104" s="182"/>
      <c r="T104" s="226"/>
      <c r="AD104" s="172"/>
      <c r="AF104" s="172"/>
    </row>
    <row r="105" spans="4:32" x14ac:dyDescent="0.2">
      <c r="D105" s="171"/>
      <c r="G105" s="172"/>
      <c r="H105" s="173"/>
      <c r="J105" s="172"/>
      <c r="P105" s="174"/>
      <c r="Q105" s="174"/>
      <c r="R105" s="173"/>
      <c r="S105" s="182"/>
      <c r="T105" s="226"/>
      <c r="AD105" s="172"/>
      <c r="AF105" s="172"/>
    </row>
    <row r="106" spans="4:32" x14ac:dyDescent="0.2">
      <c r="D106" s="171"/>
      <c r="G106" s="172"/>
      <c r="H106" s="173"/>
      <c r="J106" s="172"/>
      <c r="P106" s="174"/>
      <c r="Q106" s="174"/>
      <c r="R106" s="173"/>
      <c r="S106" s="182"/>
      <c r="T106" s="226"/>
      <c r="AD106" s="172"/>
      <c r="AF106" s="172"/>
    </row>
    <row r="107" spans="4:32" x14ac:dyDescent="0.2">
      <c r="D107" s="171"/>
      <c r="G107" s="172"/>
      <c r="H107" s="173"/>
      <c r="J107" s="172"/>
      <c r="P107" s="174"/>
      <c r="Q107" s="174"/>
      <c r="R107" s="173"/>
      <c r="S107" s="182"/>
      <c r="T107" s="226"/>
      <c r="AD107" s="172"/>
      <c r="AF107" s="172"/>
    </row>
    <row r="108" spans="4:32" x14ac:dyDescent="0.2">
      <c r="D108" s="171"/>
      <c r="G108" s="172"/>
      <c r="H108" s="173"/>
      <c r="J108" s="172"/>
      <c r="P108" s="174"/>
      <c r="Q108" s="174"/>
      <c r="R108" s="173"/>
      <c r="S108" s="182"/>
      <c r="T108" s="226"/>
      <c r="AD108" s="172"/>
      <c r="AF108" s="172"/>
    </row>
    <row r="109" spans="4:32" x14ac:dyDescent="0.2">
      <c r="D109" s="171"/>
      <c r="G109" s="172"/>
      <c r="H109" s="173"/>
      <c r="J109" s="172"/>
      <c r="P109" s="174"/>
      <c r="Q109" s="174"/>
      <c r="R109" s="173"/>
      <c r="S109" s="182"/>
      <c r="T109" s="226"/>
      <c r="AD109" s="172"/>
      <c r="AF109" s="172"/>
    </row>
    <row r="110" spans="4:32" x14ac:dyDescent="0.2">
      <c r="D110" s="171"/>
      <c r="G110" s="172"/>
      <c r="H110" s="173"/>
      <c r="J110" s="172"/>
      <c r="P110" s="174"/>
      <c r="Q110" s="174"/>
      <c r="R110" s="173"/>
      <c r="S110" s="182"/>
      <c r="T110" s="226"/>
      <c r="AD110" s="172"/>
      <c r="AF110" s="172"/>
    </row>
    <row r="111" spans="4:32" x14ac:dyDescent="0.2">
      <c r="D111" s="171"/>
      <c r="G111" s="172"/>
      <c r="H111" s="173"/>
      <c r="J111" s="172"/>
      <c r="P111" s="174"/>
      <c r="Q111" s="174"/>
      <c r="R111" s="173"/>
      <c r="S111" s="182"/>
      <c r="T111" s="226"/>
      <c r="AD111" s="172"/>
      <c r="AF111" s="172"/>
    </row>
    <row r="112" spans="4:32" x14ac:dyDescent="0.2">
      <c r="D112" s="171"/>
      <c r="G112" s="172"/>
      <c r="H112" s="173"/>
      <c r="J112" s="172"/>
      <c r="P112" s="174"/>
      <c r="Q112" s="174"/>
      <c r="R112" s="173"/>
      <c r="S112" s="182"/>
      <c r="T112" s="226"/>
      <c r="AD112" s="172"/>
      <c r="AF112" s="172"/>
    </row>
    <row r="113" spans="4:32" x14ac:dyDescent="0.2">
      <c r="D113" s="171"/>
      <c r="G113" s="172"/>
      <c r="H113" s="173"/>
      <c r="J113" s="172"/>
      <c r="P113" s="174"/>
      <c r="Q113" s="174"/>
      <c r="R113" s="173"/>
      <c r="S113" s="182"/>
      <c r="T113" s="226"/>
      <c r="AD113" s="172"/>
      <c r="AF113" s="172"/>
    </row>
    <row r="114" spans="4:32" x14ac:dyDescent="0.2">
      <c r="D114" s="171"/>
      <c r="G114" s="172"/>
      <c r="H114" s="173"/>
      <c r="J114" s="172"/>
      <c r="P114" s="174"/>
      <c r="Q114" s="174"/>
      <c r="R114" s="173"/>
      <c r="S114" s="182"/>
      <c r="T114" s="226"/>
      <c r="AD114" s="172"/>
      <c r="AF114" s="172"/>
    </row>
    <row r="115" spans="4:32" x14ac:dyDescent="0.2">
      <c r="D115" s="171"/>
      <c r="G115" s="172"/>
      <c r="H115" s="173"/>
      <c r="J115" s="172"/>
      <c r="P115" s="174"/>
      <c r="Q115" s="174"/>
      <c r="R115" s="173"/>
      <c r="S115" s="182"/>
      <c r="T115" s="226"/>
      <c r="AD115" s="172"/>
      <c r="AF115" s="172"/>
    </row>
    <row r="116" spans="4:32" x14ac:dyDescent="0.2">
      <c r="D116" s="171"/>
      <c r="G116" s="172"/>
      <c r="H116" s="173"/>
      <c r="J116" s="172"/>
      <c r="P116" s="174"/>
      <c r="Q116" s="174"/>
      <c r="R116" s="173"/>
      <c r="S116" s="182"/>
      <c r="T116" s="226"/>
      <c r="AD116" s="172"/>
      <c r="AF116" s="172"/>
    </row>
    <row r="117" spans="4:32" x14ac:dyDescent="0.2">
      <c r="D117" s="171"/>
      <c r="G117" s="172"/>
      <c r="H117" s="173"/>
      <c r="J117" s="172"/>
      <c r="P117" s="174"/>
      <c r="Q117" s="174"/>
      <c r="R117" s="173"/>
      <c r="S117" s="182"/>
      <c r="T117" s="226"/>
      <c r="AD117" s="172"/>
      <c r="AF117" s="172"/>
    </row>
    <row r="118" spans="4:32" x14ac:dyDescent="0.2">
      <c r="D118" s="171"/>
      <c r="G118" s="172"/>
      <c r="H118" s="173"/>
      <c r="J118" s="172"/>
      <c r="P118" s="174"/>
      <c r="Q118" s="174"/>
      <c r="R118" s="173"/>
      <c r="S118" s="182"/>
      <c r="T118" s="226"/>
      <c r="AD118" s="172"/>
      <c r="AF118" s="172"/>
    </row>
    <row r="119" spans="4:32" x14ac:dyDescent="0.2">
      <c r="D119" s="171"/>
      <c r="G119" s="172"/>
      <c r="H119" s="173"/>
      <c r="J119" s="172"/>
      <c r="P119" s="174"/>
      <c r="Q119" s="174"/>
      <c r="R119" s="173"/>
      <c r="S119" s="182"/>
      <c r="T119" s="226"/>
      <c r="AD119" s="172"/>
      <c r="AF119" s="172"/>
    </row>
    <row r="120" spans="4:32" x14ac:dyDescent="0.2">
      <c r="D120" s="171"/>
      <c r="G120" s="172"/>
      <c r="H120" s="173"/>
      <c r="J120" s="172"/>
      <c r="P120" s="174"/>
      <c r="Q120" s="174"/>
      <c r="R120" s="173"/>
      <c r="S120" s="182"/>
      <c r="T120" s="226"/>
      <c r="AD120" s="172"/>
      <c r="AF120" s="172"/>
    </row>
    <row r="121" spans="4:32" x14ac:dyDescent="0.2">
      <c r="D121" s="171"/>
      <c r="G121" s="172"/>
      <c r="H121" s="173"/>
      <c r="J121" s="172"/>
      <c r="P121" s="174"/>
      <c r="Q121" s="174"/>
      <c r="R121" s="173"/>
      <c r="S121" s="182"/>
      <c r="T121" s="226"/>
      <c r="AD121" s="172"/>
      <c r="AF121" s="172"/>
    </row>
    <row r="122" spans="4:32" x14ac:dyDescent="0.2">
      <c r="D122" s="171"/>
      <c r="G122" s="172"/>
      <c r="H122" s="173"/>
      <c r="J122" s="172"/>
      <c r="P122" s="174"/>
      <c r="Q122" s="174"/>
      <c r="R122" s="173"/>
      <c r="S122" s="182"/>
      <c r="T122" s="226"/>
      <c r="AD122" s="172"/>
      <c r="AF122" s="172"/>
    </row>
    <row r="123" spans="4:32" x14ac:dyDescent="0.2">
      <c r="D123" s="171"/>
      <c r="G123" s="172"/>
      <c r="H123" s="173"/>
      <c r="J123" s="172"/>
      <c r="P123" s="174"/>
      <c r="Q123" s="174"/>
      <c r="R123" s="173"/>
      <c r="S123" s="182"/>
      <c r="T123" s="226"/>
      <c r="AD123" s="172"/>
      <c r="AF123" s="172"/>
    </row>
    <row r="124" spans="4:32" x14ac:dyDescent="0.2">
      <c r="D124" s="171"/>
      <c r="G124" s="172"/>
      <c r="H124" s="173"/>
      <c r="J124" s="172"/>
      <c r="P124" s="174"/>
      <c r="Q124" s="174"/>
      <c r="R124" s="173"/>
      <c r="S124" s="182"/>
      <c r="T124" s="226"/>
      <c r="AD124" s="172"/>
      <c r="AF124" s="172"/>
    </row>
    <row r="125" spans="4:32" x14ac:dyDescent="0.2">
      <c r="D125" s="171"/>
      <c r="G125" s="172"/>
      <c r="H125" s="173"/>
      <c r="J125" s="172"/>
      <c r="P125" s="174"/>
      <c r="Q125" s="174"/>
      <c r="R125" s="173"/>
      <c r="S125" s="182"/>
      <c r="T125" s="226"/>
      <c r="AD125" s="172"/>
      <c r="AF125" s="172"/>
    </row>
    <row r="126" spans="4:32" x14ac:dyDescent="0.2">
      <c r="D126" s="171"/>
      <c r="G126" s="172"/>
      <c r="H126" s="173"/>
      <c r="J126" s="172"/>
      <c r="P126" s="174"/>
      <c r="Q126" s="174"/>
      <c r="R126" s="173"/>
      <c r="S126" s="182"/>
      <c r="T126" s="226"/>
      <c r="AD126" s="172"/>
      <c r="AF126" s="172"/>
    </row>
    <row r="127" spans="4:32" x14ac:dyDescent="0.2">
      <c r="D127" s="171"/>
      <c r="G127" s="172"/>
      <c r="H127" s="173"/>
      <c r="J127" s="172"/>
      <c r="P127" s="174"/>
      <c r="Q127" s="174"/>
      <c r="R127" s="173"/>
      <c r="S127" s="182"/>
      <c r="T127" s="226"/>
      <c r="AD127" s="172"/>
      <c r="AF127" s="172"/>
    </row>
    <row r="128" spans="4:32" x14ac:dyDescent="0.2">
      <c r="D128" s="171"/>
      <c r="G128" s="172"/>
      <c r="H128" s="173"/>
      <c r="J128" s="172"/>
      <c r="P128" s="174"/>
      <c r="Q128" s="174"/>
      <c r="R128" s="173"/>
      <c r="S128" s="182"/>
      <c r="T128" s="226"/>
      <c r="AD128" s="172"/>
      <c r="AF128" s="172"/>
    </row>
    <row r="129" spans="4:32" x14ac:dyDescent="0.2">
      <c r="D129" s="171"/>
      <c r="G129" s="172"/>
      <c r="H129" s="173"/>
      <c r="J129" s="172"/>
      <c r="P129" s="174"/>
      <c r="Q129" s="174"/>
      <c r="R129" s="173"/>
      <c r="S129" s="182"/>
      <c r="T129" s="226"/>
      <c r="AD129" s="172"/>
      <c r="AF129" s="172"/>
    </row>
    <row r="130" spans="4:32" x14ac:dyDescent="0.2">
      <c r="D130" s="171"/>
      <c r="G130" s="172"/>
      <c r="H130" s="173"/>
      <c r="J130" s="172"/>
      <c r="P130" s="174"/>
      <c r="Q130" s="174"/>
      <c r="R130" s="173"/>
      <c r="S130" s="182"/>
      <c r="T130" s="226"/>
      <c r="AD130" s="172"/>
      <c r="AF130" s="172"/>
    </row>
    <row r="131" spans="4:32" x14ac:dyDescent="0.2">
      <c r="D131" s="171"/>
      <c r="G131" s="172"/>
      <c r="H131" s="173"/>
      <c r="J131" s="172"/>
      <c r="P131" s="174"/>
      <c r="Q131" s="174"/>
      <c r="R131" s="173"/>
      <c r="S131" s="182"/>
      <c r="T131" s="226"/>
      <c r="AD131" s="172"/>
      <c r="AF131" s="172"/>
    </row>
    <row r="132" spans="4:32" x14ac:dyDescent="0.2">
      <c r="D132" s="171"/>
      <c r="G132" s="172"/>
      <c r="H132" s="173"/>
      <c r="J132" s="172"/>
      <c r="P132" s="174"/>
      <c r="Q132" s="174"/>
      <c r="R132" s="173"/>
      <c r="S132" s="182"/>
      <c r="T132" s="226"/>
      <c r="AD132" s="172"/>
      <c r="AF132" s="172"/>
    </row>
    <row r="133" spans="4:32" x14ac:dyDescent="0.2">
      <c r="D133" s="171"/>
      <c r="G133" s="172"/>
      <c r="H133" s="173"/>
      <c r="J133" s="172"/>
      <c r="P133" s="174"/>
      <c r="Q133" s="174"/>
      <c r="R133" s="173"/>
      <c r="S133" s="182"/>
      <c r="T133" s="226"/>
      <c r="AD133" s="172"/>
      <c r="AF133" s="172"/>
    </row>
    <row r="134" spans="4:32" x14ac:dyDescent="0.2">
      <c r="D134" s="171"/>
      <c r="G134" s="172"/>
      <c r="H134" s="173"/>
      <c r="J134" s="172"/>
      <c r="P134" s="174"/>
      <c r="Q134" s="174"/>
      <c r="R134" s="173"/>
      <c r="S134" s="182"/>
      <c r="T134" s="226"/>
      <c r="AD134" s="172"/>
      <c r="AF134" s="172"/>
    </row>
    <row r="135" spans="4:32" x14ac:dyDescent="0.2">
      <c r="D135" s="171"/>
      <c r="G135" s="172"/>
      <c r="H135" s="173"/>
      <c r="J135" s="172"/>
      <c r="P135" s="174"/>
      <c r="Q135" s="174"/>
      <c r="R135" s="173"/>
      <c r="S135" s="182"/>
      <c r="T135" s="226"/>
      <c r="AD135" s="172"/>
      <c r="AF135" s="172"/>
    </row>
    <row r="136" spans="4:32" x14ac:dyDescent="0.2">
      <c r="D136" s="171"/>
      <c r="G136" s="172"/>
      <c r="H136" s="173"/>
      <c r="J136" s="172"/>
      <c r="P136" s="174"/>
      <c r="Q136" s="174"/>
      <c r="R136" s="173"/>
      <c r="S136" s="182"/>
      <c r="T136" s="226"/>
      <c r="AD136" s="172"/>
      <c r="AF136" s="172"/>
    </row>
    <row r="137" spans="4:32" x14ac:dyDescent="0.2">
      <c r="D137" s="171"/>
      <c r="G137" s="172"/>
      <c r="H137" s="173"/>
      <c r="J137" s="172"/>
      <c r="P137" s="174"/>
      <c r="Q137" s="174"/>
      <c r="R137" s="173"/>
      <c r="S137" s="182"/>
      <c r="T137" s="226"/>
      <c r="AD137" s="172"/>
      <c r="AF137" s="172"/>
    </row>
    <row r="138" spans="4:32" x14ac:dyDescent="0.2">
      <c r="D138" s="171"/>
      <c r="G138" s="172"/>
      <c r="H138" s="173"/>
      <c r="J138" s="172"/>
      <c r="P138" s="174"/>
      <c r="Q138" s="174"/>
      <c r="R138" s="173"/>
      <c r="S138" s="182"/>
      <c r="T138" s="226"/>
      <c r="AD138" s="172"/>
      <c r="AF138" s="172"/>
    </row>
    <row r="139" spans="4:32" x14ac:dyDescent="0.2">
      <c r="D139" s="171"/>
      <c r="G139" s="172"/>
      <c r="H139" s="173"/>
      <c r="J139" s="172"/>
      <c r="P139" s="174"/>
      <c r="Q139" s="174"/>
      <c r="R139" s="173"/>
      <c r="S139" s="182"/>
      <c r="T139" s="226"/>
      <c r="AD139" s="172"/>
      <c r="AF139" s="172"/>
    </row>
    <row r="140" spans="4:32" x14ac:dyDescent="0.2">
      <c r="D140" s="171"/>
      <c r="G140" s="172"/>
      <c r="H140" s="173"/>
      <c r="J140" s="172"/>
      <c r="P140" s="174"/>
      <c r="Q140" s="174"/>
      <c r="R140" s="173"/>
      <c r="S140" s="182"/>
      <c r="T140" s="226"/>
      <c r="AD140" s="172"/>
      <c r="AF140" s="172"/>
    </row>
    <row r="141" spans="4:32" x14ac:dyDescent="0.2">
      <c r="D141" s="171"/>
      <c r="G141" s="172"/>
      <c r="H141" s="173"/>
      <c r="J141" s="172"/>
      <c r="P141" s="174"/>
      <c r="Q141" s="174"/>
      <c r="R141" s="173"/>
      <c r="S141" s="182"/>
      <c r="T141" s="226"/>
      <c r="AD141" s="172"/>
      <c r="AF141" s="172"/>
    </row>
    <row r="142" spans="4:32" x14ac:dyDescent="0.2">
      <c r="D142" s="171"/>
      <c r="G142" s="172"/>
      <c r="H142" s="173"/>
      <c r="J142" s="172"/>
      <c r="P142" s="174"/>
      <c r="Q142" s="174"/>
      <c r="R142" s="173"/>
      <c r="S142" s="182"/>
      <c r="T142" s="226"/>
      <c r="AD142" s="172"/>
      <c r="AF142" s="172"/>
    </row>
    <row r="143" spans="4:32" x14ac:dyDescent="0.2">
      <c r="D143" s="171"/>
      <c r="G143" s="172"/>
      <c r="H143" s="173"/>
      <c r="J143" s="172"/>
      <c r="P143" s="174"/>
      <c r="Q143" s="174"/>
      <c r="R143" s="173"/>
      <c r="S143" s="182"/>
      <c r="T143" s="226"/>
      <c r="AD143" s="172"/>
      <c r="AF143" s="172"/>
    </row>
    <row r="144" spans="4:32" x14ac:dyDescent="0.2">
      <c r="D144" s="171"/>
      <c r="G144" s="172"/>
      <c r="H144" s="173"/>
      <c r="J144" s="172"/>
      <c r="P144" s="174"/>
      <c r="Q144" s="174"/>
      <c r="R144" s="173"/>
      <c r="S144" s="182"/>
      <c r="T144" s="226"/>
      <c r="AD144" s="172"/>
      <c r="AF144" s="172"/>
    </row>
    <row r="145" spans="4:32" x14ac:dyDescent="0.2">
      <c r="D145" s="171"/>
      <c r="G145" s="172"/>
      <c r="H145" s="173"/>
      <c r="J145" s="172"/>
      <c r="P145" s="174"/>
      <c r="Q145" s="174"/>
      <c r="R145" s="173"/>
      <c r="S145" s="182"/>
      <c r="T145" s="226"/>
      <c r="AD145" s="172"/>
      <c r="AF145" s="172"/>
    </row>
    <row r="146" spans="4:32" x14ac:dyDescent="0.2">
      <c r="D146" s="171"/>
      <c r="G146" s="172"/>
      <c r="H146" s="173"/>
      <c r="J146" s="172"/>
      <c r="P146" s="174"/>
      <c r="Q146" s="174"/>
      <c r="R146" s="173"/>
      <c r="S146" s="182"/>
      <c r="T146" s="226"/>
      <c r="AD146" s="172"/>
      <c r="AF146" s="172"/>
    </row>
    <row r="147" spans="4:32" x14ac:dyDescent="0.2">
      <c r="D147" s="171"/>
      <c r="G147" s="172"/>
      <c r="H147" s="173"/>
      <c r="J147" s="172"/>
      <c r="P147" s="174"/>
      <c r="Q147" s="174"/>
      <c r="R147" s="173"/>
      <c r="S147" s="182"/>
      <c r="T147" s="226"/>
      <c r="AD147" s="172"/>
      <c r="AF147" s="172"/>
    </row>
    <row r="148" spans="4:32" x14ac:dyDescent="0.2">
      <c r="D148" s="171"/>
      <c r="G148" s="172"/>
      <c r="H148" s="173"/>
      <c r="J148" s="172"/>
      <c r="P148" s="174"/>
      <c r="Q148" s="174"/>
      <c r="R148" s="173"/>
      <c r="S148" s="182"/>
      <c r="T148" s="226"/>
      <c r="AD148" s="172"/>
      <c r="AF148" s="172"/>
    </row>
    <row r="149" spans="4:32" x14ac:dyDescent="0.2">
      <c r="D149" s="171"/>
      <c r="G149" s="172"/>
      <c r="H149" s="173"/>
      <c r="J149" s="172"/>
      <c r="P149" s="174"/>
      <c r="Q149" s="174"/>
      <c r="R149" s="173"/>
      <c r="S149" s="182"/>
      <c r="T149" s="226"/>
      <c r="AD149" s="172"/>
      <c r="AF149" s="172"/>
    </row>
    <row r="150" spans="4:32" x14ac:dyDescent="0.2">
      <c r="D150" s="171"/>
      <c r="G150" s="172"/>
      <c r="H150" s="173"/>
      <c r="J150" s="172"/>
      <c r="P150" s="174"/>
      <c r="Q150" s="174"/>
      <c r="R150" s="173"/>
      <c r="S150" s="182"/>
      <c r="T150" s="226"/>
      <c r="AD150" s="172"/>
      <c r="AF150" s="172"/>
    </row>
    <row r="151" spans="4:32" x14ac:dyDescent="0.2">
      <c r="D151" s="171"/>
      <c r="G151" s="172"/>
      <c r="H151" s="173"/>
      <c r="J151" s="172"/>
      <c r="P151" s="174"/>
      <c r="Q151" s="174"/>
      <c r="R151" s="173"/>
      <c r="S151" s="182"/>
      <c r="T151" s="226"/>
      <c r="AD151" s="172"/>
      <c r="AF151" s="172"/>
    </row>
    <row r="152" spans="4:32" x14ac:dyDescent="0.2">
      <c r="D152" s="171"/>
      <c r="G152" s="172"/>
      <c r="H152" s="173"/>
      <c r="J152" s="172"/>
      <c r="P152" s="174"/>
      <c r="Q152" s="174"/>
      <c r="R152" s="173"/>
      <c r="S152" s="182"/>
      <c r="T152" s="226"/>
      <c r="AD152" s="172"/>
      <c r="AF152" s="172"/>
    </row>
    <row r="153" spans="4:32" x14ac:dyDescent="0.2">
      <c r="D153" s="171"/>
      <c r="G153" s="172"/>
      <c r="H153" s="173"/>
      <c r="J153" s="172"/>
      <c r="P153" s="174"/>
      <c r="Q153" s="174"/>
      <c r="R153" s="173"/>
      <c r="S153" s="182"/>
      <c r="T153" s="226"/>
      <c r="AD153" s="172"/>
      <c r="AF153" s="172"/>
    </row>
    <row r="154" spans="4:32" x14ac:dyDescent="0.2">
      <c r="D154" s="171"/>
      <c r="G154" s="172"/>
      <c r="H154" s="173"/>
      <c r="J154" s="172"/>
      <c r="P154" s="174"/>
      <c r="Q154" s="174"/>
      <c r="R154" s="173"/>
      <c r="S154" s="182"/>
      <c r="T154" s="226"/>
      <c r="AD154" s="172"/>
      <c r="AF154" s="172"/>
    </row>
    <row r="155" spans="4:32" x14ac:dyDescent="0.2">
      <c r="D155" s="171"/>
      <c r="G155" s="172"/>
      <c r="H155" s="173"/>
      <c r="J155" s="172"/>
      <c r="P155" s="174"/>
      <c r="Q155" s="174"/>
      <c r="R155" s="173"/>
      <c r="S155" s="182"/>
      <c r="T155" s="226"/>
      <c r="AD155" s="172"/>
      <c r="AF155" s="172"/>
    </row>
    <row r="156" spans="4:32" x14ac:dyDescent="0.2">
      <c r="D156" s="171"/>
      <c r="G156" s="172"/>
      <c r="H156" s="173"/>
      <c r="J156" s="172"/>
      <c r="P156" s="174"/>
      <c r="Q156" s="174"/>
      <c r="R156" s="173"/>
      <c r="S156" s="182"/>
      <c r="T156" s="226"/>
      <c r="AD156" s="172"/>
      <c r="AF156" s="172"/>
    </row>
    <row r="157" spans="4:32" x14ac:dyDescent="0.2">
      <c r="D157" s="171"/>
      <c r="G157" s="172"/>
      <c r="H157" s="173"/>
      <c r="J157" s="172"/>
      <c r="P157" s="174"/>
      <c r="Q157" s="174"/>
      <c r="R157" s="173"/>
      <c r="S157" s="182"/>
      <c r="T157" s="226"/>
      <c r="AD157" s="172"/>
      <c r="AF157" s="172"/>
    </row>
    <row r="158" spans="4:32" x14ac:dyDescent="0.2">
      <c r="D158" s="171"/>
      <c r="G158" s="172"/>
      <c r="H158" s="173"/>
      <c r="J158" s="172"/>
      <c r="P158" s="174"/>
      <c r="Q158" s="174"/>
      <c r="R158" s="173"/>
      <c r="S158" s="182"/>
      <c r="T158" s="226"/>
      <c r="AD158" s="172"/>
      <c r="AF158" s="172"/>
    </row>
    <row r="159" spans="4:32" x14ac:dyDescent="0.2">
      <c r="D159" s="171"/>
      <c r="G159" s="172"/>
      <c r="H159" s="173"/>
      <c r="J159" s="172"/>
      <c r="P159" s="174"/>
      <c r="Q159" s="174"/>
      <c r="R159" s="173"/>
      <c r="S159" s="182"/>
      <c r="T159" s="226"/>
      <c r="AD159" s="172"/>
      <c r="AF159" s="172"/>
    </row>
    <row r="160" spans="4:32" x14ac:dyDescent="0.2">
      <c r="D160" s="171"/>
      <c r="G160" s="172"/>
      <c r="H160" s="173"/>
      <c r="J160" s="172"/>
      <c r="P160" s="174"/>
      <c r="Q160" s="174"/>
      <c r="R160" s="173"/>
      <c r="S160" s="182"/>
      <c r="T160" s="226"/>
      <c r="AD160" s="172"/>
      <c r="AF160" s="172"/>
    </row>
    <row r="161" spans="4:32" x14ac:dyDescent="0.2">
      <c r="D161" s="171"/>
      <c r="G161" s="172"/>
      <c r="H161" s="173"/>
      <c r="J161" s="172"/>
      <c r="P161" s="174"/>
      <c r="Q161" s="174"/>
      <c r="R161" s="173"/>
      <c r="S161" s="182"/>
      <c r="T161" s="226"/>
      <c r="AD161" s="172"/>
      <c r="AF161" s="172"/>
    </row>
    <row r="162" spans="4:32" x14ac:dyDescent="0.2">
      <c r="D162" s="171"/>
      <c r="G162" s="172"/>
      <c r="H162" s="173"/>
      <c r="J162" s="172"/>
      <c r="P162" s="174"/>
      <c r="Q162" s="174"/>
      <c r="R162" s="173"/>
      <c r="S162" s="182"/>
      <c r="T162" s="226"/>
      <c r="AD162" s="172"/>
      <c r="AF162" s="172"/>
    </row>
    <row r="163" spans="4:32" x14ac:dyDescent="0.2">
      <c r="D163" s="171"/>
      <c r="G163" s="172"/>
      <c r="H163" s="173"/>
      <c r="J163" s="172"/>
      <c r="P163" s="174"/>
      <c r="Q163" s="174"/>
      <c r="R163" s="173"/>
      <c r="S163" s="182"/>
      <c r="T163" s="226"/>
      <c r="AD163" s="172"/>
      <c r="AF163" s="172"/>
    </row>
    <row r="164" spans="4:32" x14ac:dyDescent="0.2">
      <c r="D164" s="171"/>
      <c r="G164" s="172"/>
      <c r="H164" s="173"/>
      <c r="J164" s="172"/>
      <c r="P164" s="174"/>
      <c r="Q164" s="174"/>
      <c r="R164" s="173"/>
      <c r="S164" s="182"/>
      <c r="T164" s="226"/>
      <c r="AD164" s="172"/>
      <c r="AF164" s="172"/>
    </row>
    <row r="165" spans="4:32" x14ac:dyDescent="0.2">
      <c r="D165" s="171"/>
      <c r="G165" s="172"/>
      <c r="H165" s="173"/>
      <c r="J165" s="172"/>
      <c r="P165" s="174"/>
      <c r="Q165" s="174"/>
      <c r="R165" s="173"/>
      <c r="S165" s="182"/>
      <c r="T165" s="226"/>
      <c r="AD165" s="172"/>
      <c r="AF165" s="172"/>
    </row>
    <row r="166" spans="4:32" x14ac:dyDescent="0.2">
      <c r="D166" s="171"/>
      <c r="G166" s="172"/>
      <c r="H166" s="173"/>
      <c r="J166" s="172"/>
      <c r="P166" s="174"/>
      <c r="Q166" s="174"/>
      <c r="R166" s="173"/>
      <c r="S166" s="182"/>
      <c r="T166" s="226"/>
      <c r="AD166" s="172"/>
      <c r="AF166" s="172"/>
    </row>
    <row r="167" spans="4:32" x14ac:dyDescent="0.2">
      <c r="D167" s="171"/>
      <c r="G167" s="172"/>
      <c r="H167" s="173"/>
      <c r="J167" s="172"/>
      <c r="P167" s="174"/>
      <c r="Q167" s="174"/>
      <c r="R167" s="173"/>
      <c r="S167" s="182"/>
      <c r="T167" s="226"/>
      <c r="AD167" s="172"/>
      <c r="AF167" s="172"/>
    </row>
    <row r="168" spans="4:32" x14ac:dyDescent="0.2">
      <c r="D168" s="171"/>
      <c r="G168" s="172"/>
      <c r="H168" s="173"/>
      <c r="J168" s="172"/>
      <c r="P168" s="174"/>
      <c r="Q168" s="174"/>
      <c r="R168" s="173"/>
      <c r="S168" s="182"/>
      <c r="T168" s="226"/>
      <c r="AD168" s="172"/>
      <c r="AF168" s="172"/>
    </row>
    <row r="169" spans="4:32" x14ac:dyDescent="0.2">
      <c r="D169" s="171"/>
      <c r="G169" s="172"/>
      <c r="H169" s="173"/>
      <c r="J169" s="172"/>
      <c r="P169" s="174"/>
      <c r="Q169" s="174"/>
      <c r="R169" s="173"/>
      <c r="S169" s="182"/>
      <c r="T169" s="226"/>
      <c r="AD169" s="172"/>
      <c r="AF169" s="172"/>
    </row>
    <row r="170" spans="4:32" x14ac:dyDescent="0.2">
      <c r="D170" s="171"/>
      <c r="G170" s="172"/>
      <c r="H170" s="173"/>
      <c r="J170" s="172"/>
      <c r="P170" s="174"/>
      <c r="Q170" s="174"/>
      <c r="R170" s="173"/>
      <c r="S170" s="182"/>
      <c r="T170" s="226"/>
      <c r="AD170" s="172"/>
      <c r="AF170" s="172"/>
    </row>
    <row r="171" spans="4:32" x14ac:dyDescent="0.2">
      <c r="D171" s="171"/>
      <c r="G171" s="172"/>
      <c r="H171" s="173"/>
      <c r="J171" s="172"/>
      <c r="P171" s="174"/>
      <c r="Q171" s="174"/>
      <c r="R171" s="173"/>
      <c r="S171" s="182"/>
      <c r="T171" s="226"/>
      <c r="AD171" s="172"/>
      <c r="AF171" s="172"/>
    </row>
    <row r="172" spans="4:32" x14ac:dyDescent="0.2">
      <c r="D172" s="171"/>
      <c r="G172" s="172"/>
      <c r="H172" s="173"/>
      <c r="J172" s="172"/>
      <c r="P172" s="174"/>
      <c r="Q172" s="174"/>
      <c r="R172" s="173"/>
      <c r="S172" s="182"/>
      <c r="T172" s="226"/>
      <c r="AD172" s="172"/>
      <c r="AF172" s="172"/>
    </row>
    <row r="173" spans="4:32" x14ac:dyDescent="0.2">
      <c r="D173" s="171"/>
      <c r="G173" s="172"/>
      <c r="H173" s="173"/>
      <c r="J173" s="172"/>
      <c r="P173" s="174"/>
      <c r="Q173" s="174"/>
      <c r="R173" s="173"/>
      <c r="S173" s="182"/>
      <c r="T173" s="226"/>
      <c r="AD173" s="172"/>
      <c r="AF173" s="172"/>
    </row>
    <row r="174" spans="4:32" x14ac:dyDescent="0.2">
      <c r="D174" s="171"/>
      <c r="G174" s="172"/>
      <c r="H174" s="173"/>
      <c r="J174" s="172"/>
      <c r="P174" s="174"/>
      <c r="Q174" s="174"/>
      <c r="R174" s="173"/>
      <c r="S174" s="182"/>
      <c r="T174" s="226"/>
      <c r="AD174" s="172"/>
      <c r="AF174" s="172"/>
    </row>
    <row r="175" spans="4:32" x14ac:dyDescent="0.2">
      <c r="D175" s="171"/>
      <c r="G175" s="172"/>
      <c r="H175" s="173"/>
      <c r="J175" s="172"/>
      <c r="P175" s="174"/>
      <c r="Q175" s="174"/>
      <c r="R175" s="173"/>
      <c r="S175" s="182"/>
      <c r="T175" s="226"/>
      <c r="AD175" s="172"/>
      <c r="AF175" s="172"/>
    </row>
    <row r="176" spans="4:32" x14ac:dyDescent="0.2">
      <c r="D176" s="171"/>
      <c r="G176" s="172"/>
      <c r="H176" s="173"/>
      <c r="J176" s="172"/>
      <c r="P176" s="174"/>
      <c r="Q176" s="174"/>
      <c r="R176" s="173"/>
      <c r="S176" s="182"/>
      <c r="T176" s="226"/>
      <c r="AD176" s="172"/>
      <c r="AF176" s="172"/>
    </row>
    <row r="177" spans="4:32" x14ac:dyDescent="0.2">
      <c r="D177" s="171"/>
      <c r="G177" s="172"/>
      <c r="H177" s="173"/>
      <c r="J177" s="172"/>
      <c r="P177" s="174"/>
      <c r="Q177" s="174"/>
      <c r="R177" s="173"/>
      <c r="S177" s="182"/>
      <c r="T177" s="226"/>
      <c r="AD177" s="172"/>
      <c r="AF177" s="172"/>
    </row>
    <row r="178" spans="4:32" x14ac:dyDescent="0.2">
      <c r="D178" s="171"/>
      <c r="G178" s="172"/>
      <c r="H178" s="173"/>
      <c r="J178" s="172"/>
      <c r="P178" s="174"/>
      <c r="Q178" s="174"/>
      <c r="R178" s="173"/>
      <c r="S178" s="182"/>
      <c r="T178" s="226"/>
      <c r="AD178" s="172"/>
      <c r="AF178" s="172"/>
    </row>
    <row r="179" spans="4:32" x14ac:dyDescent="0.2">
      <c r="D179" s="171"/>
      <c r="G179" s="172"/>
      <c r="H179" s="173"/>
      <c r="J179" s="172"/>
      <c r="P179" s="174"/>
      <c r="Q179" s="174"/>
      <c r="R179" s="173"/>
      <c r="S179" s="182"/>
      <c r="T179" s="226"/>
      <c r="AD179" s="172"/>
      <c r="AF179" s="172"/>
    </row>
    <row r="180" spans="4:32" x14ac:dyDescent="0.2">
      <c r="D180" s="171"/>
      <c r="G180" s="172"/>
      <c r="H180" s="173"/>
      <c r="J180" s="172"/>
      <c r="P180" s="174"/>
      <c r="Q180" s="174"/>
      <c r="R180" s="173"/>
      <c r="S180" s="182"/>
      <c r="T180" s="226"/>
      <c r="AD180" s="172"/>
      <c r="AF180" s="172"/>
    </row>
    <row r="181" spans="4:32" x14ac:dyDescent="0.2">
      <c r="D181" s="171"/>
      <c r="G181" s="172"/>
      <c r="H181" s="173"/>
      <c r="J181" s="172"/>
      <c r="P181" s="174"/>
      <c r="Q181" s="174"/>
      <c r="R181" s="173"/>
      <c r="S181" s="182"/>
      <c r="T181" s="226"/>
      <c r="AD181" s="172"/>
      <c r="AF181" s="172"/>
    </row>
    <row r="182" spans="4:32" x14ac:dyDescent="0.2">
      <c r="D182" s="171"/>
      <c r="G182" s="172"/>
      <c r="H182" s="173"/>
      <c r="J182" s="172"/>
      <c r="P182" s="174"/>
      <c r="Q182" s="174"/>
      <c r="R182" s="173"/>
      <c r="S182" s="182"/>
      <c r="T182" s="226"/>
      <c r="AD182" s="172"/>
      <c r="AF182" s="172"/>
    </row>
    <row r="183" spans="4:32" x14ac:dyDescent="0.2">
      <c r="D183" s="171"/>
      <c r="G183" s="172"/>
      <c r="H183" s="173"/>
      <c r="J183" s="172"/>
      <c r="P183" s="174"/>
      <c r="Q183" s="174"/>
      <c r="R183" s="173"/>
      <c r="S183" s="182"/>
      <c r="T183" s="226"/>
      <c r="AD183" s="172"/>
      <c r="AF183" s="172"/>
    </row>
    <row r="184" spans="4:32" x14ac:dyDescent="0.2">
      <c r="D184" s="171"/>
      <c r="G184" s="172"/>
      <c r="H184" s="173"/>
      <c r="J184" s="172"/>
      <c r="P184" s="174"/>
      <c r="Q184" s="174"/>
      <c r="R184" s="173"/>
      <c r="S184" s="182"/>
      <c r="T184" s="226"/>
      <c r="AD184" s="172"/>
      <c r="AF184" s="172"/>
    </row>
    <row r="185" spans="4:32" x14ac:dyDescent="0.2">
      <c r="D185" s="171"/>
      <c r="G185" s="172"/>
      <c r="H185" s="173"/>
      <c r="J185" s="172"/>
      <c r="P185" s="174"/>
      <c r="Q185" s="174"/>
      <c r="R185" s="173"/>
      <c r="S185" s="182"/>
      <c r="T185" s="226"/>
      <c r="AD185" s="172"/>
      <c r="AF185" s="172"/>
    </row>
    <row r="186" spans="4:32" x14ac:dyDescent="0.2">
      <c r="D186" s="171"/>
      <c r="G186" s="172"/>
      <c r="H186" s="173"/>
      <c r="J186" s="172"/>
      <c r="P186" s="174"/>
      <c r="Q186" s="174"/>
      <c r="R186" s="173"/>
      <c r="S186" s="182"/>
      <c r="T186" s="226"/>
      <c r="AD186" s="172"/>
      <c r="AF186" s="172"/>
    </row>
    <row r="187" spans="4:32" x14ac:dyDescent="0.2">
      <c r="D187" s="171"/>
      <c r="G187" s="172"/>
      <c r="H187" s="173"/>
      <c r="J187" s="172"/>
      <c r="P187" s="174"/>
      <c r="Q187" s="174"/>
      <c r="R187" s="173"/>
      <c r="S187" s="182"/>
      <c r="T187" s="226"/>
      <c r="AD187" s="172"/>
      <c r="AF187" s="172"/>
    </row>
    <row r="188" spans="4:32" x14ac:dyDescent="0.2">
      <c r="D188" s="171"/>
      <c r="G188" s="172"/>
      <c r="H188" s="173"/>
      <c r="J188" s="172"/>
      <c r="P188" s="174"/>
      <c r="Q188" s="174"/>
      <c r="R188" s="173"/>
      <c r="S188" s="182"/>
      <c r="T188" s="226"/>
      <c r="AD188" s="172"/>
      <c r="AF188" s="172"/>
    </row>
    <row r="189" spans="4:32" x14ac:dyDescent="0.2">
      <c r="D189" s="171"/>
      <c r="G189" s="172"/>
      <c r="H189" s="173"/>
      <c r="J189" s="172"/>
      <c r="P189" s="174"/>
      <c r="Q189" s="174"/>
      <c r="R189" s="173"/>
      <c r="S189" s="182"/>
      <c r="T189" s="226"/>
      <c r="AD189" s="172"/>
      <c r="AF189" s="172"/>
    </row>
    <row r="190" spans="4:32" x14ac:dyDescent="0.2">
      <c r="D190" s="171"/>
      <c r="G190" s="172"/>
      <c r="H190" s="173"/>
      <c r="J190" s="172"/>
      <c r="P190" s="174"/>
      <c r="Q190" s="174"/>
      <c r="R190" s="173"/>
      <c r="S190" s="182"/>
      <c r="T190" s="226"/>
      <c r="AD190" s="172"/>
      <c r="AF190" s="172"/>
    </row>
    <row r="191" spans="4:32" x14ac:dyDescent="0.2">
      <c r="D191" s="171"/>
      <c r="G191" s="172"/>
      <c r="H191" s="173"/>
      <c r="J191" s="172"/>
      <c r="P191" s="174"/>
      <c r="Q191" s="174"/>
      <c r="R191" s="173"/>
      <c r="S191" s="182"/>
      <c r="T191" s="226"/>
      <c r="AD191" s="172"/>
      <c r="AF191" s="172"/>
    </row>
    <row r="192" spans="4:32" x14ac:dyDescent="0.2">
      <c r="D192" s="171"/>
      <c r="G192" s="172"/>
      <c r="H192" s="173"/>
      <c r="J192" s="172"/>
      <c r="P192" s="174"/>
      <c r="Q192" s="174"/>
      <c r="R192" s="173"/>
      <c r="S192" s="182"/>
      <c r="T192" s="226"/>
      <c r="AD192" s="172"/>
      <c r="AF192" s="172"/>
    </row>
    <row r="193" spans="4:32" x14ac:dyDescent="0.2">
      <c r="D193" s="171"/>
      <c r="G193" s="172"/>
      <c r="H193" s="173"/>
      <c r="J193" s="172"/>
      <c r="P193" s="174"/>
      <c r="Q193" s="174"/>
      <c r="R193" s="173"/>
      <c r="S193" s="182"/>
      <c r="T193" s="226"/>
      <c r="AD193" s="172"/>
      <c r="AF193" s="172"/>
    </row>
    <row r="194" spans="4:32" x14ac:dyDescent="0.2">
      <c r="D194" s="171"/>
      <c r="G194" s="172"/>
      <c r="H194" s="173"/>
      <c r="J194" s="172"/>
      <c r="P194" s="174"/>
      <c r="Q194" s="174"/>
      <c r="R194" s="173"/>
      <c r="S194" s="182"/>
      <c r="T194" s="226"/>
      <c r="AD194" s="172"/>
      <c r="AF194" s="172"/>
    </row>
    <row r="195" spans="4:32" x14ac:dyDescent="0.2">
      <c r="D195" s="171"/>
      <c r="G195" s="172"/>
      <c r="H195" s="173"/>
      <c r="J195" s="172"/>
      <c r="P195" s="174"/>
      <c r="Q195" s="174"/>
      <c r="R195" s="173"/>
      <c r="S195" s="182"/>
      <c r="T195" s="226"/>
      <c r="AD195" s="172"/>
      <c r="AF195" s="172"/>
    </row>
    <row r="196" spans="4:32" x14ac:dyDescent="0.2">
      <c r="D196" s="171"/>
      <c r="G196" s="172"/>
      <c r="H196" s="173"/>
      <c r="J196" s="172"/>
      <c r="P196" s="174"/>
      <c r="Q196" s="174"/>
      <c r="R196" s="173"/>
      <c r="S196" s="182"/>
      <c r="T196" s="226"/>
      <c r="AD196" s="172"/>
      <c r="AF196" s="172"/>
    </row>
    <row r="197" spans="4:32" x14ac:dyDescent="0.2">
      <c r="D197" s="171"/>
      <c r="G197" s="172"/>
      <c r="H197" s="173"/>
      <c r="J197" s="172"/>
      <c r="P197" s="174"/>
      <c r="Q197" s="174"/>
      <c r="R197" s="173"/>
      <c r="S197" s="182"/>
      <c r="T197" s="226"/>
      <c r="AD197" s="172"/>
      <c r="AF197" s="172"/>
    </row>
    <row r="198" spans="4:32" x14ac:dyDescent="0.2">
      <c r="D198" s="171"/>
      <c r="G198" s="172"/>
      <c r="H198" s="173"/>
      <c r="J198" s="172"/>
      <c r="P198" s="174"/>
      <c r="Q198" s="174"/>
      <c r="R198" s="173"/>
      <c r="S198" s="182"/>
      <c r="T198" s="226"/>
      <c r="AD198" s="172"/>
      <c r="AF198" s="172"/>
    </row>
    <row r="199" spans="4:32" x14ac:dyDescent="0.2">
      <c r="D199" s="171"/>
      <c r="G199" s="172"/>
      <c r="H199" s="173"/>
      <c r="J199" s="172"/>
      <c r="P199" s="174"/>
      <c r="Q199" s="174"/>
      <c r="R199" s="173"/>
      <c r="S199" s="182"/>
      <c r="T199" s="226"/>
      <c r="AD199" s="172"/>
      <c r="AF199" s="172"/>
    </row>
    <row r="200" spans="4:32" x14ac:dyDescent="0.2">
      <c r="D200" s="171"/>
      <c r="G200" s="172"/>
      <c r="H200" s="173"/>
      <c r="J200" s="172"/>
      <c r="P200" s="174"/>
      <c r="Q200" s="174"/>
      <c r="R200" s="173"/>
      <c r="S200" s="182"/>
      <c r="T200" s="226"/>
      <c r="AD200" s="172"/>
      <c r="AF200" s="172"/>
    </row>
    <row r="201" spans="4:32" x14ac:dyDescent="0.2">
      <c r="D201" s="171"/>
      <c r="G201" s="172"/>
      <c r="H201" s="173"/>
      <c r="J201" s="172"/>
      <c r="P201" s="174"/>
      <c r="Q201" s="174"/>
      <c r="R201" s="173"/>
      <c r="S201" s="182"/>
      <c r="T201" s="226"/>
      <c r="AD201" s="172"/>
      <c r="AF201" s="172"/>
    </row>
    <row r="202" spans="4:32" x14ac:dyDescent="0.2">
      <c r="D202" s="171"/>
      <c r="G202" s="172"/>
      <c r="H202" s="173"/>
      <c r="J202" s="172"/>
      <c r="P202" s="174"/>
      <c r="Q202" s="174"/>
      <c r="R202" s="173"/>
      <c r="S202" s="182"/>
      <c r="T202" s="226"/>
      <c r="AD202" s="172"/>
      <c r="AF202" s="172"/>
    </row>
    <row r="203" spans="4:32" x14ac:dyDescent="0.2">
      <c r="D203" s="171"/>
      <c r="G203" s="172"/>
      <c r="H203" s="173"/>
      <c r="J203" s="172"/>
      <c r="P203" s="174"/>
      <c r="Q203" s="174"/>
      <c r="R203" s="173"/>
      <c r="S203" s="182"/>
      <c r="T203" s="226"/>
      <c r="AD203" s="172"/>
      <c r="AF203" s="172"/>
    </row>
    <row r="204" spans="4:32" x14ac:dyDescent="0.2">
      <c r="D204" s="171"/>
      <c r="G204" s="172"/>
      <c r="H204" s="173"/>
      <c r="J204" s="172"/>
      <c r="P204" s="174"/>
      <c r="Q204" s="174"/>
      <c r="R204" s="173"/>
      <c r="S204" s="182"/>
      <c r="T204" s="226"/>
      <c r="AD204" s="172"/>
      <c r="AF204" s="172"/>
    </row>
    <row r="205" spans="4:32" x14ac:dyDescent="0.2">
      <c r="D205" s="171"/>
      <c r="G205" s="172"/>
      <c r="H205" s="173"/>
      <c r="J205" s="172"/>
      <c r="P205" s="174"/>
      <c r="Q205" s="174"/>
      <c r="R205" s="173"/>
      <c r="S205" s="182"/>
      <c r="T205" s="226"/>
      <c r="AD205" s="172"/>
      <c r="AF205" s="172"/>
    </row>
    <row r="206" spans="4:32" x14ac:dyDescent="0.2">
      <c r="D206" s="171"/>
      <c r="G206" s="172"/>
      <c r="H206" s="173"/>
      <c r="J206" s="172"/>
      <c r="P206" s="174"/>
      <c r="Q206" s="174"/>
      <c r="R206" s="173"/>
      <c r="S206" s="182"/>
      <c r="T206" s="226"/>
      <c r="AD206" s="172"/>
      <c r="AF206" s="172"/>
    </row>
    <row r="207" spans="4:32" x14ac:dyDescent="0.2">
      <c r="D207" s="171"/>
      <c r="G207" s="172"/>
      <c r="H207" s="173"/>
      <c r="J207" s="172"/>
      <c r="P207" s="174"/>
      <c r="Q207" s="174"/>
      <c r="R207" s="173"/>
      <c r="S207" s="182"/>
      <c r="T207" s="226"/>
      <c r="AD207" s="172"/>
      <c r="AF207" s="172"/>
    </row>
    <row r="208" spans="4:32" x14ac:dyDescent="0.2">
      <c r="D208" s="171"/>
      <c r="G208" s="172"/>
      <c r="H208" s="173"/>
      <c r="J208" s="172"/>
      <c r="P208" s="174"/>
      <c r="Q208" s="174"/>
      <c r="R208" s="173"/>
      <c r="S208" s="182"/>
      <c r="T208" s="226"/>
      <c r="AD208" s="172"/>
      <c r="AF208" s="172"/>
    </row>
    <row r="209" spans="4:32" x14ac:dyDescent="0.2">
      <c r="D209" s="171"/>
      <c r="G209" s="172"/>
      <c r="H209" s="173"/>
      <c r="J209" s="172"/>
      <c r="P209" s="174"/>
      <c r="Q209" s="174"/>
      <c r="R209" s="173"/>
      <c r="S209" s="182"/>
      <c r="T209" s="226"/>
      <c r="AD209" s="172"/>
      <c r="AF209" s="172"/>
    </row>
    <row r="210" spans="4:32" x14ac:dyDescent="0.2">
      <c r="D210" s="171"/>
      <c r="G210" s="172"/>
      <c r="H210" s="173"/>
      <c r="J210" s="172"/>
      <c r="P210" s="174"/>
      <c r="Q210" s="174"/>
      <c r="R210" s="173"/>
      <c r="S210" s="182"/>
      <c r="T210" s="226"/>
      <c r="AD210" s="172"/>
      <c r="AF210" s="172"/>
    </row>
    <row r="211" spans="4:32" x14ac:dyDescent="0.2">
      <c r="D211" s="171"/>
      <c r="G211" s="172"/>
      <c r="H211" s="173"/>
      <c r="J211" s="172"/>
      <c r="P211" s="174"/>
      <c r="Q211" s="174"/>
      <c r="R211" s="173"/>
      <c r="S211" s="182"/>
      <c r="T211" s="226"/>
      <c r="AD211" s="172"/>
      <c r="AF211" s="172"/>
    </row>
    <row r="212" spans="4:32" x14ac:dyDescent="0.2">
      <c r="D212" s="171"/>
      <c r="G212" s="172"/>
      <c r="H212" s="173"/>
      <c r="J212" s="172"/>
      <c r="P212" s="174"/>
      <c r="Q212" s="174"/>
      <c r="R212" s="173"/>
      <c r="S212" s="182"/>
      <c r="T212" s="226"/>
      <c r="AD212" s="172"/>
      <c r="AF212" s="172"/>
    </row>
    <row r="213" spans="4:32" x14ac:dyDescent="0.2">
      <c r="D213" s="171"/>
      <c r="G213" s="172"/>
      <c r="H213" s="173"/>
      <c r="J213" s="172"/>
      <c r="P213" s="174"/>
      <c r="Q213" s="174"/>
      <c r="R213" s="173"/>
      <c r="S213" s="182"/>
      <c r="T213" s="226"/>
      <c r="AD213" s="172"/>
      <c r="AF213" s="172"/>
    </row>
    <row r="214" spans="4:32" x14ac:dyDescent="0.2">
      <c r="D214" s="171"/>
      <c r="G214" s="172"/>
      <c r="H214" s="173"/>
      <c r="J214" s="172"/>
      <c r="P214" s="174"/>
      <c r="Q214" s="174"/>
      <c r="R214" s="173"/>
      <c r="S214" s="182"/>
      <c r="T214" s="226"/>
      <c r="AD214" s="172"/>
      <c r="AF214" s="172"/>
    </row>
    <row r="215" spans="4:32" x14ac:dyDescent="0.2">
      <c r="D215" s="171"/>
      <c r="G215" s="172"/>
      <c r="H215" s="173"/>
      <c r="J215" s="172"/>
      <c r="P215" s="174"/>
      <c r="Q215" s="174"/>
      <c r="R215" s="173"/>
      <c r="S215" s="182"/>
      <c r="T215" s="226"/>
      <c r="AD215" s="172"/>
      <c r="AF215" s="172"/>
    </row>
    <row r="216" spans="4:32" x14ac:dyDescent="0.2">
      <c r="D216" s="171"/>
      <c r="G216" s="172"/>
      <c r="H216" s="173"/>
      <c r="J216" s="172"/>
      <c r="P216" s="174"/>
      <c r="Q216" s="174"/>
      <c r="R216" s="173"/>
      <c r="S216" s="182"/>
      <c r="T216" s="226"/>
      <c r="AD216" s="172"/>
      <c r="AF216" s="172"/>
    </row>
    <row r="217" spans="4:32" x14ac:dyDescent="0.2">
      <c r="D217" s="171"/>
      <c r="G217" s="172"/>
      <c r="H217" s="173"/>
      <c r="J217" s="172"/>
      <c r="P217" s="174"/>
      <c r="Q217" s="174"/>
      <c r="R217" s="173"/>
      <c r="S217" s="182"/>
      <c r="T217" s="226"/>
      <c r="AD217" s="172"/>
      <c r="AF217" s="172"/>
    </row>
    <row r="218" spans="4:32" x14ac:dyDescent="0.2">
      <c r="D218" s="171"/>
      <c r="G218" s="172"/>
      <c r="H218" s="173"/>
      <c r="J218" s="172"/>
      <c r="P218" s="174"/>
      <c r="Q218" s="174"/>
      <c r="R218" s="173"/>
      <c r="S218" s="182"/>
      <c r="T218" s="226"/>
      <c r="AD218" s="172"/>
      <c r="AF218" s="172"/>
    </row>
    <row r="219" spans="4:32" x14ac:dyDescent="0.2">
      <c r="D219" s="171"/>
      <c r="G219" s="172"/>
      <c r="H219" s="173"/>
      <c r="J219" s="172"/>
      <c r="P219" s="174"/>
      <c r="Q219" s="174"/>
      <c r="R219" s="173"/>
      <c r="S219" s="182"/>
      <c r="T219" s="226"/>
      <c r="AD219" s="172"/>
      <c r="AF219" s="172"/>
    </row>
    <row r="220" spans="4:32" x14ac:dyDescent="0.2">
      <c r="D220" s="171"/>
      <c r="G220" s="172"/>
      <c r="H220" s="173"/>
      <c r="J220" s="172"/>
      <c r="P220" s="174"/>
      <c r="Q220" s="174"/>
      <c r="R220" s="173"/>
      <c r="S220" s="182"/>
      <c r="T220" s="226"/>
      <c r="AD220" s="172"/>
      <c r="AF220" s="172"/>
    </row>
    <row r="221" spans="4:32" x14ac:dyDescent="0.2">
      <c r="D221" s="171"/>
      <c r="G221" s="172"/>
      <c r="H221" s="173"/>
      <c r="J221" s="172"/>
      <c r="P221" s="174"/>
      <c r="Q221" s="174"/>
      <c r="R221" s="173"/>
      <c r="S221" s="182"/>
      <c r="T221" s="226"/>
      <c r="AD221" s="172"/>
      <c r="AF221" s="172"/>
    </row>
    <row r="222" spans="4:32" x14ac:dyDescent="0.2">
      <c r="D222" s="171"/>
      <c r="G222" s="172"/>
      <c r="H222" s="173"/>
      <c r="J222" s="172"/>
      <c r="P222" s="174"/>
      <c r="Q222" s="174"/>
      <c r="R222" s="173"/>
      <c r="S222" s="182"/>
      <c r="T222" s="226"/>
      <c r="AD222" s="172"/>
      <c r="AF222" s="172"/>
    </row>
    <row r="223" spans="4:32" x14ac:dyDescent="0.2">
      <c r="D223" s="171"/>
      <c r="G223" s="172"/>
      <c r="H223" s="173"/>
      <c r="J223" s="172"/>
      <c r="P223" s="174"/>
      <c r="Q223" s="174"/>
      <c r="R223" s="173"/>
      <c r="S223" s="182"/>
      <c r="T223" s="226"/>
      <c r="AD223" s="172"/>
      <c r="AF223" s="172"/>
    </row>
    <row r="224" spans="4:32" x14ac:dyDescent="0.2">
      <c r="D224" s="171"/>
      <c r="G224" s="172"/>
      <c r="H224" s="173"/>
      <c r="J224" s="172"/>
      <c r="P224" s="174"/>
      <c r="Q224" s="174"/>
      <c r="R224" s="173"/>
      <c r="S224" s="182"/>
      <c r="T224" s="226"/>
      <c r="AD224" s="172"/>
      <c r="AF224" s="172"/>
    </row>
    <row r="225" spans="4:32" x14ac:dyDescent="0.2">
      <c r="D225" s="171"/>
      <c r="G225" s="172"/>
      <c r="H225" s="173"/>
      <c r="J225" s="172"/>
      <c r="P225" s="174"/>
      <c r="Q225" s="174"/>
      <c r="R225" s="173"/>
      <c r="S225" s="182"/>
      <c r="T225" s="226"/>
      <c r="AD225" s="172"/>
      <c r="AF225" s="172"/>
    </row>
    <row r="226" spans="4:32" x14ac:dyDescent="0.2">
      <c r="D226" s="171"/>
      <c r="G226" s="172"/>
      <c r="H226" s="173"/>
      <c r="J226" s="172"/>
      <c r="P226" s="174"/>
      <c r="Q226" s="174"/>
      <c r="R226" s="173"/>
      <c r="S226" s="182"/>
      <c r="T226" s="226"/>
      <c r="AD226" s="172"/>
      <c r="AF226" s="172"/>
    </row>
    <row r="227" spans="4:32" x14ac:dyDescent="0.2">
      <c r="D227" s="171"/>
      <c r="G227" s="172"/>
      <c r="H227" s="173"/>
      <c r="J227" s="172"/>
      <c r="P227" s="174"/>
      <c r="Q227" s="174"/>
      <c r="R227" s="173"/>
      <c r="S227" s="182"/>
      <c r="T227" s="226"/>
      <c r="AD227" s="172"/>
      <c r="AF227" s="172"/>
    </row>
    <row r="228" spans="4:32" x14ac:dyDescent="0.2">
      <c r="D228" s="171"/>
      <c r="G228" s="172"/>
      <c r="H228" s="173"/>
      <c r="J228" s="172"/>
      <c r="P228" s="174"/>
      <c r="Q228" s="174"/>
      <c r="R228" s="173"/>
      <c r="S228" s="182"/>
      <c r="T228" s="226"/>
      <c r="AD228" s="172"/>
      <c r="AF228" s="172"/>
    </row>
    <row r="229" spans="4:32" x14ac:dyDescent="0.2">
      <c r="D229" s="171"/>
      <c r="G229" s="172"/>
      <c r="H229" s="173"/>
      <c r="J229" s="172"/>
      <c r="P229" s="174"/>
      <c r="Q229" s="174"/>
      <c r="R229" s="173"/>
      <c r="S229" s="182"/>
      <c r="T229" s="226"/>
      <c r="AD229" s="172"/>
      <c r="AF229" s="172"/>
    </row>
    <row r="230" spans="4:32" x14ac:dyDescent="0.2">
      <c r="D230" s="171"/>
      <c r="G230" s="172"/>
      <c r="H230" s="173"/>
      <c r="J230" s="172"/>
      <c r="P230" s="174"/>
      <c r="Q230" s="174"/>
      <c r="R230" s="173"/>
      <c r="S230" s="182"/>
      <c r="T230" s="226"/>
      <c r="AD230" s="172"/>
      <c r="AF230" s="172"/>
    </row>
    <row r="231" spans="4:32" x14ac:dyDescent="0.2">
      <c r="D231" s="171"/>
      <c r="G231" s="172"/>
      <c r="H231" s="173"/>
      <c r="J231" s="172"/>
      <c r="P231" s="174"/>
      <c r="Q231" s="174"/>
      <c r="R231" s="173"/>
      <c r="S231" s="182"/>
      <c r="T231" s="226"/>
      <c r="AD231" s="172"/>
      <c r="AF231" s="172"/>
    </row>
    <row r="232" spans="4:32" x14ac:dyDescent="0.2">
      <c r="D232" s="171"/>
      <c r="G232" s="172"/>
      <c r="H232" s="173"/>
      <c r="J232" s="172"/>
      <c r="P232" s="174"/>
      <c r="Q232" s="174"/>
      <c r="R232" s="173"/>
      <c r="S232" s="182"/>
      <c r="T232" s="226"/>
      <c r="AD232" s="172"/>
      <c r="AF232" s="172"/>
    </row>
    <row r="233" spans="4:32" x14ac:dyDescent="0.2">
      <c r="D233" s="171"/>
      <c r="G233" s="172"/>
      <c r="H233" s="173"/>
      <c r="J233" s="172"/>
      <c r="P233" s="174"/>
      <c r="Q233" s="174"/>
      <c r="R233" s="173"/>
      <c r="S233" s="182"/>
      <c r="T233" s="226"/>
      <c r="AD233" s="172"/>
      <c r="AF233" s="172"/>
    </row>
    <row r="234" spans="4:32" x14ac:dyDescent="0.2">
      <c r="D234" s="171"/>
      <c r="G234" s="172"/>
      <c r="H234" s="173"/>
      <c r="J234" s="172"/>
      <c r="P234" s="174"/>
      <c r="Q234" s="174"/>
      <c r="R234" s="173"/>
      <c r="S234" s="182"/>
      <c r="T234" s="226"/>
      <c r="AD234" s="172"/>
      <c r="AF234" s="172"/>
    </row>
    <row r="235" spans="4:32" x14ac:dyDescent="0.2">
      <c r="D235" s="171"/>
      <c r="G235" s="172"/>
      <c r="H235" s="173"/>
      <c r="J235" s="172"/>
      <c r="P235" s="174"/>
      <c r="Q235" s="174"/>
      <c r="R235" s="173"/>
      <c r="S235" s="182"/>
      <c r="T235" s="226"/>
      <c r="AD235" s="172"/>
      <c r="AF235" s="172"/>
    </row>
    <row r="236" spans="4:32" x14ac:dyDescent="0.2">
      <c r="D236" s="171"/>
      <c r="G236" s="172"/>
      <c r="H236" s="173"/>
      <c r="J236" s="172"/>
      <c r="P236" s="174"/>
      <c r="Q236" s="174"/>
      <c r="R236" s="173"/>
      <c r="S236" s="182"/>
      <c r="T236" s="226"/>
      <c r="AD236" s="172"/>
      <c r="AF236" s="172"/>
    </row>
    <row r="237" spans="4:32" x14ac:dyDescent="0.2">
      <c r="D237" s="171"/>
      <c r="G237" s="172"/>
      <c r="H237" s="173"/>
      <c r="J237" s="172"/>
      <c r="P237" s="174"/>
      <c r="Q237" s="174"/>
      <c r="R237" s="173"/>
      <c r="S237" s="182"/>
      <c r="T237" s="226"/>
      <c r="AD237" s="172"/>
      <c r="AF237" s="172"/>
    </row>
    <row r="238" spans="4:32" x14ac:dyDescent="0.2">
      <c r="D238" s="171"/>
      <c r="G238" s="172"/>
      <c r="H238" s="173"/>
      <c r="J238" s="172"/>
      <c r="P238" s="174"/>
      <c r="Q238" s="174"/>
      <c r="R238" s="173"/>
      <c r="S238" s="182"/>
      <c r="T238" s="226"/>
      <c r="AD238" s="172"/>
      <c r="AF238" s="172"/>
    </row>
    <row r="239" spans="4:32" x14ac:dyDescent="0.2">
      <c r="D239" s="171"/>
      <c r="G239" s="172"/>
      <c r="H239" s="173"/>
      <c r="J239" s="172"/>
      <c r="P239" s="174"/>
      <c r="Q239" s="174"/>
      <c r="R239" s="173"/>
      <c r="S239" s="182"/>
      <c r="T239" s="226"/>
      <c r="AD239" s="172"/>
      <c r="AF239" s="172"/>
    </row>
    <row r="240" spans="4:32" x14ac:dyDescent="0.2">
      <c r="D240" s="171"/>
      <c r="G240" s="172"/>
      <c r="H240" s="173"/>
      <c r="J240" s="172"/>
      <c r="P240" s="174"/>
      <c r="Q240" s="174"/>
      <c r="R240" s="173"/>
      <c r="S240" s="182"/>
      <c r="T240" s="226"/>
      <c r="AD240" s="172"/>
      <c r="AF240" s="172"/>
    </row>
    <row r="241" spans="4:32" x14ac:dyDescent="0.2">
      <c r="D241" s="171"/>
      <c r="G241" s="172"/>
      <c r="H241" s="173"/>
      <c r="J241" s="172"/>
      <c r="P241" s="174"/>
      <c r="Q241" s="174"/>
      <c r="R241" s="173"/>
      <c r="S241" s="182"/>
      <c r="T241" s="226"/>
      <c r="AD241" s="172"/>
      <c r="AF241" s="172"/>
    </row>
    <row r="242" spans="4:32" x14ac:dyDescent="0.2">
      <c r="D242" s="171"/>
      <c r="G242" s="172"/>
      <c r="H242" s="173"/>
      <c r="J242" s="172"/>
      <c r="P242" s="174"/>
      <c r="Q242" s="174"/>
      <c r="R242" s="173"/>
      <c r="S242" s="182"/>
      <c r="T242" s="226"/>
      <c r="AD242" s="172"/>
      <c r="AF242" s="172"/>
    </row>
    <row r="243" spans="4:32" x14ac:dyDescent="0.2">
      <c r="D243" s="171"/>
      <c r="G243" s="172"/>
      <c r="H243" s="173"/>
      <c r="J243" s="172"/>
      <c r="P243" s="174"/>
      <c r="Q243" s="174"/>
      <c r="R243" s="173"/>
      <c r="S243" s="182"/>
      <c r="T243" s="226"/>
      <c r="AD243" s="172"/>
      <c r="AF243" s="172"/>
    </row>
    <row r="244" spans="4:32" x14ac:dyDescent="0.2">
      <c r="D244" s="171"/>
      <c r="G244" s="172"/>
      <c r="H244" s="173"/>
      <c r="J244" s="172"/>
      <c r="P244" s="174"/>
      <c r="Q244" s="174"/>
      <c r="R244" s="173"/>
      <c r="S244" s="182"/>
      <c r="T244" s="226"/>
      <c r="AD244" s="172"/>
      <c r="AF244" s="172"/>
    </row>
    <row r="245" spans="4:32" x14ac:dyDescent="0.2">
      <c r="D245" s="171"/>
      <c r="G245" s="172"/>
      <c r="H245" s="173"/>
      <c r="J245" s="172"/>
      <c r="P245" s="174"/>
      <c r="Q245" s="174"/>
      <c r="R245" s="173"/>
      <c r="S245" s="182"/>
      <c r="T245" s="226"/>
      <c r="AD245" s="172"/>
      <c r="AF245" s="172"/>
    </row>
    <row r="246" spans="4:32" x14ac:dyDescent="0.2">
      <c r="D246" s="171"/>
      <c r="G246" s="172"/>
      <c r="H246" s="173"/>
      <c r="J246" s="172"/>
      <c r="P246" s="174"/>
      <c r="Q246" s="174"/>
      <c r="R246" s="173"/>
      <c r="S246" s="182"/>
      <c r="T246" s="226"/>
      <c r="AD246" s="172"/>
      <c r="AF246" s="172"/>
    </row>
    <row r="247" spans="4:32" x14ac:dyDescent="0.2">
      <c r="D247" s="171"/>
      <c r="G247" s="172"/>
      <c r="H247" s="173"/>
      <c r="J247" s="172"/>
      <c r="P247" s="174"/>
      <c r="Q247" s="174"/>
      <c r="R247" s="173"/>
      <c r="S247" s="182"/>
      <c r="T247" s="226"/>
      <c r="AD247" s="172"/>
      <c r="AF247" s="172"/>
    </row>
    <row r="248" spans="4:32" x14ac:dyDescent="0.2">
      <c r="D248" s="171"/>
      <c r="G248" s="172"/>
      <c r="H248" s="173"/>
      <c r="J248" s="172"/>
      <c r="P248" s="174"/>
      <c r="Q248" s="174"/>
      <c r="R248" s="173"/>
      <c r="S248" s="182"/>
      <c r="T248" s="226"/>
      <c r="AD248" s="172"/>
      <c r="AF248" s="172"/>
    </row>
    <row r="249" spans="4:32" x14ac:dyDescent="0.2">
      <c r="D249" s="171"/>
      <c r="G249" s="172"/>
      <c r="H249" s="173"/>
      <c r="J249" s="172"/>
      <c r="P249" s="174"/>
      <c r="Q249" s="174"/>
      <c r="R249" s="173"/>
      <c r="S249" s="182"/>
      <c r="T249" s="226"/>
      <c r="AD249" s="172"/>
      <c r="AF249" s="172"/>
    </row>
    <row r="250" spans="4:32" x14ac:dyDescent="0.2">
      <c r="D250" s="171"/>
      <c r="G250" s="172"/>
      <c r="H250" s="173"/>
      <c r="J250" s="172"/>
      <c r="P250" s="174"/>
      <c r="Q250" s="174"/>
      <c r="R250" s="173"/>
      <c r="S250" s="182"/>
      <c r="T250" s="226"/>
      <c r="AD250" s="172"/>
      <c r="AF250" s="172"/>
    </row>
    <row r="251" spans="4:32" x14ac:dyDescent="0.2">
      <c r="D251" s="171"/>
      <c r="G251" s="172"/>
      <c r="H251" s="173"/>
      <c r="J251" s="172"/>
      <c r="P251" s="174"/>
      <c r="Q251" s="174"/>
      <c r="R251" s="173"/>
      <c r="S251" s="182"/>
      <c r="T251" s="226"/>
      <c r="AD251" s="172"/>
      <c r="AF251" s="172"/>
    </row>
    <row r="252" spans="4:32" x14ac:dyDescent="0.2">
      <c r="D252" s="171"/>
      <c r="G252" s="172"/>
      <c r="H252" s="173"/>
      <c r="J252" s="172"/>
      <c r="P252" s="174"/>
      <c r="Q252" s="174"/>
      <c r="R252" s="173"/>
      <c r="S252" s="182"/>
      <c r="T252" s="226"/>
      <c r="AD252" s="172"/>
      <c r="AF252" s="172"/>
    </row>
    <row r="253" spans="4:32" x14ac:dyDescent="0.2">
      <c r="D253" s="171"/>
      <c r="G253" s="172"/>
      <c r="H253" s="173"/>
      <c r="J253" s="172"/>
      <c r="P253" s="174"/>
      <c r="Q253" s="174"/>
      <c r="R253" s="173"/>
      <c r="S253" s="182"/>
      <c r="T253" s="226"/>
      <c r="AD253" s="172"/>
      <c r="AF253" s="172"/>
    </row>
    <row r="254" spans="4:32" x14ac:dyDescent="0.2">
      <c r="D254" s="171"/>
      <c r="G254" s="172"/>
      <c r="H254" s="173"/>
      <c r="J254" s="172"/>
      <c r="P254" s="174"/>
      <c r="Q254" s="174"/>
      <c r="R254" s="173"/>
      <c r="S254" s="182"/>
      <c r="T254" s="226"/>
      <c r="AD254" s="172"/>
      <c r="AF254" s="172"/>
    </row>
    <row r="255" spans="4:32" x14ac:dyDescent="0.2">
      <c r="D255" s="171"/>
      <c r="G255" s="172"/>
      <c r="H255" s="173"/>
      <c r="J255" s="172"/>
      <c r="P255" s="174"/>
      <c r="Q255" s="174"/>
      <c r="R255" s="173"/>
      <c r="S255" s="182"/>
      <c r="T255" s="226"/>
      <c r="AD255" s="172"/>
      <c r="AF255" s="172"/>
    </row>
    <row r="256" spans="4:32" x14ac:dyDescent="0.2">
      <c r="D256" s="171"/>
      <c r="G256" s="172"/>
      <c r="H256" s="173"/>
      <c r="J256" s="172"/>
      <c r="P256" s="174"/>
      <c r="Q256" s="174"/>
      <c r="R256" s="173"/>
      <c r="S256" s="182"/>
      <c r="T256" s="226"/>
      <c r="AD256" s="172"/>
      <c r="AF256" s="172"/>
    </row>
    <row r="257" spans="4:32" x14ac:dyDescent="0.2">
      <c r="D257" s="171"/>
      <c r="G257" s="172"/>
      <c r="H257" s="173"/>
      <c r="J257" s="172"/>
      <c r="P257" s="174"/>
      <c r="Q257" s="174"/>
      <c r="R257" s="173"/>
      <c r="S257" s="182"/>
      <c r="T257" s="226"/>
      <c r="AD257" s="172"/>
      <c r="AF257" s="172"/>
    </row>
    <row r="258" spans="4:32" x14ac:dyDescent="0.2">
      <c r="D258" s="171"/>
      <c r="G258" s="172"/>
      <c r="H258" s="173"/>
      <c r="J258" s="172"/>
      <c r="P258" s="174"/>
      <c r="Q258" s="174"/>
      <c r="R258" s="173"/>
      <c r="S258" s="182"/>
      <c r="T258" s="226"/>
      <c r="AD258" s="172"/>
      <c r="AF258" s="172"/>
    </row>
    <row r="259" spans="4:32" x14ac:dyDescent="0.2">
      <c r="D259" s="171"/>
      <c r="G259" s="172"/>
      <c r="H259" s="173"/>
      <c r="J259" s="172"/>
      <c r="P259" s="174"/>
      <c r="Q259" s="174"/>
      <c r="R259" s="173"/>
      <c r="S259" s="182"/>
      <c r="T259" s="226"/>
      <c r="AD259" s="172"/>
      <c r="AF259" s="172"/>
    </row>
    <row r="260" spans="4:32" x14ac:dyDescent="0.2">
      <c r="D260" s="171"/>
      <c r="G260" s="172"/>
      <c r="H260" s="173"/>
      <c r="J260" s="172"/>
      <c r="P260" s="174"/>
      <c r="Q260" s="174"/>
      <c r="R260" s="173"/>
      <c r="S260" s="182"/>
      <c r="T260" s="226"/>
      <c r="AD260" s="172"/>
      <c r="AF260" s="172"/>
    </row>
    <row r="261" spans="4:32" x14ac:dyDescent="0.2">
      <c r="D261" s="171"/>
      <c r="G261" s="172"/>
      <c r="H261" s="173"/>
      <c r="J261" s="172"/>
      <c r="P261" s="174"/>
      <c r="Q261" s="174"/>
      <c r="R261" s="173"/>
      <c r="S261" s="182"/>
      <c r="T261" s="226"/>
      <c r="AD261" s="172"/>
      <c r="AF261" s="172"/>
    </row>
    <row r="262" spans="4:32" x14ac:dyDescent="0.2">
      <c r="D262" s="171"/>
      <c r="G262" s="172"/>
      <c r="H262" s="173"/>
      <c r="J262" s="172"/>
      <c r="P262" s="174"/>
      <c r="Q262" s="174"/>
      <c r="R262" s="173"/>
      <c r="S262" s="182"/>
      <c r="T262" s="226"/>
      <c r="AD262" s="172"/>
      <c r="AF262" s="172"/>
    </row>
    <row r="263" spans="4:32" x14ac:dyDescent="0.2">
      <c r="D263" s="171"/>
      <c r="G263" s="172"/>
      <c r="H263" s="173"/>
      <c r="J263" s="172"/>
      <c r="P263" s="174"/>
      <c r="Q263" s="174"/>
      <c r="R263" s="173"/>
      <c r="S263" s="182"/>
      <c r="T263" s="226"/>
      <c r="AD263" s="172"/>
      <c r="AF263" s="172"/>
    </row>
    <row r="264" spans="4:32" x14ac:dyDescent="0.2">
      <c r="D264" s="171"/>
      <c r="G264" s="172"/>
      <c r="H264" s="173"/>
      <c r="J264" s="172"/>
      <c r="P264" s="174"/>
      <c r="Q264" s="174"/>
      <c r="R264" s="173"/>
      <c r="S264" s="182"/>
      <c r="T264" s="226"/>
      <c r="AD264" s="172"/>
      <c r="AF264" s="172"/>
    </row>
    <row r="265" spans="4:32" x14ac:dyDescent="0.2">
      <c r="D265" s="171"/>
      <c r="G265" s="172"/>
      <c r="H265" s="173"/>
      <c r="J265" s="172"/>
      <c r="P265" s="174"/>
      <c r="Q265" s="174"/>
      <c r="R265" s="173"/>
      <c r="S265" s="182"/>
      <c r="T265" s="226"/>
      <c r="AD265" s="172"/>
      <c r="AF265" s="172"/>
    </row>
    <row r="266" spans="4:32" x14ac:dyDescent="0.2">
      <c r="D266" s="171"/>
      <c r="G266" s="172"/>
      <c r="H266" s="173"/>
      <c r="J266" s="172"/>
      <c r="P266" s="174"/>
      <c r="Q266" s="174"/>
      <c r="R266" s="173"/>
      <c r="S266" s="182"/>
      <c r="T266" s="226"/>
      <c r="AD266" s="172"/>
      <c r="AF266" s="172"/>
    </row>
    <row r="267" spans="4:32" x14ac:dyDescent="0.2">
      <c r="D267" s="171"/>
      <c r="G267" s="172"/>
      <c r="H267" s="173"/>
      <c r="J267" s="172"/>
      <c r="P267" s="174"/>
      <c r="Q267" s="174"/>
      <c r="R267" s="173"/>
      <c r="S267" s="182"/>
      <c r="T267" s="226"/>
      <c r="AD267" s="172"/>
      <c r="AF267" s="172"/>
    </row>
    <row r="268" spans="4:32" x14ac:dyDescent="0.2">
      <c r="D268" s="171"/>
      <c r="G268" s="172"/>
      <c r="H268" s="173"/>
      <c r="J268" s="172"/>
      <c r="P268" s="174"/>
      <c r="Q268" s="174"/>
      <c r="R268" s="173"/>
      <c r="S268" s="182"/>
      <c r="T268" s="226"/>
      <c r="AD268" s="172"/>
      <c r="AF268" s="172"/>
    </row>
    <row r="269" spans="4:32" x14ac:dyDescent="0.2">
      <c r="D269" s="171"/>
      <c r="G269" s="172"/>
      <c r="H269" s="173"/>
      <c r="J269" s="172"/>
      <c r="P269" s="174"/>
      <c r="Q269" s="174"/>
      <c r="R269" s="173"/>
      <c r="S269" s="182"/>
      <c r="T269" s="226"/>
      <c r="AD269" s="172"/>
      <c r="AF269" s="172"/>
    </row>
    <row r="270" spans="4:32" x14ac:dyDescent="0.2">
      <c r="D270" s="171"/>
      <c r="G270" s="172"/>
      <c r="H270" s="173"/>
      <c r="J270" s="172"/>
      <c r="P270" s="174"/>
      <c r="Q270" s="174"/>
      <c r="R270" s="173"/>
      <c r="S270" s="182"/>
      <c r="T270" s="226"/>
      <c r="AD270" s="172"/>
      <c r="AF270" s="172"/>
    </row>
    <row r="271" spans="4:32" x14ac:dyDescent="0.2">
      <c r="D271" s="171"/>
      <c r="G271" s="172"/>
      <c r="H271" s="173"/>
      <c r="J271" s="172"/>
      <c r="P271" s="174"/>
      <c r="Q271" s="174"/>
      <c r="R271" s="173"/>
      <c r="S271" s="182"/>
      <c r="T271" s="226"/>
      <c r="AD271" s="172"/>
      <c r="AF271" s="172"/>
    </row>
    <row r="272" spans="4:32" x14ac:dyDescent="0.2">
      <c r="D272" s="171"/>
      <c r="G272" s="172"/>
      <c r="H272" s="173"/>
      <c r="J272" s="172"/>
      <c r="P272" s="174"/>
      <c r="Q272" s="174"/>
      <c r="R272" s="173"/>
      <c r="S272" s="182"/>
      <c r="T272" s="226"/>
      <c r="AD272" s="172"/>
      <c r="AF272" s="172"/>
    </row>
    <row r="273" spans="4:32" x14ac:dyDescent="0.2">
      <c r="D273" s="171"/>
      <c r="G273" s="172"/>
      <c r="H273" s="173"/>
      <c r="J273" s="172"/>
      <c r="P273" s="174"/>
      <c r="Q273" s="174"/>
      <c r="R273" s="173"/>
      <c r="S273" s="182"/>
      <c r="T273" s="226"/>
      <c r="AD273" s="172"/>
      <c r="AF273" s="172"/>
    </row>
    <row r="274" spans="4:32" x14ac:dyDescent="0.2">
      <c r="D274" s="171"/>
      <c r="G274" s="172"/>
      <c r="H274" s="173"/>
      <c r="J274" s="172"/>
      <c r="P274" s="174"/>
      <c r="Q274" s="174"/>
      <c r="R274" s="173"/>
      <c r="S274" s="182"/>
      <c r="T274" s="226"/>
      <c r="AD274" s="172"/>
      <c r="AF274" s="172"/>
    </row>
    <row r="275" spans="4:32" x14ac:dyDescent="0.2">
      <c r="D275" s="171"/>
      <c r="G275" s="172"/>
      <c r="H275" s="173"/>
      <c r="J275" s="172"/>
      <c r="P275" s="174"/>
      <c r="Q275" s="174"/>
      <c r="R275" s="173"/>
      <c r="S275" s="182"/>
      <c r="T275" s="226"/>
      <c r="AD275" s="172"/>
      <c r="AF275" s="172"/>
    </row>
    <row r="276" spans="4:32" x14ac:dyDescent="0.2">
      <c r="D276" s="171"/>
      <c r="G276" s="172"/>
      <c r="H276" s="173"/>
      <c r="J276" s="172"/>
      <c r="P276" s="174"/>
      <c r="Q276" s="174"/>
      <c r="R276" s="173"/>
      <c r="S276" s="182"/>
      <c r="T276" s="226"/>
      <c r="AD276" s="172"/>
      <c r="AF276" s="172"/>
    </row>
    <row r="277" spans="4:32" x14ac:dyDescent="0.2">
      <c r="D277" s="171"/>
      <c r="G277" s="172"/>
      <c r="H277" s="173"/>
      <c r="J277" s="172"/>
      <c r="P277" s="174"/>
      <c r="Q277" s="174"/>
      <c r="R277" s="173"/>
      <c r="S277" s="182"/>
      <c r="T277" s="226"/>
      <c r="AD277" s="172"/>
      <c r="AF277" s="172"/>
    </row>
    <row r="278" spans="4:32" x14ac:dyDescent="0.2">
      <c r="D278" s="171"/>
      <c r="G278" s="172"/>
      <c r="H278" s="173"/>
      <c r="J278" s="172"/>
      <c r="P278" s="174"/>
      <c r="Q278" s="174"/>
      <c r="R278" s="173"/>
      <c r="S278" s="182"/>
      <c r="T278" s="226"/>
      <c r="AD278" s="172"/>
      <c r="AF278" s="172"/>
    </row>
    <row r="279" spans="4:32" x14ac:dyDescent="0.2">
      <c r="D279" s="171"/>
      <c r="G279" s="172"/>
      <c r="H279" s="173"/>
      <c r="J279" s="172"/>
      <c r="P279" s="174"/>
      <c r="Q279" s="174"/>
      <c r="R279" s="173"/>
      <c r="S279" s="182"/>
      <c r="T279" s="226"/>
      <c r="AD279" s="172"/>
      <c r="AF279" s="172"/>
    </row>
    <row r="280" spans="4:32" x14ac:dyDescent="0.2">
      <c r="D280" s="171"/>
      <c r="G280" s="172"/>
      <c r="H280" s="173"/>
      <c r="J280" s="172"/>
      <c r="P280" s="174"/>
      <c r="Q280" s="174"/>
      <c r="R280" s="173"/>
      <c r="S280" s="182"/>
      <c r="T280" s="226"/>
      <c r="AD280" s="172"/>
      <c r="AF280" s="172"/>
    </row>
    <row r="281" spans="4:32" x14ac:dyDescent="0.2">
      <c r="D281" s="171"/>
      <c r="G281" s="172"/>
      <c r="H281" s="173"/>
      <c r="J281" s="172"/>
      <c r="P281" s="174"/>
      <c r="Q281" s="174"/>
      <c r="R281" s="173"/>
      <c r="S281" s="182"/>
      <c r="T281" s="226"/>
      <c r="AD281" s="172"/>
      <c r="AF281" s="172"/>
    </row>
    <row r="282" spans="4:32" x14ac:dyDescent="0.2">
      <c r="D282" s="171"/>
      <c r="G282" s="172"/>
      <c r="H282" s="173"/>
      <c r="J282" s="172"/>
      <c r="P282" s="174"/>
      <c r="Q282" s="174"/>
      <c r="R282" s="173"/>
      <c r="S282" s="182"/>
      <c r="T282" s="226"/>
      <c r="AD282" s="172"/>
      <c r="AF282" s="172"/>
    </row>
    <row r="283" spans="4:32" x14ac:dyDescent="0.2">
      <c r="D283" s="171"/>
      <c r="G283" s="172"/>
      <c r="H283" s="173"/>
      <c r="J283" s="172"/>
      <c r="P283" s="174"/>
      <c r="Q283" s="174"/>
      <c r="R283" s="173"/>
      <c r="S283" s="182"/>
      <c r="T283" s="226"/>
      <c r="AD283" s="172"/>
      <c r="AF283" s="172"/>
    </row>
    <row r="284" spans="4:32" x14ac:dyDescent="0.2">
      <c r="D284" s="171"/>
      <c r="G284" s="172"/>
      <c r="H284" s="173"/>
      <c r="J284" s="172"/>
      <c r="P284" s="174"/>
      <c r="Q284" s="174"/>
      <c r="R284" s="173"/>
      <c r="S284" s="182"/>
      <c r="T284" s="226"/>
      <c r="AD284" s="172"/>
      <c r="AF284" s="172"/>
    </row>
    <row r="285" spans="4:32" x14ac:dyDescent="0.2">
      <c r="D285" s="171"/>
      <c r="G285" s="172"/>
      <c r="H285" s="173"/>
      <c r="J285" s="172"/>
      <c r="P285" s="174"/>
      <c r="Q285" s="174"/>
      <c r="R285" s="173"/>
      <c r="S285" s="182"/>
      <c r="T285" s="226"/>
      <c r="AD285" s="172"/>
      <c r="AF285" s="172"/>
    </row>
    <row r="286" spans="4:32" x14ac:dyDescent="0.2">
      <c r="D286" s="171"/>
      <c r="G286" s="172"/>
      <c r="H286" s="173"/>
      <c r="J286" s="172"/>
      <c r="P286" s="174"/>
      <c r="Q286" s="174"/>
      <c r="R286" s="173"/>
      <c r="S286" s="182"/>
      <c r="T286" s="226"/>
      <c r="AD286" s="172"/>
      <c r="AF286" s="172"/>
    </row>
    <row r="287" spans="4:32" x14ac:dyDescent="0.2">
      <c r="D287" s="171"/>
      <c r="G287" s="172"/>
      <c r="H287" s="173"/>
      <c r="J287" s="172"/>
      <c r="P287" s="174"/>
      <c r="Q287" s="174"/>
      <c r="R287" s="173"/>
      <c r="S287" s="182"/>
      <c r="T287" s="226"/>
      <c r="AD287" s="172"/>
      <c r="AF287" s="172"/>
    </row>
    <row r="288" spans="4:32" x14ac:dyDescent="0.2">
      <c r="D288" s="171"/>
      <c r="G288" s="172"/>
      <c r="H288" s="173"/>
      <c r="J288" s="172"/>
      <c r="P288" s="174"/>
      <c r="Q288" s="174"/>
      <c r="R288" s="173"/>
      <c r="S288" s="182"/>
      <c r="T288" s="226"/>
      <c r="AD288" s="172"/>
      <c r="AF288" s="172"/>
    </row>
    <row r="289" spans="4:32" x14ac:dyDescent="0.2">
      <c r="D289" s="171"/>
      <c r="G289" s="172"/>
      <c r="H289" s="173"/>
      <c r="J289" s="172"/>
      <c r="P289" s="174"/>
      <c r="Q289" s="174"/>
      <c r="R289" s="173"/>
      <c r="S289" s="182"/>
      <c r="T289" s="226"/>
      <c r="AD289" s="172"/>
      <c r="AF289" s="172"/>
    </row>
    <row r="290" spans="4:32" x14ac:dyDescent="0.2">
      <c r="D290" s="171"/>
      <c r="G290" s="172"/>
      <c r="H290" s="173"/>
      <c r="J290" s="172"/>
      <c r="P290" s="174"/>
      <c r="Q290" s="174"/>
      <c r="R290" s="173"/>
      <c r="S290" s="182"/>
      <c r="T290" s="226"/>
      <c r="AD290" s="172"/>
      <c r="AF290" s="172"/>
    </row>
    <row r="291" spans="4:32" x14ac:dyDescent="0.2">
      <c r="D291" s="171"/>
      <c r="G291" s="172"/>
      <c r="H291" s="173"/>
      <c r="J291" s="172"/>
      <c r="P291" s="174"/>
      <c r="Q291" s="174"/>
      <c r="R291" s="173"/>
      <c r="S291" s="182"/>
      <c r="T291" s="226"/>
      <c r="AD291" s="172"/>
      <c r="AF291" s="172"/>
    </row>
    <row r="292" spans="4:32" x14ac:dyDescent="0.2">
      <c r="D292" s="171"/>
      <c r="G292" s="172"/>
      <c r="H292" s="173"/>
      <c r="J292" s="172"/>
      <c r="P292" s="174"/>
      <c r="Q292" s="174"/>
      <c r="R292" s="173"/>
      <c r="S292" s="182"/>
      <c r="T292" s="226"/>
      <c r="AD292" s="172"/>
      <c r="AF292" s="172"/>
    </row>
    <row r="293" spans="4:32" x14ac:dyDescent="0.2">
      <c r="D293" s="171"/>
      <c r="G293" s="172"/>
      <c r="H293" s="173"/>
      <c r="J293" s="172"/>
      <c r="P293" s="174"/>
      <c r="Q293" s="174"/>
      <c r="R293" s="173"/>
      <c r="S293" s="182"/>
      <c r="T293" s="226"/>
      <c r="AD293" s="172"/>
      <c r="AF293" s="172"/>
    </row>
    <row r="294" spans="4:32" x14ac:dyDescent="0.2">
      <c r="D294" s="171"/>
      <c r="G294" s="172"/>
      <c r="H294" s="173"/>
      <c r="J294" s="172"/>
      <c r="P294" s="174"/>
      <c r="Q294" s="174"/>
      <c r="R294" s="173"/>
      <c r="S294" s="182"/>
      <c r="T294" s="226"/>
      <c r="AD294" s="172"/>
      <c r="AF294" s="172"/>
    </row>
    <row r="295" spans="4:32" x14ac:dyDescent="0.2">
      <c r="D295" s="171"/>
      <c r="G295" s="172"/>
      <c r="H295" s="173"/>
      <c r="J295" s="172"/>
      <c r="P295" s="174"/>
      <c r="Q295" s="174"/>
      <c r="R295" s="173"/>
      <c r="S295" s="182"/>
      <c r="T295" s="226"/>
      <c r="AD295" s="172"/>
      <c r="AF295" s="172"/>
    </row>
    <row r="306" spans="8:20" x14ac:dyDescent="0.2">
      <c r="H306" s="173"/>
      <c r="R306" s="173"/>
      <c r="S306" s="182"/>
      <c r="T306" s="226"/>
    </row>
    <row r="307" spans="8:20" x14ac:dyDescent="0.2">
      <c r="H307" s="173"/>
      <c r="R307" s="173"/>
      <c r="S307" s="182"/>
      <c r="T307" s="226"/>
    </row>
    <row r="308" spans="8:20" x14ac:dyDescent="0.2">
      <c r="H308" s="173"/>
      <c r="R308" s="173"/>
      <c r="S308" s="182"/>
      <c r="T308" s="226"/>
    </row>
    <row r="309" spans="8:20" x14ac:dyDescent="0.2">
      <c r="H309" s="173"/>
      <c r="R309" s="173"/>
      <c r="S309" s="182"/>
      <c r="T309" s="226"/>
    </row>
    <row r="310" spans="8:20" x14ac:dyDescent="0.2">
      <c r="H310" s="173"/>
      <c r="R310" s="173"/>
      <c r="S310" s="182"/>
      <c r="T310" s="226"/>
    </row>
    <row r="311" spans="8:20" x14ac:dyDescent="0.2">
      <c r="H311" s="173"/>
      <c r="R311" s="173"/>
      <c r="S311" s="182"/>
      <c r="T311" s="226"/>
    </row>
    <row r="312" spans="8:20" x14ac:dyDescent="0.2">
      <c r="H312" s="173"/>
      <c r="R312" s="173"/>
      <c r="S312" s="182"/>
      <c r="T312" s="226"/>
    </row>
    <row r="313" spans="8:20" x14ac:dyDescent="0.2">
      <c r="H313" s="173"/>
      <c r="R313" s="173"/>
      <c r="S313" s="182"/>
      <c r="T313" s="226"/>
    </row>
    <row r="314" spans="8:20" x14ac:dyDescent="0.2">
      <c r="H314" s="173"/>
      <c r="R314" s="173"/>
      <c r="S314" s="182"/>
      <c r="T314" s="226"/>
    </row>
    <row r="315" spans="8:20" x14ac:dyDescent="0.2">
      <c r="H315" s="173"/>
      <c r="R315" s="173"/>
      <c r="S315" s="182"/>
      <c r="T315" s="226"/>
    </row>
    <row r="316" spans="8:20" x14ac:dyDescent="0.2">
      <c r="H316" s="173"/>
      <c r="R316" s="173"/>
      <c r="S316" s="182"/>
      <c r="T316" s="226"/>
    </row>
    <row r="317" spans="8:20" x14ac:dyDescent="0.2">
      <c r="H317" s="173"/>
      <c r="R317" s="173"/>
      <c r="S317" s="182"/>
      <c r="T317" s="226"/>
    </row>
    <row r="318" spans="8:20" x14ac:dyDescent="0.2">
      <c r="H318" s="173"/>
      <c r="R318" s="173"/>
      <c r="S318" s="182"/>
      <c r="T318" s="226"/>
    </row>
    <row r="319" spans="8:20" x14ac:dyDescent="0.2">
      <c r="H319" s="173"/>
      <c r="R319" s="173"/>
      <c r="S319" s="182"/>
      <c r="T319" s="226"/>
    </row>
    <row r="320" spans="8:20" x14ac:dyDescent="0.2">
      <c r="H320" s="173"/>
      <c r="R320" s="173"/>
      <c r="S320" s="182"/>
      <c r="T320" s="226"/>
    </row>
    <row r="321" spans="8:20" x14ac:dyDescent="0.2">
      <c r="H321" s="173"/>
      <c r="R321" s="173"/>
      <c r="S321" s="182"/>
      <c r="T321" s="226"/>
    </row>
    <row r="322" spans="8:20" x14ac:dyDescent="0.2">
      <c r="H322" s="173"/>
      <c r="R322" s="173"/>
      <c r="S322" s="182"/>
      <c r="T322" s="226"/>
    </row>
    <row r="323" spans="8:20" x14ac:dyDescent="0.2">
      <c r="H323" s="173"/>
      <c r="R323" s="173"/>
      <c r="S323" s="182"/>
      <c r="T323" s="226"/>
    </row>
    <row r="324" spans="8:20" x14ac:dyDescent="0.2">
      <c r="H324" s="173"/>
      <c r="R324" s="173"/>
      <c r="S324" s="182"/>
      <c r="T324" s="226"/>
    </row>
    <row r="325" spans="8:20" x14ac:dyDescent="0.2">
      <c r="H325" s="173"/>
      <c r="R325" s="173"/>
      <c r="S325" s="182"/>
      <c r="T325" s="226"/>
    </row>
    <row r="326" spans="8:20" x14ac:dyDescent="0.2">
      <c r="H326" s="173"/>
      <c r="R326" s="173"/>
      <c r="S326" s="182"/>
      <c r="T326" s="226"/>
    </row>
    <row r="327" spans="8:20" x14ac:dyDescent="0.2">
      <c r="H327" s="173"/>
      <c r="R327" s="173"/>
      <c r="S327" s="182"/>
      <c r="T327" s="226"/>
    </row>
    <row r="328" spans="8:20" x14ac:dyDescent="0.2">
      <c r="H328" s="173"/>
      <c r="R328" s="173"/>
      <c r="S328" s="182"/>
      <c r="T328" s="226"/>
    </row>
    <row r="329" spans="8:20" x14ac:dyDescent="0.2">
      <c r="H329" s="173"/>
      <c r="R329" s="173"/>
      <c r="S329" s="182"/>
      <c r="T329" s="226"/>
    </row>
    <row r="330" spans="8:20" x14ac:dyDescent="0.2">
      <c r="H330" s="173"/>
      <c r="R330" s="173"/>
      <c r="S330" s="182"/>
      <c r="T330" s="226"/>
    </row>
    <row r="331" spans="8:20" x14ac:dyDescent="0.2">
      <c r="H331" s="173"/>
      <c r="R331" s="173"/>
      <c r="S331" s="182"/>
      <c r="T331" s="226"/>
    </row>
    <row r="332" spans="8:20" x14ac:dyDescent="0.2">
      <c r="H332" s="173"/>
      <c r="R332" s="173"/>
      <c r="S332" s="182"/>
      <c r="T332" s="226"/>
    </row>
    <row r="333" spans="8:20" x14ac:dyDescent="0.2">
      <c r="H333" s="173"/>
      <c r="R333" s="173"/>
      <c r="S333" s="182"/>
      <c r="T333" s="226"/>
    </row>
    <row r="334" spans="8:20" x14ac:dyDescent="0.2">
      <c r="H334" s="173"/>
      <c r="R334" s="173"/>
      <c r="S334" s="182"/>
      <c r="T334" s="226"/>
    </row>
    <row r="335" spans="8:20" x14ac:dyDescent="0.2">
      <c r="H335" s="173"/>
      <c r="R335" s="173"/>
      <c r="S335" s="182"/>
      <c r="T335" s="226"/>
    </row>
    <row r="336" spans="8:20" x14ac:dyDescent="0.2">
      <c r="H336" s="173"/>
      <c r="R336" s="173"/>
      <c r="S336" s="182"/>
      <c r="T336" s="226"/>
    </row>
    <row r="337" spans="8:20" x14ac:dyDescent="0.2">
      <c r="H337" s="173"/>
      <c r="R337" s="173"/>
      <c r="S337" s="182"/>
      <c r="T337" s="226"/>
    </row>
    <row r="338" spans="8:20" x14ac:dyDescent="0.2">
      <c r="H338" s="173"/>
      <c r="R338" s="173"/>
      <c r="S338" s="182"/>
      <c r="T338" s="226"/>
    </row>
    <row r="339" spans="8:20" x14ac:dyDescent="0.2">
      <c r="H339" s="173"/>
      <c r="R339" s="173"/>
      <c r="S339" s="182"/>
      <c r="T339" s="226"/>
    </row>
    <row r="340" spans="8:20" x14ac:dyDescent="0.2">
      <c r="H340" s="173"/>
      <c r="R340" s="173"/>
      <c r="S340" s="182"/>
      <c r="T340" s="226"/>
    </row>
    <row r="341" spans="8:20" x14ac:dyDescent="0.2">
      <c r="H341" s="173"/>
      <c r="R341" s="173"/>
      <c r="S341" s="182"/>
      <c r="T341" s="226"/>
    </row>
    <row r="342" spans="8:20" x14ac:dyDescent="0.2">
      <c r="H342" s="173"/>
      <c r="R342" s="173"/>
      <c r="S342" s="182"/>
      <c r="T342" s="226"/>
    </row>
    <row r="343" spans="8:20" x14ac:dyDescent="0.2">
      <c r="H343" s="173"/>
      <c r="R343" s="173"/>
      <c r="S343" s="182"/>
      <c r="T343" s="226"/>
    </row>
    <row r="344" spans="8:20" x14ac:dyDescent="0.2">
      <c r="H344" s="173"/>
      <c r="R344" s="173"/>
      <c r="S344" s="182"/>
      <c r="T344" s="226"/>
    </row>
    <row r="345" spans="8:20" x14ac:dyDescent="0.2">
      <c r="H345" s="173"/>
      <c r="R345" s="173"/>
      <c r="S345" s="182"/>
      <c r="T345" s="226"/>
    </row>
    <row r="346" spans="8:20" x14ac:dyDescent="0.2">
      <c r="H346" s="173"/>
      <c r="R346" s="173"/>
      <c r="S346" s="182"/>
      <c r="T346" s="226"/>
    </row>
    <row r="347" spans="8:20" x14ac:dyDescent="0.2">
      <c r="H347" s="173"/>
      <c r="R347" s="173"/>
      <c r="S347" s="182"/>
      <c r="T347" s="226"/>
    </row>
    <row r="348" spans="8:20" x14ac:dyDescent="0.2">
      <c r="H348" s="173"/>
      <c r="R348" s="173"/>
      <c r="S348" s="182"/>
      <c r="T348" s="226"/>
    </row>
    <row r="349" spans="8:20" x14ac:dyDescent="0.2">
      <c r="H349" s="173"/>
      <c r="R349" s="173"/>
      <c r="S349" s="182"/>
      <c r="T349" s="226"/>
    </row>
    <row r="350" spans="8:20" x14ac:dyDescent="0.2">
      <c r="H350" s="173"/>
      <c r="R350" s="173"/>
      <c r="S350" s="182"/>
      <c r="T350" s="226"/>
    </row>
    <row r="351" spans="8:20" x14ac:dyDescent="0.2">
      <c r="H351" s="173"/>
      <c r="R351" s="173"/>
      <c r="S351" s="182"/>
      <c r="T351" s="226"/>
    </row>
    <row r="352" spans="8:20" x14ac:dyDescent="0.2">
      <c r="H352" s="173"/>
      <c r="R352" s="173"/>
      <c r="S352" s="182"/>
      <c r="T352" s="226"/>
    </row>
    <row r="353" spans="8:20" x14ac:dyDescent="0.2">
      <c r="H353" s="173"/>
      <c r="R353" s="173"/>
      <c r="S353" s="182"/>
      <c r="T353" s="226"/>
    </row>
    <row r="354" spans="8:20" x14ac:dyDescent="0.2">
      <c r="H354" s="173"/>
      <c r="R354" s="173"/>
      <c r="S354" s="182"/>
      <c r="T354" s="226"/>
    </row>
    <row r="355" spans="8:20" x14ac:dyDescent="0.2">
      <c r="H355" s="173"/>
      <c r="R355" s="173"/>
      <c r="S355" s="182"/>
      <c r="T355" s="226"/>
    </row>
    <row r="356" spans="8:20" x14ac:dyDescent="0.2">
      <c r="H356" s="173"/>
      <c r="R356" s="173"/>
      <c r="S356" s="182"/>
      <c r="T356" s="226"/>
    </row>
    <row r="357" spans="8:20" x14ac:dyDescent="0.2">
      <c r="H357" s="173"/>
      <c r="R357" s="173"/>
      <c r="S357" s="182"/>
      <c r="T357" s="226"/>
    </row>
    <row r="358" spans="8:20" x14ac:dyDescent="0.2">
      <c r="H358" s="173"/>
      <c r="R358" s="173"/>
      <c r="S358" s="182"/>
      <c r="T358" s="226"/>
    </row>
    <row r="359" spans="8:20" x14ac:dyDescent="0.2">
      <c r="H359" s="173"/>
      <c r="R359" s="173"/>
      <c r="S359" s="182"/>
      <c r="T359" s="226"/>
    </row>
    <row r="360" spans="8:20" x14ac:dyDescent="0.2">
      <c r="H360" s="173"/>
      <c r="R360" s="173"/>
      <c r="S360" s="182"/>
      <c r="T360" s="226"/>
    </row>
    <row r="361" spans="8:20" x14ac:dyDescent="0.2">
      <c r="H361" s="173"/>
      <c r="R361" s="173"/>
      <c r="S361" s="182"/>
      <c r="T361" s="226"/>
    </row>
    <row r="362" spans="8:20" x14ac:dyDescent="0.2">
      <c r="H362" s="173"/>
      <c r="R362" s="173"/>
      <c r="S362" s="182"/>
      <c r="T362" s="226"/>
    </row>
    <row r="363" spans="8:20" x14ac:dyDescent="0.2">
      <c r="H363" s="173"/>
      <c r="R363" s="173"/>
      <c r="S363" s="182"/>
      <c r="T363" s="226"/>
    </row>
    <row r="364" spans="8:20" x14ac:dyDescent="0.2">
      <c r="H364" s="173"/>
      <c r="R364" s="173"/>
      <c r="S364" s="182"/>
      <c r="T364" s="226"/>
    </row>
    <row r="365" spans="8:20" x14ac:dyDescent="0.2">
      <c r="H365" s="173"/>
      <c r="R365" s="173"/>
      <c r="S365" s="182"/>
      <c r="T365" s="226"/>
    </row>
    <row r="366" spans="8:20" x14ac:dyDescent="0.2">
      <c r="H366" s="173"/>
      <c r="R366" s="173"/>
      <c r="S366" s="182"/>
      <c r="T366" s="226"/>
    </row>
    <row r="367" spans="8:20" x14ac:dyDescent="0.2">
      <c r="H367" s="173"/>
      <c r="R367" s="173"/>
      <c r="S367" s="182"/>
      <c r="T367" s="226"/>
    </row>
    <row r="368" spans="8:20" x14ac:dyDescent="0.2">
      <c r="H368" s="173"/>
      <c r="R368" s="173"/>
      <c r="S368" s="182"/>
      <c r="T368" s="226"/>
    </row>
    <row r="369" spans="8:20" x14ac:dyDescent="0.2">
      <c r="H369" s="173"/>
      <c r="R369" s="173"/>
      <c r="S369" s="182"/>
      <c r="T369" s="226"/>
    </row>
    <row r="370" spans="8:20" x14ac:dyDescent="0.2">
      <c r="H370" s="173"/>
      <c r="R370" s="173"/>
      <c r="S370" s="182"/>
      <c r="T370" s="226"/>
    </row>
    <row r="371" spans="8:20" x14ac:dyDescent="0.2">
      <c r="H371" s="173"/>
      <c r="R371" s="173"/>
      <c r="S371" s="182"/>
      <c r="T371" s="226"/>
    </row>
    <row r="372" spans="8:20" x14ac:dyDescent="0.2">
      <c r="H372" s="173"/>
      <c r="R372" s="173"/>
      <c r="S372" s="182"/>
      <c r="T372" s="226"/>
    </row>
    <row r="373" spans="8:20" x14ac:dyDescent="0.2">
      <c r="H373" s="173"/>
      <c r="R373" s="173"/>
      <c r="S373" s="182"/>
      <c r="T373" s="226"/>
    </row>
    <row r="374" spans="8:20" x14ac:dyDescent="0.2">
      <c r="H374" s="173"/>
      <c r="R374" s="173"/>
      <c r="S374" s="182"/>
      <c r="T374" s="226"/>
    </row>
    <row r="375" spans="8:20" x14ac:dyDescent="0.2">
      <c r="H375" s="173"/>
      <c r="R375" s="173"/>
      <c r="S375" s="182"/>
      <c r="T375" s="226"/>
    </row>
    <row r="376" spans="8:20" x14ac:dyDescent="0.2">
      <c r="H376" s="173"/>
      <c r="R376" s="173"/>
      <c r="S376" s="182"/>
      <c r="T376" s="226"/>
    </row>
    <row r="377" spans="8:20" x14ac:dyDescent="0.2">
      <c r="H377" s="173"/>
      <c r="R377" s="173"/>
      <c r="S377" s="182"/>
      <c r="T377" s="226"/>
    </row>
    <row r="378" spans="8:20" x14ac:dyDescent="0.2">
      <c r="H378" s="173"/>
      <c r="R378" s="173"/>
      <c r="S378" s="182"/>
      <c r="T378" s="226"/>
    </row>
    <row r="379" spans="8:20" x14ac:dyDescent="0.2">
      <c r="H379" s="173"/>
      <c r="R379" s="173"/>
      <c r="S379" s="182"/>
      <c r="T379" s="226"/>
    </row>
    <row r="380" spans="8:20" x14ac:dyDescent="0.2">
      <c r="H380" s="173"/>
      <c r="R380" s="173"/>
      <c r="S380" s="182"/>
      <c r="T380" s="226"/>
    </row>
    <row r="381" spans="8:20" x14ac:dyDescent="0.2">
      <c r="H381" s="173"/>
      <c r="R381" s="173"/>
      <c r="S381" s="182"/>
      <c r="T381" s="226"/>
    </row>
    <row r="382" spans="8:20" x14ac:dyDescent="0.2">
      <c r="H382" s="173"/>
      <c r="R382" s="173"/>
      <c r="S382" s="182"/>
      <c r="T382" s="226"/>
    </row>
    <row r="383" spans="8:20" x14ac:dyDescent="0.2">
      <c r="H383" s="173"/>
      <c r="R383" s="173"/>
      <c r="S383" s="182"/>
      <c r="T383" s="226"/>
    </row>
    <row r="384" spans="8:20" x14ac:dyDescent="0.2">
      <c r="H384" s="173"/>
      <c r="R384" s="173"/>
      <c r="S384" s="182"/>
      <c r="T384" s="226"/>
    </row>
    <row r="385" spans="8:20" x14ac:dyDescent="0.2">
      <c r="H385" s="173"/>
      <c r="R385" s="173"/>
      <c r="S385" s="182"/>
      <c r="T385" s="226"/>
    </row>
    <row r="386" spans="8:20" x14ac:dyDescent="0.2">
      <c r="H386" s="173"/>
      <c r="R386" s="173"/>
      <c r="S386" s="182"/>
      <c r="T386" s="226"/>
    </row>
    <row r="387" spans="8:20" x14ac:dyDescent="0.2">
      <c r="H387" s="173"/>
      <c r="R387" s="173"/>
      <c r="S387" s="182"/>
      <c r="T387" s="226"/>
    </row>
    <row r="388" spans="8:20" x14ac:dyDescent="0.2">
      <c r="H388" s="173"/>
      <c r="R388" s="173"/>
      <c r="S388" s="182"/>
      <c r="T388" s="226"/>
    </row>
    <row r="389" spans="8:20" x14ac:dyDescent="0.2">
      <c r="H389" s="173"/>
      <c r="R389" s="173"/>
      <c r="S389" s="182"/>
      <c r="T389" s="226"/>
    </row>
    <row r="390" spans="8:20" x14ac:dyDescent="0.2">
      <c r="H390" s="173"/>
      <c r="R390" s="173"/>
      <c r="S390" s="182"/>
      <c r="T390" s="226"/>
    </row>
    <row r="391" spans="8:20" x14ac:dyDescent="0.2">
      <c r="H391" s="173"/>
      <c r="R391" s="173"/>
      <c r="S391" s="182"/>
      <c r="T391" s="226"/>
    </row>
    <row r="392" spans="8:20" x14ac:dyDescent="0.2">
      <c r="H392" s="173"/>
      <c r="R392" s="173"/>
      <c r="S392" s="182"/>
      <c r="T392" s="226"/>
    </row>
    <row r="393" spans="8:20" x14ac:dyDescent="0.2">
      <c r="H393" s="173"/>
      <c r="R393" s="173"/>
      <c r="S393" s="182"/>
      <c r="T393" s="226"/>
    </row>
    <row r="394" spans="8:20" x14ac:dyDescent="0.2">
      <c r="H394" s="173"/>
      <c r="R394" s="173"/>
      <c r="S394" s="182"/>
      <c r="T394" s="226"/>
    </row>
    <row r="395" spans="8:20" x14ac:dyDescent="0.2">
      <c r="H395" s="173"/>
      <c r="R395" s="173"/>
      <c r="S395" s="182"/>
      <c r="T395" s="226"/>
    </row>
    <row r="396" spans="8:20" x14ac:dyDescent="0.2">
      <c r="H396" s="173"/>
      <c r="R396" s="173"/>
      <c r="S396" s="182"/>
      <c r="T396" s="226"/>
    </row>
    <row r="397" spans="8:20" x14ac:dyDescent="0.2">
      <c r="H397" s="173"/>
      <c r="R397" s="173"/>
      <c r="S397" s="182"/>
      <c r="T397" s="226"/>
    </row>
    <row r="398" spans="8:20" x14ac:dyDescent="0.2">
      <c r="H398" s="173"/>
      <c r="R398" s="173"/>
      <c r="S398" s="182"/>
      <c r="T398" s="226"/>
    </row>
    <row r="399" spans="8:20" x14ac:dyDescent="0.2">
      <c r="H399" s="173"/>
      <c r="R399" s="173"/>
      <c r="S399" s="182"/>
      <c r="T399" s="226"/>
    </row>
    <row r="400" spans="8:20" x14ac:dyDescent="0.2">
      <c r="H400" s="173"/>
      <c r="R400" s="173"/>
      <c r="S400" s="182"/>
      <c r="T400" s="226"/>
    </row>
    <row r="401" spans="8:20" x14ac:dyDescent="0.2">
      <c r="H401" s="173"/>
      <c r="R401" s="173"/>
      <c r="S401" s="182"/>
      <c r="T401" s="226"/>
    </row>
    <row r="402" spans="8:20" x14ac:dyDescent="0.2">
      <c r="H402" s="173"/>
      <c r="R402" s="173"/>
      <c r="S402" s="182"/>
      <c r="T402" s="226"/>
    </row>
    <row r="403" spans="8:20" x14ac:dyDescent="0.2">
      <c r="H403" s="173"/>
      <c r="R403" s="173"/>
      <c r="S403" s="182"/>
      <c r="T403" s="226"/>
    </row>
    <row r="404" spans="8:20" x14ac:dyDescent="0.2">
      <c r="H404" s="173"/>
      <c r="R404" s="173"/>
      <c r="S404" s="182"/>
      <c r="T404" s="226"/>
    </row>
    <row r="405" spans="8:20" x14ac:dyDescent="0.2">
      <c r="H405" s="173"/>
      <c r="R405" s="173"/>
      <c r="S405" s="182"/>
      <c r="T405" s="226"/>
    </row>
    <row r="406" spans="8:20" x14ac:dyDescent="0.2">
      <c r="H406" s="173"/>
      <c r="R406" s="173"/>
      <c r="S406" s="182"/>
      <c r="T406" s="226"/>
    </row>
    <row r="407" spans="8:20" x14ac:dyDescent="0.2">
      <c r="H407" s="173"/>
      <c r="R407" s="173"/>
      <c r="S407" s="182"/>
      <c r="T407" s="226"/>
    </row>
    <row r="408" spans="8:20" x14ac:dyDescent="0.2">
      <c r="H408" s="173"/>
      <c r="R408" s="173"/>
      <c r="S408" s="182"/>
      <c r="T408" s="226"/>
    </row>
    <row r="409" spans="8:20" x14ac:dyDescent="0.2">
      <c r="H409" s="173"/>
      <c r="R409" s="173"/>
      <c r="S409" s="182"/>
      <c r="T409" s="226"/>
    </row>
    <row r="410" spans="8:20" x14ac:dyDescent="0.2">
      <c r="H410" s="173"/>
      <c r="R410" s="173"/>
      <c r="S410" s="182"/>
      <c r="T410" s="226"/>
    </row>
    <row r="411" spans="8:20" x14ac:dyDescent="0.2">
      <c r="H411" s="173"/>
      <c r="R411" s="173"/>
      <c r="S411" s="182"/>
      <c r="T411" s="226"/>
    </row>
    <row r="412" spans="8:20" x14ac:dyDescent="0.2">
      <c r="H412" s="173"/>
      <c r="R412" s="173"/>
      <c r="S412" s="182"/>
      <c r="T412" s="226"/>
    </row>
    <row r="413" spans="8:20" x14ac:dyDescent="0.2">
      <c r="H413" s="173"/>
      <c r="R413" s="173"/>
      <c r="S413" s="182"/>
      <c r="T413" s="226"/>
    </row>
    <row r="414" spans="8:20" x14ac:dyDescent="0.2">
      <c r="H414" s="173"/>
      <c r="R414" s="173"/>
      <c r="S414" s="182"/>
      <c r="T414" s="226"/>
    </row>
    <row r="415" spans="8:20" x14ac:dyDescent="0.2">
      <c r="H415" s="173"/>
      <c r="R415" s="173"/>
      <c r="S415" s="182"/>
      <c r="T415" s="226"/>
    </row>
    <row r="416" spans="8:20" x14ac:dyDescent="0.2">
      <c r="H416" s="173"/>
      <c r="R416" s="173"/>
      <c r="S416" s="182"/>
      <c r="T416" s="226"/>
    </row>
    <row r="417" spans="8:20" x14ac:dyDescent="0.2">
      <c r="H417" s="173"/>
      <c r="R417" s="173"/>
      <c r="S417" s="182"/>
      <c r="T417" s="226"/>
    </row>
    <row r="418" spans="8:20" x14ac:dyDescent="0.2">
      <c r="H418" s="173"/>
      <c r="R418" s="173"/>
      <c r="S418" s="182"/>
      <c r="T418" s="226"/>
    </row>
    <row r="419" spans="8:20" x14ac:dyDescent="0.2">
      <c r="H419" s="173"/>
      <c r="R419" s="173"/>
      <c r="S419" s="182"/>
      <c r="T419" s="226"/>
    </row>
    <row r="420" spans="8:20" x14ac:dyDescent="0.2">
      <c r="H420" s="173"/>
      <c r="R420" s="173"/>
      <c r="S420" s="182"/>
      <c r="T420" s="226"/>
    </row>
    <row r="421" spans="8:20" x14ac:dyDescent="0.2">
      <c r="H421" s="173"/>
      <c r="R421" s="173"/>
      <c r="S421" s="182"/>
      <c r="T421" s="226"/>
    </row>
    <row r="422" spans="8:20" x14ac:dyDescent="0.2">
      <c r="H422" s="173"/>
      <c r="R422" s="173"/>
      <c r="S422" s="182"/>
      <c r="T422" s="226"/>
    </row>
    <row r="423" spans="8:20" x14ac:dyDescent="0.2">
      <c r="H423" s="173"/>
      <c r="R423" s="173"/>
      <c r="S423" s="182"/>
      <c r="T423" s="226"/>
    </row>
    <row r="424" spans="8:20" x14ac:dyDescent="0.2">
      <c r="H424" s="173"/>
      <c r="R424" s="173"/>
      <c r="S424" s="182"/>
      <c r="T424" s="226"/>
    </row>
    <row r="425" spans="8:20" x14ac:dyDescent="0.2">
      <c r="H425" s="173"/>
      <c r="R425" s="173"/>
      <c r="S425" s="182"/>
      <c r="T425" s="226"/>
    </row>
    <row r="426" spans="8:20" x14ac:dyDescent="0.2">
      <c r="H426" s="173"/>
      <c r="R426" s="173"/>
      <c r="S426" s="182"/>
      <c r="T426" s="226"/>
    </row>
    <row r="427" spans="8:20" x14ac:dyDescent="0.2">
      <c r="H427" s="173"/>
      <c r="R427" s="173"/>
      <c r="S427" s="182"/>
      <c r="T427" s="226"/>
    </row>
    <row r="428" spans="8:20" x14ac:dyDescent="0.2">
      <c r="H428" s="173"/>
      <c r="R428" s="173"/>
      <c r="S428" s="182"/>
      <c r="T428" s="226"/>
    </row>
    <row r="429" spans="8:20" x14ac:dyDescent="0.2">
      <c r="H429" s="173"/>
      <c r="R429" s="173"/>
      <c r="S429" s="182"/>
      <c r="T429" s="226"/>
    </row>
    <row r="430" spans="8:20" x14ac:dyDescent="0.2">
      <c r="H430" s="173"/>
      <c r="R430" s="173"/>
      <c r="S430" s="182"/>
      <c r="T430" s="226"/>
    </row>
    <row r="431" spans="8:20" x14ac:dyDescent="0.2">
      <c r="H431" s="173"/>
      <c r="R431" s="173"/>
      <c r="S431" s="182"/>
      <c r="T431" s="226"/>
    </row>
    <row r="432" spans="8:20" x14ac:dyDescent="0.2">
      <c r="H432" s="173"/>
      <c r="R432" s="173"/>
      <c r="S432" s="182"/>
      <c r="T432" s="226"/>
    </row>
    <row r="433" spans="8:20" x14ac:dyDescent="0.2">
      <c r="H433" s="173"/>
      <c r="R433" s="173"/>
      <c r="S433" s="182"/>
      <c r="T433" s="226"/>
    </row>
    <row r="434" spans="8:20" x14ac:dyDescent="0.2">
      <c r="H434" s="173"/>
      <c r="R434" s="173"/>
      <c r="S434" s="182"/>
      <c r="T434" s="226"/>
    </row>
    <row r="435" spans="8:20" x14ac:dyDescent="0.2">
      <c r="H435" s="173"/>
      <c r="R435" s="173"/>
      <c r="S435" s="182"/>
      <c r="T435" s="226"/>
    </row>
    <row r="436" spans="8:20" x14ac:dyDescent="0.2">
      <c r="H436" s="173"/>
      <c r="R436" s="173"/>
      <c r="S436" s="182"/>
      <c r="T436" s="226"/>
    </row>
    <row r="437" spans="8:20" x14ac:dyDescent="0.2">
      <c r="H437" s="173"/>
      <c r="R437" s="173"/>
      <c r="S437" s="182"/>
      <c r="T437" s="226"/>
    </row>
    <row r="438" spans="8:20" x14ac:dyDescent="0.2">
      <c r="H438" s="173"/>
      <c r="R438" s="173"/>
      <c r="S438" s="182"/>
      <c r="T438" s="226"/>
    </row>
    <row r="439" spans="8:20" x14ac:dyDescent="0.2">
      <c r="H439" s="173"/>
      <c r="R439" s="173"/>
      <c r="S439" s="182"/>
      <c r="T439" s="226"/>
    </row>
    <row r="440" spans="8:20" x14ac:dyDescent="0.2">
      <c r="H440" s="173"/>
      <c r="R440" s="173"/>
      <c r="S440" s="182"/>
      <c r="T440" s="226"/>
    </row>
    <row r="441" spans="8:20" x14ac:dyDescent="0.2">
      <c r="H441" s="173"/>
      <c r="R441" s="173"/>
      <c r="S441" s="182"/>
      <c r="T441" s="226"/>
    </row>
    <row r="442" spans="8:20" x14ac:dyDescent="0.2">
      <c r="H442" s="173"/>
      <c r="R442" s="173"/>
      <c r="S442" s="182"/>
      <c r="T442" s="226"/>
    </row>
    <row r="443" spans="8:20" x14ac:dyDescent="0.2">
      <c r="H443" s="173"/>
      <c r="R443" s="173"/>
      <c r="S443" s="182"/>
      <c r="T443" s="226"/>
    </row>
    <row r="444" spans="8:20" x14ac:dyDescent="0.2">
      <c r="H444" s="173"/>
      <c r="R444" s="173"/>
      <c r="S444" s="182"/>
      <c r="T444" s="226"/>
    </row>
    <row r="445" spans="8:20" x14ac:dyDescent="0.2">
      <c r="H445" s="173"/>
      <c r="R445" s="173"/>
      <c r="S445" s="182"/>
      <c r="T445" s="226"/>
    </row>
    <row r="446" spans="8:20" x14ac:dyDescent="0.2">
      <c r="H446" s="173"/>
      <c r="R446" s="173"/>
      <c r="S446" s="182"/>
      <c r="T446" s="226"/>
    </row>
    <row r="447" spans="8:20" x14ac:dyDescent="0.2">
      <c r="H447" s="173"/>
      <c r="R447" s="173"/>
      <c r="S447" s="182"/>
      <c r="T447" s="226"/>
    </row>
    <row r="448" spans="8:20" x14ac:dyDescent="0.2">
      <c r="H448" s="173"/>
      <c r="R448" s="173"/>
      <c r="S448" s="182"/>
      <c r="T448" s="226"/>
    </row>
    <row r="449" spans="8:20" x14ac:dyDescent="0.2">
      <c r="H449" s="173"/>
      <c r="R449" s="173"/>
      <c r="S449" s="182"/>
      <c r="T449" s="226"/>
    </row>
    <row r="450" spans="8:20" x14ac:dyDescent="0.2">
      <c r="H450" s="173"/>
      <c r="R450" s="173"/>
      <c r="S450" s="182"/>
      <c r="T450" s="226"/>
    </row>
    <row r="451" spans="8:20" x14ac:dyDescent="0.2">
      <c r="H451" s="173"/>
      <c r="R451" s="173"/>
      <c r="S451" s="182"/>
      <c r="T451" s="226"/>
    </row>
    <row r="452" spans="8:20" x14ac:dyDescent="0.2">
      <c r="H452" s="173"/>
      <c r="R452" s="173"/>
      <c r="S452" s="182"/>
      <c r="T452" s="226"/>
    </row>
    <row r="453" spans="8:20" x14ac:dyDescent="0.2">
      <c r="H453" s="173"/>
      <c r="R453" s="173"/>
      <c r="S453" s="182"/>
      <c r="T453" s="226"/>
    </row>
    <row r="454" spans="8:20" x14ac:dyDescent="0.2">
      <c r="H454" s="173"/>
      <c r="R454" s="173"/>
      <c r="S454" s="182"/>
      <c r="T454" s="226"/>
    </row>
    <row r="455" spans="8:20" x14ac:dyDescent="0.2">
      <c r="H455" s="173"/>
      <c r="R455" s="173"/>
      <c r="S455" s="182"/>
      <c r="T455" s="226"/>
    </row>
    <row r="456" spans="8:20" x14ac:dyDescent="0.2">
      <c r="H456" s="173"/>
      <c r="R456" s="173"/>
      <c r="S456" s="182"/>
      <c r="T456" s="226"/>
    </row>
    <row r="457" spans="8:20" x14ac:dyDescent="0.2">
      <c r="H457" s="173"/>
      <c r="R457" s="173"/>
      <c r="S457" s="182"/>
      <c r="T457" s="226"/>
    </row>
    <row r="458" spans="8:20" x14ac:dyDescent="0.2">
      <c r="H458" s="173"/>
      <c r="R458" s="173"/>
      <c r="S458" s="182"/>
      <c r="T458" s="226"/>
    </row>
    <row r="459" spans="8:20" x14ac:dyDescent="0.2">
      <c r="H459" s="173"/>
      <c r="R459" s="173"/>
      <c r="S459" s="182"/>
      <c r="T459" s="226"/>
    </row>
    <row r="460" spans="8:20" x14ac:dyDescent="0.2">
      <c r="H460" s="173"/>
      <c r="R460" s="173"/>
      <c r="S460" s="182"/>
      <c r="T460" s="226"/>
    </row>
    <row r="461" spans="8:20" x14ac:dyDescent="0.2">
      <c r="H461" s="173"/>
      <c r="R461" s="173"/>
      <c r="S461" s="182"/>
      <c r="T461" s="226"/>
    </row>
    <row r="462" spans="8:20" x14ac:dyDescent="0.2">
      <c r="H462" s="173"/>
      <c r="R462" s="173"/>
      <c r="S462" s="182"/>
      <c r="T462" s="226"/>
    </row>
    <row r="463" spans="8:20" x14ac:dyDescent="0.2">
      <c r="H463" s="173"/>
      <c r="R463" s="173"/>
      <c r="S463" s="182"/>
      <c r="T463" s="226"/>
    </row>
    <row r="464" spans="8:20" x14ac:dyDescent="0.2">
      <c r="H464" s="173"/>
      <c r="R464" s="173"/>
      <c r="S464" s="182"/>
      <c r="T464" s="226"/>
    </row>
    <row r="465" spans="8:20" x14ac:dyDescent="0.2">
      <c r="H465" s="173"/>
      <c r="R465" s="173"/>
      <c r="S465" s="182"/>
      <c r="T465" s="226"/>
    </row>
    <row r="466" spans="8:20" x14ac:dyDescent="0.2">
      <c r="H466" s="173"/>
      <c r="R466" s="173"/>
      <c r="S466" s="182"/>
      <c r="T466" s="226"/>
    </row>
    <row r="467" spans="8:20" x14ac:dyDescent="0.2">
      <c r="H467" s="173"/>
      <c r="R467" s="173"/>
      <c r="S467" s="182"/>
      <c r="T467" s="226"/>
    </row>
    <row r="468" spans="8:20" x14ac:dyDescent="0.2">
      <c r="H468" s="173"/>
      <c r="R468" s="173"/>
      <c r="S468" s="182"/>
      <c r="T468" s="226"/>
    </row>
    <row r="469" spans="8:20" x14ac:dyDescent="0.2">
      <c r="H469" s="173"/>
      <c r="R469" s="173"/>
      <c r="S469" s="182"/>
      <c r="T469" s="226"/>
    </row>
    <row r="470" spans="8:20" x14ac:dyDescent="0.2">
      <c r="H470" s="173"/>
      <c r="R470" s="173"/>
      <c r="S470" s="182"/>
      <c r="T470" s="226"/>
    </row>
    <row r="471" spans="8:20" x14ac:dyDescent="0.2">
      <c r="H471" s="173"/>
      <c r="R471" s="173"/>
      <c r="S471" s="182"/>
      <c r="T471" s="226"/>
    </row>
    <row r="472" spans="8:20" x14ac:dyDescent="0.2">
      <c r="H472" s="173"/>
      <c r="R472" s="173"/>
      <c r="S472" s="182"/>
      <c r="T472" s="226"/>
    </row>
    <row r="473" spans="8:20" x14ac:dyDescent="0.2">
      <c r="H473" s="173"/>
      <c r="R473" s="173"/>
      <c r="S473" s="182"/>
      <c r="T473" s="226"/>
    </row>
    <row r="474" spans="8:20" x14ac:dyDescent="0.2">
      <c r="H474" s="173"/>
      <c r="R474" s="173"/>
      <c r="S474" s="182"/>
      <c r="T474" s="226"/>
    </row>
    <row r="475" spans="8:20" x14ac:dyDescent="0.2">
      <c r="H475" s="173"/>
      <c r="R475" s="173"/>
      <c r="S475" s="182"/>
      <c r="T475" s="226"/>
    </row>
    <row r="476" spans="8:20" x14ac:dyDescent="0.2">
      <c r="H476" s="173"/>
      <c r="R476" s="173"/>
      <c r="S476" s="182"/>
      <c r="T476" s="226"/>
    </row>
    <row r="477" spans="8:20" x14ac:dyDescent="0.2">
      <c r="H477" s="173"/>
      <c r="R477" s="173"/>
      <c r="S477" s="182"/>
      <c r="T477" s="226"/>
    </row>
    <row r="478" spans="8:20" x14ac:dyDescent="0.2">
      <c r="H478" s="173"/>
      <c r="R478" s="173"/>
      <c r="S478" s="182"/>
      <c r="T478" s="226"/>
    </row>
    <row r="479" spans="8:20" x14ac:dyDescent="0.2">
      <c r="H479" s="173"/>
      <c r="R479" s="173"/>
      <c r="S479" s="182"/>
      <c r="T479" s="226"/>
    </row>
    <row r="480" spans="8:20" x14ac:dyDescent="0.2">
      <c r="H480" s="173"/>
      <c r="R480" s="173"/>
      <c r="S480" s="182"/>
      <c r="T480" s="226"/>
    </row>
    <row r="481" spans="8:20" x14ac:dyDescent="0.2">
      <c r="H481" s="173"/>
      <c r="R481" s="173"/>
      <c r="S481" s="182"/>
      <c r="T481" s="226"/>
    </row>
    <row r="482" spans="8:20" x14ac:dyDescent="0.2">
      <c r="H482" s="173"/>
      <c r="R482" s="173"/>
      <c r="S482" s="182"/>
      <c r="T482" s="226"/>
    </row>
    <row r="483" spans="8:20" x14ac:dyDescent="0.2">
      <c r="H483" s="173"/>
      <c r="R483" s="173"/>
      <c r="S483" s="182"/>
      <c r="T483" s="226"/>
    </row>
    <row r="484" spans="8:20" x14ac:dyDescent="0.2">
      <c r="H484" s="173"/>
      <c r="R484" s="173"/>
      <c r="S484" s="182"/>
      <c r="T484" s="226"/>
    </row>
    <row r="485" spans="8:20" x14ac:dyDescent="0.2">
      <c r="H485" s="173"/>
      <c r="R485" s="173"/>
      <c r="S485" s="182"/>
      <c r="T485" s="226"/>
    </row>
    <row r="486" spans="8:20" x14ac:dyDescent="0.2">
      <c r="H486" s="173"/>
      <c r="R486" s="173"/>
      <c r="S486" s="182"/>
      <c r="T486" s="226"/>
    </row>
    <row r="487" spans="8:20" x14ac:dyDescent="0.2">
      <c r="H487" s="173"/>
      <c r="R487" s="173"/>
      <c r="S487" s="182"/>
      <c r="T487" s="226"/>
    </row>
    <row r="488" spans="8:20" x14ac:dyDescent="0.2">
      <c r="H488" s="173"/>
      <c r="R488" s="173"/>
      <c r="S488" s="182"/>
      <c r="T488" s="226"/>
    </row>
    <row r="489" spans="8:20" x14ac:dyDescent="0.2">
      <c r="H489" s="173"/>
      <c r="R489" s="173"/>
      <c r="S489" s="182"/>
      <c r="T489" s="226"/>
    </row>
    <row r="490" spans="8:20" x14ac:dyDescent="0.2">
      <c r="H490" s="173"/>
      <c r="R490" s="173"/>
      <c r="S490" s="182"/>
      <c r="T490" s="226"/>
    </row>
    <row r="491" spans="8:20" x14ac:dyDescent="0.2">
      <c r="H491" s="173"/>
      <c r="R491" s="173"/>
      <c r="S491" s="182"/>
      <c r="T491" s="226"/>
    </row>
    <row r="492" spans="8:20" x14ac:dyDescent="0.2">
      <c r="H492" s="173"/>
      <c r="R492" s="173"/>
      <c r="S492" s="182"/>
      <c r="T492" s="226"/>
    </row>
    <row r="493" spans="8:20" x14ac:dyDescent="0.2">
      <c r="H493" s="173"/>
      <c r="R493" s="173"/>
      <c r="S493" s="182"/>
      <c r="T493" s="226"/>
    </row>
    <row r="494" spans="8:20" x14ac:dyDescent="0.2">
      <c r="H494" s="173"/>
      <c r="R494" s="173"/>
      <c r="S494" s="182"/>
      <c r="T494" s="226"/>
    </row>
    <row r="495" spans="8:20" x14ac:dyDescent="0.2">
      <c r="H495" s="173"/>
      <c r="R495" s="173"/>
      <c r="S495" s="182"/>
      <c r="T495" s="226"/>
    </row>
    <row r="496" spans="8:20" x14ac:dyDescent="0.2">
      <c r="H496" s="173"/>
      <c r="R496" s="173"/>
      <c r="S496" s="182"/>
      <c r="T496" s="226"/>
    </row>
    <row r="497" spans="8:20" x14ac:dyDescent="0.2">
      <c r="H497" s="173"/>
      <c r="R497" s="173"/>
      <c r="S497" s="182"/>
      <c r="T497" s="226"/>
    </row>
    <row r="498" spans="8:20" x14ac:dyDescent="0.2">
      <c r="H498" s="173"/>
      <c r="R498" s="173"/>
      <c r="S498" s="182"/>
      <c r="T498" s="226"/>
    </row>
    <row r="499" spans="8:20" x14ac:dyDescent="0.2">
      <c r="H499" s="173"/>
      <c r="R499" s="173"/>
      <c r="S499" s="182"/>
      <c r="T499" s="226"/>
    </row>
    <row r="500" spans="8:20" x14ac:dyDescent="0.2">
      <c r="H500" s="173"/>
      <c r="R500" s="173"/>
      <c r="S500" s="182"/>
      <c r="T500" s="226"/>
    </row>
    <row r="501" spans="8:20" x14ac:dyDescent="0.2">
      <c r="H501" s="173"/>
      <c r="R501" s="173"/>
      <c r="S501" s="182"/>
      <c r="T501" s="226"/>
    </row>
    <row r="502" spans="8:20" x14ac:dyDescent="0.2">
      <c r="H502" s="173"/>
      <c r="R502" s="173"/>
      <c r="S502" s="182"/>
      <c r="T502" s="226"/>
    </row>
    <row r="503" spans="8:20" x14ac:dyDescent="0.2">
      <c r="H503" s="173"/>
      <c r="R503" s="173"/>
      <c r="S503" s="182"/>
      <c r="T503" s="226"/>
    </row>
    <row r="504" spans="8:20" x14ac:dyDescent="0.2">
      <c r="H504" s="173"/>
      <c r="R504" s="173"/>
      <c r="S504" s="182"/>
      <c r="T504" s="226"/>
    </row>
    <row r="505" spans="8:20" x14ac:dyDescent="0.2">
      <c r="H505" s="173"/>
      <c r="R505" s="173"/>
      <c r="S505" s="182"/>
      <c r="T505" s="226"/>
    </row>
    <row r="506" spans="8:20" x14ac:dyDescent="0.2">
      <c r="H506" s="173"/>
      <c r="R506" s="173"/>
      <c r="S506" s="182"/>
      <c r="T506" s="226"/>
    </row>
    <row r="507" spans="8:20" x14ac:dyDescent="0.2">
      <c r="H507" s="173"/>
      <c r="R507" s="173"/>
      <c r="S507" s="182"/>
      <c r="T507" s="226"/>
    </row>
    <row r="508" spans="8:20" x14ac:dyDescent="0.2">
      <c r="H508" s="173"/>
      <c r="R508" s="173"/>
      <c r="S508" s="182"/>
      <c r="T508" s="226"/>
    </row>
    <row r="509" spans="8:20" x14ac:dyDescent="0.2">
      <c r="H509" s="173"/>
      <c r="R509" s="173"/>
      <c r="S509" s="182"/>
      <c r="T509" s="226"/>
    </row>
    <row r="510" spans="8:20" x14ac:dyDescent="0.2">
      <c r="H510" s="173"/>
      <c r="R510" s="173"/>
      <c r="S510" s="182"/>
      <c r="T510" s="226"/>
    </row>
    <row r="511" spans="8:20" x14ac:dyDescent="0.2">
      <c r="H511" s="173"/>
      <c r="R511" s="173"/>
      <c r="S511" s="182"/>
      <c r="T511" s="226"/>
    </row>
    <row r="512" spans="8:20" x14ac:dyDescent="0.2">
      <c r="H512" s="173"/>
      <c r="R512" s="173"/>
      <c r="S512" s="182"/>
      <c r="T512" s="226"/>
    </row>
    <row r="513" spans="8:20" x14ac:dyDescent="0.2">
      <c r="H513" s="173"/>
      <c r="R513" s="173"/>
      <c r="S513" s="182"/>
      <c r="T513" s="226"/>
    </row>
    <row r="514" spans="8:20" x14ac:dyDescent="0.2">
      <c r="H514" s="173"/>
      <c r="R514" s="173"/>
      <c r="S514" s="182"/>
      <c r="T514" s="226"/>
    </row>
    <row r="515" spans="8:20" x14ac:dyDescent="0.2">
      <c r="H515" s="173"/>
      <c r="R515" s="173"/>
      <c r="S515" s="182"/>
      <c r="T515" s="226"/>
    </row>
    <row r="516" spans="8:20" x14ac:dyDescent="0.2">
      <c r="H516" s="173"/>
      <c r="R516" s="173"/>
      <c r="S516" s="182"/>
      <c r="T516" s="226"/>
    </row>
    <row r="517" spans="8:20" x14ac:dyDescent="0.2">
      <c r="H517" s="173"/>
      <c r="R517" s="173"/>
      <c r="S517" s="182"/>
      <c r="T517" s="226"/>
    </row>
    <row r="518" spans="8:20" x14ac:dyDescent="0.2">
      <c r="H518" s="173"/>
      <c r="R518" s="173"/>
      <c r="S518" s="182"/>
      <c r="T518" s="226"/>
    </row>
    <row r="519" spans="8:20" x14ac:dyDescent="0.2">
      <c r="H519" s="173"/>
      <c r="R519" s="173"/>
      <c r="S519" s="182"/>
      <c r="T519" s="226"/>
    </row>
    <row r="520" spans="8:20" x14ac:dyDescent="0.2">
      <c r="H520" s="173"/>
      <c r="R520" s="173"/>
      <c r="S520" s="182"/>
      <c r="T520" s="226"/>
    </row>
    <row r="521" spans="8:20" x14ac:dyDescent="0.2">
      <c r="H521" s="173"/>
      <c r="R521" s="173"/>
      <c r="S521" s="182"/>
      <c r="T521" s="226"/>
    </row>
    <row r="522" spans="8:20" x14ac:dyDescent="0.2">
      <c r="H522" s="173"/>
      <c r="R522" s="173"/>
      <c r="S522" s="182"/>
      <c r="T522" s="226"/>
    </row>
    <row r="523" spans="8:20" x14ac:dyDescent="0.2">
      <c r="H523" s="173"/>
      <c r="R523" s="173"/>
      <c r="S523" s="182"/>
      <c r="T523" s="226"/>
    </row>
    <row r="524" spans="8:20" x14ac:dyDescent="0.2">
      <c r="H524" s="173"/>
      <c r="R524" s="173"/>
      <c r="S524" s="182"/>
      <c r="T524" s="226"/>
    </row>
    <row r="525" spans="8:20" x14ac:dyDescent="0.2">
      <c r="H525" s="173"/>
      <c r="R525" s="173"/>
      <c r="S525" s="182"/>
      <c r="T525" s="226"/>
    </row>
    <row r="526" spans="8:20" x14ac:dyDescent="0.2">
      <c r="H526" s="173"/>
      <c r="R526" s="173"/>
      <c r="S526" s="182"/>
      <c r="T526" s="226"/>
    </row>
    <row r="527" spans="8:20" x14ac:dyDescent="0.2">
      <c r="H527" s="173"/>
      <c r="R527" s="173"/>
      <c r="S527" s="182"/>
      <c r="T527" s="226"/>
    </row>
    <row r="528" spans="8:20" x14ac:dyDescent="0.2">
      <c r="H528" s="173"/>
      <c r="R528" s="173"/>
      <c r="S528" s="182"/>
      <c r="T528" s="226"/>
    </row>
    <row r="529" spans="8:20" x14ac:dyDescent="0.2">
      <c r="H529" s="173"/>
      <c r="R529" s="173"/>
      <c r="S529" s="182"/>
      <c r="T529" s="226"/>
    </row>
    <row r="530" spans="8:20" x14ac:dyDescent="0.2">
      <c r="H530" s="173"/>
      <c r="R530" s="173"/>
      <c r="S530" s="182"/>
      <c r="T530" s="226"/>
    </row>
    <row r="531" spans="8:20" x14ac:dyDescent="0.2">
      <c r="H531" s="173"/>
      <c r="R531" s="173"/>
      <c r="S531" s="182"/>
      <c r="T531" s="226"/>
    </row>
    <row r="532" spans="8:20" x14ac:dyDescent="0.2">
      <c r="H532" s="173"/>
      <c r="R532" s="173"/>
      <c r="S532" s="182"/>
      <c r="T532" s="226"/>
    </row>
    <row r="533" spans="8:20" x14ac:dyDescent="0.2">
      <c r="H533" s="173"/>
      <c r="R533" s="173"/>
      <c r="S533" s="182"/>
      <c r="T533" s="226"/>
    </row>
    <row r="534" spans="8:20" x14ac:dyDescent="0.2">
      <c r="H534" s="173"/>
      <c r="R534" s="173"/>
      <c r="S534" s="182"/>
      <c r="T534" s="226"/>
    </row>
    <row r="535" spans="8:20" x14ac:dyDescent="0.2">
      <c r="H535" s="173"/>
      <c r="R535" s="173"/>
      <c r="S535" s="182"/>
      <c r="T535" s="226"/>
    </row>
    <row r="536" spans="8:20" x14ac:dyDescent="0.2">
      <c r="H536" s="173"/>
      <c r="R536" s="173"/>
      <c r="S536" s="182"/>
      <c r="T536" s="226"/>
    </row>
    <row r="537" spans="8:20" x14ac:dyDescent="0.2">
      <c r="H537" s="173"/>
      <c r="R537" s="173"/>
      <c r="S537" s="182"/>
      <c r="T537" s="226"/>
    </row>
    <row r="538" spans="8:20" x14ac:dyDescent="0.2">
      <c r="H538" s="173"/>
      <c r="R538" s="173"/>
      <c r="S538" s="182"/>
      <c r="T538" s="226"/>
    </row>
    <row r="539" spans="8:20" x14ac:dyDescent="0.2">
      <c r="H539" s="173"/>
      <c r="R539" s="173"/>
      <c r="S539" s="182"/>
      <c r="T539" s="226"/>
    </row>
    <row r="540" spans="8:20" x14ac:dyDescent="0.2">
      <c r="H540" s="173"/>
      <c r="R540" s="173"/>
      <c r="S540" s="182"/>
      <c r="T540" s="226"/>
    </row>
    <row r="541" spans="8:20" x14ac:dyDescent="0.2">
      <c r="H541" s="173"/>
      <c r="R541" s="173"/>
      <c r="S541" s="182"/>
      <c r="T541" s="226"/>
    </row>
    <row r="542" spans="8:20" x14ac:dyDescent="0.2">
      <c r="H542" s="173"/>
      <c r="R542" s="173"/>
      <c r="S542" s="182"/>
      <c r="T542" s="226"/>
    </row>
    <row r="543" spans="8:20" x14ac:dyDescent="0.2">
      <c r="H543" s="173"/>
      <c r="R543" s="173"/>
      <c r="S543" s="182"/>
      <c r="T543" s="226"/>
    </row>
    <row r="544" spans="8:20" x14ac:dyDescent="0.2">
      <c r="H544" s="173"/>
      <c r="R544" s="173"/>
      <c r="S544" s="182"/>
      <c r="T544" s="226"/>
    </row>
    <row r="545" spans="8:20" x14ac:dyDescent="0.2">
      <c r="H545" s="173"/>
      <c r="R545" s="173"/>
      <c r="S545" s="182"/>
      <c r="T545" s="226"/>
    </row>
    <row r="546" spans="8:20" x14ac:dyDescent="0.2">
      <c r="H546" s="173"/>
      <c r="R546" s="173"/>
      <c r="S546" s="182"/>
      <c r="T546" s="226"/>
    </row>
    <row r="547" spans="8:20" x14ac:dyDescent="0.2">
      <c r="H547" s="173"/>
      <c r="R547" s="173"/>
      <c r="S547" s="182"/>
      <c r="T547" s="226"/>
    </row>
    <row r="548" spans="8:20" x14ac:dyDescent="0.2">
      <c r="H548" s="173"/>
      <c r="R548" s="173"/>
      <c r="S548" s="182"/>
      <c r="T548" s="226"/>
    </row>
    <row r="549" spans="8:20" x14ac:dyDescent="0.2">
      <c r="H549" s="173"/>
      <c r="R549" s="173"/>
      <c r="S549" s="182"/>
      <c r="T549" s="226"/>
    </row>
    <row r="550" spans="8:20" x14ac:dyDescent="0.2">
      <c r="H550" s="173"/>
      <c r="R550" s="173"/>
      <c r="S550" s="182"/>
      <c r="T550" s="226"/>
    </row>
    <row r="551" spans="8:20" x14ac:dyDescent="0.2">
      <c r="H551" s="173"/>
      <c r="R551" s="173"/>
      <c r="S551" s="182"/>
      <c r="T551" s="226"/>
    </row>
    <row r="552" spans="8:20" x14ac:dyDescent="0.2">
      <c r="H552" s="173"/>
      <c r="R552" s="173"/>
      <c r="S552" s="182"/>
      <c r="T552" s="226"/>
    </row>
    <row r="553" spans="8:20" x14ac:dyDescent="0.2">
      <c r="H553" s="173"/>
      <c r="R553" s="173"/>
      <c r="S553" s="182"/>
      <c r="T553" s="226"/>
    </row>
    <row r="554" spans="8:20" x14ac:dyDescent="0.2">
      <c r="H554" s="173"/>
      <c r="R554" s="173"/>
      <c r="S554" s="182"/>
      <c r="T554" s="226"/>
    </row>
    <row r="555" spans="8:20" x14ac:dyDescent="0.2">
      <c r="H555" s="173"/>
      <c r="R555" s="173"/>
      <c r="S555" s="182"/>
      <c r="T555" s="226"/>
    </row>
    <row r="556" spans="8:20" x14ac:dyDescent="0.2">
      <c r="H556" s="173"/>
      <c r="R556" s="173"/>
      <c r="S556" s="182"/>
      <c r="T556" s="226"/>
    </row>
    <row r="557" spans="8:20" x14ac:dyDescent="0.2">
      <c r="H557" s="173"/>
      <c r="R557" s="173"/>
      <c r="S557" s="182"/>
      <c r="T557" s="226"/>
    </row>
    <row r="558" spans="8:20" x14ac:dyDescent="0.2">
      <c r="H558" s="173"/>
      <c r="R558" s="173"/>
      <c r="S558" s="182"/>
      <c r="T558" s="226"/>
    </row>
    <row r="559" spans="8:20" x14ac:dyDescent="0.2">
      <c r="H559" s="173"/>
      <c r="R559" s="173"/>
      <c r="S559" s="182"/>
      <c r="T559" s="226"/>
    </row>
    <row r="560" spans="8:20" x14ac:dyDescent="0.2">
      <c r="H560" s="173"/>
      <c r="R560" s="173"/>
      <c r="S560" s="182"/>
      <c r="T560" s="226"/>
    </row>
    <row r="561" spans="8:20" x14ac:dyDescent="0.2">
      <c r="H561" s="173"/>
      <c r="R561" s="173"/>
      <c r="S561" s="182"/>
      <c r="T561" s="226"/>
    </row>
    <row r="562" spans="8:20" x14ac:dyDescent="0.2">
      <c r="H562" s="173"/>
      <c r="R562" s="173"/>
      <c r="S562" s="182"/>
      <c r="T562" s="226"/>
    </row>
    <row r="563" spans="8:20" x14ac:dyDescent="0.2">
      <c r="H563" s="173"/>
      <c r="R563" s="173"/>
      <c r="S563" s="182"/>
      <c r="T563" s="226"/>
    </row>
    <row r="564" spans="8:20" x14ac:dyDescent="0.2">
      <c r="H564" s="173"/>
      <c r="R564" s="173"/>
      <c r="S564" s="182"/>
      <c r="T564" s="226"/>
    </row>
    <row r="565" spans="8:20" x14ac:dyDescent="0.2">
      <c r="H565" s="173"/>
      <c r="R565" s="173"/>
      <c r="S565" s="182"/>
      <c r="T565" s="226"/>
    </row>
    <row r="566" spans="8:20" x14ac:dyDescent="0.2">
      <c r="H566" s="173"/>
      <c r="R566" s="173"/>
      <c r="S566" s="182"/>
      <c r="T566" s="226"/>
    </row>
    <row r="567" spans="8:20" x14ac:dyDescent="0.2">
      <c r="H567" s="173"/>
      <c r="R567" s="173"/>
      <c r="S567" s="182"/>
      <c r="T567" s="226"/>
    </row>
    <row r="568" spans="8:20" x14ac:dyDescent="0.2">
      <c r="H568" s="173"/>
      <c r="R568" s="173"/>
      <c r="S568" s="182"/>
      <c r="T568" s="226"/>
    </row>
    <row r="569" spans="8:20" x14ac:dyDescent="0.2">
      <c r="H569" s="173"/>
      <c r="R569" s="173"/>
      <c r="S569" s="182"/>
      <c r="T569" s="226"/>
    </row>
    <row r="570" spans="8:20" x14ac:dyDescent="0.2">
      <c r="H570" s="173"/>
      <c r="R570" s="173"/>
      <c r="S570" s="182"/>
      <c r="T570" s="226"/>
    </row>
    <row r="571" spans="8:20" x14ac:dyDescent="0.2">
      <c r="H571" s="173"/>
      <c r="R571" s="173"/>
      <c r="S571" s="182"/>
      <c r="T571" s="226"/>
    </row>
    <row r="572" spans="8:20" x14ac:dyDescent="0.2">
      <c r="H572" s="173"/>
      <c r="R572" s="173"/>
      <c r="S572" s="182"/>
      <c r="T572" s="226"/>
    </row>
    <row r="573" spans="8:20" x14ac:dyDescent="0.2">
      <c r="H573" s="173"/>
      <c r="R573" s="173"/>
      <c r="S573" s="182"/>
      <c r="T573" s="226"/>
    </row>
    <row r="574" spans="8:20" x14ac:dyDescent="0.2">
      <c r="H574" s="173"/>
      <c r="R574" s="173"/>
      <c r="S574" s="182"/>
      <c r="T574" s="226"/>
    </row>
    <row r="575" spans="8:20" x14ac:dyDescent="0.2">
      <c r="H575" s="173"/>
      <c r="R575" s="173"/>
      <c r="S575" s="182"/>
      <c r="T575" s="226"/>
    </row>
    <row r="576" spans="8:20" x14ac:dyDescent="0.2">
      <c r="H576" s="173"/>
      <c r="R576" s="173"/>
      <c r="S576" s="182"/>
      <c r="T576" s="226"/>
    </row>
    <row r="577" spans="8:20" x14ac:dyDescent="0.2">
      <c r="H577" s="173"/>
      <c r="R577" s="173"/>
      <c r="S577" s="182"/>
      <c r="T577" s="226"/>
    </row>
    <row r="578" spans="8:20" x14ac:dyDescent="0.2">
      <c r="H578" s="173"/>
      <c r="R578" s="173"/>
      <c r="S578" s="182"/>
      <c r="T578" s="226"/>
    </row>
    <row r="579" spans="8:20" x14ac:dyDescent="0.2">
      <c r="H579" s="173"/>
      <c r="R579" s="173"/>
      <c r="S579" s="182"/>
      <c r="T579" s="226"/>
    </row>
    <row r="580" spans="8:20" x14ac:dyDescent="0.2">
      <c r="H580" s="173"/>
      <c r="R580" s="173"/>
      <c r="S580" s="182"/>
      <c r="T580" s="226"/>
    </row>
    <row r="581" spans="8:20" x14ac:dyDescent="0.2">
      <c r="H581" s="173"/>
      <c r="R581" s="173"/>
      <c r="S581" s="182"/>
      <c r="T581" s="226"/>
    </row>
    <row r="582" spans="8:20" x14ac:dyDescent="0.2">
      <c r="H582" s="173"/>
      <c r="R582" s="173"/>
      <c r="S582" s="182"/>
      <c r="T582" s="226"/>
    </row>
    <row r="583" spans="8:20" x14ac:dyDescent="0.2">
      <c r="H583" s="173"/>
      <c r="R583" s="173"/>
      <c r="S583" s="182"/>
      <c r="T583" s="226"/>
    </row>
    <row r="584" spans="8:20" x14ac:dyDescent="0.2">
      <c r="H584" s="173"/>
      <c r="R584" s="173"/>
      <c r="S584" s="182"/>
      <c r="T584" s="226"/>
    </row>
    <row r="585" spans="8:20" x14ac:dyDescent="0.2">
      <c r="H585" s="173"/>
      <c r="R585" s="173"/>
      <c r="S585" s="182"/>
      <c r="T585" s="226"/>
    </row>
    <row r="586" spans="8:20" x14ac:dyDescent="0.2">
      <c r="H586" s="173"/>
      <c r="R586" s="173"/>
      <c r="S586" s="182"/>
      <c r="T586" s="226"/>
    </row>
    <row r="587" spans="8:20" x14ac:dyDescent="0.2">
      <c r="H587" s="173"/>
      <c r="R587" s="173"/>
      <c r="S587" s="182"/>
      <c r="T587" s="226"/>
    </row>
    <row r="588" spans="8:20" x14ac:dyDescent="0.2">
      <c r="H588" s="173"/>
      <c r="R588" s="173"/>
      <c r="S588" s="182"/>
      <c r="T588" s="226"/>
    </row>
    <row r="589" spans="8:20" x14ac:dyDescent="0.2">
      <c r="H589" s="173"/>
      <c r="R589" s="173"/>
      <c r="S589" s="182"/>
      <c r="T589" s="226"/>
    </row>
    <row r="590" spans="8:20" x14ac:dyDescent="0.2">
      <c r="H590" s="173"/>
      <c r="R590" s="173"/>
      <c r="S590" s="182"/>
      <c r="T590" s="226"/>
    </row>
    <row r="591" spans="8:20" x14ac:dyDescent="0.2">
      <c r="H591" s="173"/>
      <c r="R591" s="173"/>
      <c r="S591" s="182"/>
      <c r="T591" s="226"/>
    </row>
    <row r="592" spans="8:20" x14ac:dyDescent="0.2">
      <c r="H592" s="173"/>
      <c r="R592" s="173"/>
      <c r="S592" s="182"/>
      <c r="T592" s="226"/>
    </row>
    <row r="593" spans="8:20" x14ac:dyDescent="0.2">
      <c r="H593" s="173"/>
      <c r="R593" s="173"/>
      <c r="S593" s="182"/>
      <c r="T593" s="226"/>
    </row>
    <row r="594" spans="8:20" x14ac:dyDescent="0.2">
      <c r="H594" s="173"/>
      <c r="R594" s="173"/>
      <c r="S594" s="182"/>
      <c r="T594" s="226"/>
    </row>
    <row r="595" spans="8:20" x14ac:dyDescent="0.2">
      <c r="H595" s="173"/>
      <c r="R595" s="173"/>
      <c r="S595" s="182"/>
      <c r="T595" s="226"/>
    </row>
    <row r="596" spans="8:20" x14ac:dyDescent="0.2">
      <c r="H596" s="173"/>
      <c r="R596" s="173"/>
      <c r="S596" s="182"/>
      <c r="T596" s="226"/>
    </row>
    <row r="597" spans="8:20" x14ac:dyDescent="0.2">
      <c r="H597" s="173"/>
      <c r="R597" s="173"/>
      <c r="S597" s="182"/>
      <c r="T597" s="226"/>
    </row>
    <row r="598" spans="8:20" x14ac:dyDescent="0.2">
      <c r="H598" s="173"/>
      <c r="R598" s="173"/>
      <c r="S598" s="182"/>
      <c r="T598" s="226"/>
    </row>
    <row r="599" spans="8:20" x14ac:dyDescent="0.2">
      <c r="H599" s="173"/>
      <c r="R599" s="173"/>
      <c r="S599" s="182"/>
      <c r="T599" s="226"/>
    </row>
    <row r="600" spans="8:20" x14ac:dyDescent="0.2">
      <c r="H600" s="173"/>
      <c r="R600" s="173"/>
      <c r="S600" s="182"/>
      <c r="T600" s="226"/>
    </row>
    <row r="601" spans="8:20" x14ac:dyDescent="0.2">
      <c r="H601" s="173"/>
      <c r="R601" s="173"/>
      <c r="S601" s="182"/>
      <c r="T601" s="226"/>
    </row>
    <row r="602" spans="8:20" x14ac:dyDescent="0.2">
      <c r="H602" s="173"/>
      <c r="R602" s="173"/>
      <c r="S602" s="182"/>
      <c r="T602" s="226"/>
    </row>
    <row r="603" spans="8:20" x14ac:dyDescent="0.2">
      <c r="H603" s="173"/>
      <c r="R603" s="173"/>
      <c r="S603" s="182"/>
      <c r="T603" s="226"/>
    </row>
    <row r="604" spans="8:20" x14ac:dyDescent="0.2">
      <c r="H604" s="173"/>
      <c r="R604" s="173"/>
      <c r="S604" s="182"/>
      <c r="T604" s="226"/>
    </row>
    <row r="605" spans="8:20" x14ac:dyDescent="0.2">
      <c r="H605" s="173"/>
      <c r="R605" s="173"/>
      <c r="S605" s="182"/>
      <c r="T605" s="226"/>
    </row>
    <row r="606" spans="8:20" x14ac:dyDescent="0.2">
      <c r="H606" s="173"/>
      <c r="R606" s="173"/>
      <c r="S606" s="182"/>
      <c r="T606" s="226"/>
    </row>
    <row r="607" spans="8:20" x14ac:dyDescent="0.2">
      <c r="H607" s="173"/>
      <c r="R607" s="173"/>
      <c r="S607" s="182"/>
      <c r="T607" s="226"/>
    </row>
    <row r="608" spans="8:20" x14ac:dyDescent="0.2">
      <c r="H608" s="173"/>
      <c r="R608" s="173"/>
      <c r="S608" s="182"/>
      <c r="T608" s="226"/>
    </row>
    <row r="609" spans="8:20" x14ac:dyDescent="0.2">
      <c r="H609" s="173"/>
      <c r="R609" s="173"/>
      <c r="S609" s="182"/>
      <c r="T609" s="226"/>
    </row>
    <row r="610" spans="8:20" x14ac:dyDescent="0.2">
      <c r="H610" s="173"/>
      <c r="R610" s="173"/>
      <c r="S610" s="182"/>
      <c r="T610" s="226"/>
    </row>
    <row r="611" spans="8:20" x14ac:dyDescent="0.2">
      <c r="H611" s="173"/>
      <c r="R611" s="173"/>
      <c r="S611" s="182"/>
      <c r="T611" s="226"/>
    </row>
    <row r="612" spans="8:20" x14ac:dyDescent="0.2">
      <c r="H612" s="173"/>
      <c r="R612" s="173"/>
      <c r="S612" s="182"/>
      <c r="T612" s="226"/>
    </row>
    <row r="613" spans="8:20" x14ac:dyDescent="0.2">
      <c r="H613" s="173"/>
      <c r="R613" s="173"/>
      <c r="S613" s="182"/>
      <c r="T613" s="226"/>
    </row>
    <row r="614" spans="8:20" x14ac:dyDescent="0.2">
      <c r="H614" s="173"/>
      <c r="R614" s="173"/>
      <c r="S614" s="182"/>
      <c r="T614" s="226"/>
    </row>
    <row r="615" spans="8:20" x14ac:dyDescent="0.2">
      <c r="H615" s="173"/>
      <c r="R615" s="173"/>
      <c r="S615" s="182"/>
      <c r="T615" s="226"/>
    </row>
    <row r="616" spans="8:20" x14ac:dyDescent="0.2">
      <c r="H616" s="173"/>
      <c r="R616" s="173"/>
      <c r="S616" s="182"/>
      <c r="T616" s="226"/>
    </row>
    <row r="617" spans="8:20" x14ac:dyDescent="0.2">
      <c r="H617" s="173"/>
      <c r="R617" s="173"/>
      <c r="S617" s="182"/>
      <c r="T617" s="226"/>
    </row>
    <row r="618" spans="8:20" x14ac:dyDescent="0.2">
      <c r="H618" s="173"/>
      <c r="R618" s="173"/>
      <c r="S618" s="182"/>
      <c r="T618" s="226"/>
    </row>
    <row r="619" spans="8:20" x14ac:dyDescent="0.2">
      <c r="H619" s="173"/>
      <c r="R619" s="173"/>
      <c r="S619" s="182"/>
      <c r="T619" s="226"/>
    </row>
    <row r="620" spans="8:20" x14ac:dyDescent="0.2">
      <c r="H620" s="173"/>
      <c r="R620" s="173"/>
      <c r="S620" s="182"/>
      <c r="T620" s="226"/>
    </row>
    <row r="621" spans="8:20" x14ac:dyDescent="0.2">
      <c r="H621" s="173"/>
      <c r="R621" s="173"/>
      <c r="S621" s="182"/>
      <c r="T621" s="226"/>
    </row>
    <row r="622" spans="8:20" x14ac:dyDescent="0.2">
      <c r="H622" s="173"/>
      <c r="R622" s="173"/>
      <c r="S622" s="182"/>
      <c r="T622" s="226"/>
    </row>
    <row r="623" spans="8:20" x14ac:dyDescent="0.2">
      <c r="H623" s="173"/>
      <c r="R623" s="173"/>
      <c r="S623" s="182"/>
      <c r="T623" s="226"/>
    </row>
    <row r="624" spans="8:20" x14ac:dyDescent="0.2">
      <c r="H624" s="173"/>
      <c r="R624" s="173"/>
      <c r="S624" s="182"/>
      <c r="T624" s="226"/>
    </row>
    <row r="625" spans="8:20" x14ac:dyDescent="0.2">
      <c r="H625" s="173"/>
      <c r="R625" s="173"/>
      <c r="S625" s="182"/>
      <c r="T625" s="226"/>
    </row>
    <row r="626" spans="8:20" x14ac:dyDescent="0.2">
      <c r="H626" s="173"/>
      <c r="R626" s="173"/>
      <c r="S626" s="182"/>
      <c r="T626" s="226"/>
    </row>
    <row r="627" spans="8:20" x14ac:dyDescent="0.2">
      <c r="H627" s="173"/>
      <c r="R627" s="173"/>
      <c r="S627" s="182"/>
      <c r="T627" s="226"/>
    </row>
    <row r="628" spans="8:20" x14ac:dyDescent="0.2">
      <c r="H628" s="173"/>
      <c r="R628" s="173"/>
      <c r="S628" s="182"/>
      <c r="T628" s="226"/>
    </row>
    <row r="629" spans="8:20" x14ac:dyDescent="0.2">
      <c r="H629" s="173"/>
      <c r="R629" s="173"/>
      <c r="S629" s="182"/>
      <c r="T629" s="226"/>
    </row>
    <row r="630" spans="8:20" x14ac:dyDescent="0.2">
      <c r="H630" s="173"/>
      <c r="R630" s="173"/>
      <c r="S630" s="182"/>
      <c r="T630" s="226"/>
    </row>
    <row r="631" spans="8:20" x14ac:dyDescent="0.2">
      <c r="H631" s="173"/>
      <c r="R631" s="173"/>
      <c r="S631" s="182"/>
      <c r="T631" s="226"/>
    </row>
    <row r="632" spans="8:20" x14ac:dyDescent="0.2">
      <c r="H632" s="173"/>
      <c r="R632" s="173"/>
      <c r="S632" s="182"/>
      <c r="T632" s="226"/>
    </row>
    <row r="633" spans="8:20" x14ac:dyDescent="0.2">
      <c r="H633" s="173"/>
      <c r="R633" s="173"/>
      <c r="S633" s="182"/>
      <c r="T633" s="226"/>
    </row>
    <row r="634" spans="8:20" x14ac:dyDescent="0.2">
      <c r="H634" s="173"/>
      <c r="R634" s="173"/>
      <c r="S634" s="182"/>
      <c r="T634" s="226"/>
    </row>
    <row r="635" spans="8:20" x14ac:dyDescent="0.2">
      <c r="H635" s="173"/>
      <c r="R635" s="173"/>
      <c r="S635" s="182"/>
      <c r="T635" s="226"/>
    </row>
    <row r="636" spans="8:20" x14ac:dyDescent="0.2">
      <c r="H636" s="173"/>
      <c r="R636" s="173"/>
      <c r="S636" s="182"/>
      <c r="T636" s="226"/>
    </row>
    <row r="637" spans="8:20" x14ac:dyDescent="0.2">
      <c r="H637" s="173"/>
      <c r="R637" s="173"/>
      <c r="S637" s="182"/>
      <c r="T637" s="226"/>
    </row>
    <row r="638" spans="8:20" x14ac:dyDescent="0.2">
      <c r="H638" s="173"/>
      <c r="R638" s="173"/>
      <c r="S638" s="182"/>
      <c r="T638" s="226"/>
    </row>
    <row r="639" spans="8:20" x14ac:dyDescent="0.2">
      <c r="H639" s="173"/>
      <c r="R639" s="173"/>
      <c r="S639" s="182"/>
      <c r="T639" s="226"/>
    </row>
    <row r="640" spans="8:20" x14ac:dyDescent="0.2">
      <c r="H640" s="173"/>
      <c r="R640" s="173"/>
      <c r="S640" s="182"/>
      <c r="T640" s="226"/>
    </row>
    <row r="641" spans="8:20" x14ac:dyDescent="0.2">
      <c r="H641" s="173"/>
      <c r="R641" s="173"/>
      <c r="S641" s="182"/>
      <c r="T641" s="226"/>
    </row>
    <row r="642" spans="8:20" x14ac:dyDescent="0.2">
      <c r="H642" s="173"/>
      <c r="R642" s="173"/>
      <c r="S642" s="182"/>
      <c r="T642" s="226"/>
    </row>
    <row r="643" spans="8:20" x14ac:dyDescent="0.2">
      <c r="H643" s="173"/>
      <c r="R643" s="173"/>
      <c r="S643" s="182"/>
      <c r="T643" s="226"/>
    </row>
    <row r="644" spans="8:20" x14ac:dyDescent="0.2">
      <c r="H644" s="173"/>
      <c r="R644" s="173"/>
      <c r="S644" s="182"/>
      <c r="T644" s="226"/>
    </row>
    <row r="645" spans="8:20" x14ac:dyDescent="0.2">
      <c r="H645" s="173"/>
      <c r="R645" s="173"/>
      <c r="S645" s="182"/>
      <c r="T645" s="226"/>
    </row>
    <row r="646" spans="8:20" x14ac:dyDescent="0.2">
      <c r="H646" s="173"/>
      <c r="R646" s="173"/>
      <c r="S646" s="182"/>
      <c r="T646" s="226"/>
    </row>
    <row r="647" spans="8:20" x14ac:dyDescent="0.2">
      <c r="H647" s="173"/>
      <c r="R647" s="173"/>
      <c r="S647" s="182"/>
      <c r="T647" s="226"/>
    </row>
    <row r="648" spans="8:20" x14ac:dyDescent="0.2">
      <c r="H648" s="173"/>
      <c r="R648" s="173"/>
      <c r="S648" s="182"/>
      <c r="T648" s="226"/>
    </row>
    <row r="649" spans="8:20" x14ac:dyDescent="0.2">
      <c r="H649" s="173"/>
      <c r="R649" s="173"/>
      <c r="S649" s="182"/>
      <c r="T649" s="226"/>
    </row>
    <row r="650" spans="8:20" x14ac:dyDescent="0.2">
      <c r="H650" s="173"/>
      <c r="R650" s="173"/>
      <c r="S650" s="182"/>
      <c r="T650" s="226"/>
    </row>
    <row r="651" spans="8:20" x14ac:dyDescent="0.2">
      <c r="H651" s="173"/>
      <c r="R651" s="173"/>
      <c r="S651" s="182"/>
      <c r="T651" s="226"/>
    </row>
    <row r="652" spans="8:20" x14ac:dyDescent="0.2">
      <c r="H652" s="173"/>
      <c r="R652" s="173"/>
      <c r="S652" s="182"/>
      <c r="T652" s="226"/>
    </row>
    <row r="653" spans="8:20" x14ac:dyDescent="0.2">
      <c r="H653" s="173"/>
      <c r="R653" s="173"/>
      <c r="S653" s="182"/>
      <c r="T653" s="226"/>
    </row>
    <row r="654" spans="8:20" x14ac:dyDescent="0.2">
      <c r="H654" s="173"/>
      <c r="R654" s="173"/>
      <c r="S654" s="182"/>
      <c r="T654" s="226"/>
    </row>
    <row r="655" spans="8:20" x14ac:dyDescent="0.2">
      <c r="H655" s="173"/>
      <c r="R655" s="173"/>
      <c r="S655" s="182"/>
      <c r="T655" s="226"/>
    </row>
    <row r="656" spans="8:20" x14ac:dyDescent="0.2">
      <c r="H656" s="173"/>
      <c r="R656" s="173"/>
      <c r="S656" s="182"/>
      <c r="T656" s="226"/>
    </row>
    <row r="657" spans="8:20" x14ac:dyDescent="0.2">
      <c r="H657" s="173"/>
      <c r="R657" s="173"/>
      <c r="S657" s="182"/>
      <c r="T657" s="226"/>
    </row>
    <row r="658" spans="8:20" x14ac:dyDescent="0.2">
      <c r="H658" s="173"/>
      <c r="R658" s="173"/>
      <c r="S658" s="182"/>
      <c r="T658" s="226"/>
    </row>
    <row r="659" spans="8:20" x14ac:dyDescent="0.2">
      <c r="H659" s="173"/>
      <c r="R659" s="173"/>
      <c r="S659" s="182"/>
      <c r="T659" s="226"/>
    </row>
    <row r="660" spans="8:20" x14ac:dyDescent="0.2">
      <c r="H660" s="173"/>
      <c r="R660" s="173"/>
      <c r="S660" s="182"/>
      <c r="T660" s="226"/>
    </row>
    <row r="661" spans="8:20" x14ac:dyDescent="0.2">
      <c r="H661" s="173"/>
      <c r="R661" s="173"/>
      <c r="S661" s="182"/>
      <c r="T661" s="226"/>
    </row>
    <row r="662" spans="8:20" x14ac:dyDescent="0.2">
      <c r="H662" s="173"/>
      <c r="R662" s="173"/>
      <c r="S662" s="182"/>
      <c r="T662" s="226"/>
    </row>
    <row r="663" spans="8:20" x14ac:dyDescent="0.2">
      <c r="H663" s="173"/>
      <c r="R663" s="173"/>
      <c r="S663" s="182"/>
      <c r="T663" s="226"/>
    </row>
    <row r="664" spans="8:20" x14ac:dyDescent="0.2">
      <c r="H664" s="173"/>
      <c r="R664" s="173"/>
      <c r="S664" s="182"/>
      <c r="T664" s="226"/>
    </row>
    <row r="665" spans="8:20" x14ac:dyDescent="0.2">
      <c r="H665" s="173"/>
      <c r="R665" s="173"/>
      <c r="S665" s="182"/>
      <c r="T665" s="226"/>
    </row>
    <row r="666" spans="8:20" x14ac:dyDescent="0.2">
      <c r="H666" s="173"/>
      <c r="R666" s="173"/>
      <c r="S666" s="182"/>
      <c r="T666" s="226"/>
    </row>
    <row r="667" spans="8:20" x14ac:dyDescent="0.2">
      <c r="H667" s="173"/>
      <c r="R667" s="173"/>
      <c r="S667" s="182"/>
      <c r="T667" s="226"/>
    </row>
    <row r="668" spans="8:20" x14ac:dyDescent="0.2">
      <c r="H668" s="173"/>
      <c r="R668" s="173"/>
      <c r="S668" s="182"/>
      <c r="T668" s="226"/>
    </row>
    <row r="669" spans="8:20" x14ac:dyDescent="0.2">
      <c r="H669" s="173"/>
      <c r="R669" s="173"/>
      <c r="S669" s="182"/>
      <c r="T669" s="226"/>
    </row>
    <row r="670" spans="8:20" x14ac:dyDescent="0.2">
      <c r="H670" s="173"/>
      <c r="R670" s="173"/>
      <c r="S670" s="182"/>
      <c r="T670" s="226"/>
    </row>
    <row r="671" spans="8:20" x14ac:dyDescent="0.2">
      <c r="H671" s="173"/>
      <c r="R671" s="173"/>
      <c r="S671" s="182"/>
      <c r="T671" s="226"/>
    </row>
    <row r="672" spans="8:20" x14ac:dyDescent="0.2">
      <c r="H672" s="173"/>
      <c r="R672" s="173"/>
      <c r="S672" s="182"/>
      <c r="T672" s="226"/>
    </row>
    <row r="673" spans="8:20" x14ac:dyDescent="0.2">
      <c r="H673" s="173"/>
      <c r="R673" s="173"/>
      <c r="S673" s="182"/>
      <c r="T673" s="226"/>
    </row>
    <row r="674" spans="8:20" x14ac:dyDescent="0.2">
      <c r="H674" s="173"/>
      <c r="R674" s="173"/>
      <c r="S674" s="182"/>
      <c r="T674" s="226"/>
    </row>
    <row r="675" spans="8:20" x14ac:dyDescent="0.2">
      <c r="H675" s="173"/>
      <c r="R675" s="173"/>
      <c r="S675" s="182"/>
      <c r="T675" s="226"/>
    </row>
    <row r="676" spans="8:20" x14ac:dyDescent="0.2">
      <c r="H676" s="173"/>
      <c r="R676" s="173"/>
      <c r="S676" s="182"/>
      <c r="T676" s="226"/>
    </row>
    <row r="677" spans="8:20" x14ac:dyDescent="0.2">
      <c r="H677" s="173"/>
      <c r="R677" s="173"/>
      <c r="S677" s="182"/>
      <c r="T677" s="226"/>
    </row>
    <row r="678" spans="8:20" x14ac:dyDescent="0.2">
      <c r="H678" s="173"/>
      <c r="R678" s="173"/>
      <c r="S678" s="182"/>
      <c r="T678" s="226"/>
    </row>
    <row r="679" spans="8:20" x14ac:dyDescent="0.2">
      <c r="H679" s="173"/>
      <c r="R679" s="173"/>
      <c r="S679" s="182"/>
      <c r="T679" s="226"/>
    </row>
    <row r="680" spans="8:20" x14ac:dyDescent="0.2">
      <c r="H680" s="173"/>
      <c r="R680" s="173"/>
      <c r="S680" s="182"/>
      <c r="T680" s="226"/>
    </row>
    <row r="681" spans="8:20" x14ac:dyDescent="0.2">
      <c r="H681" s="173"/>
      <c r="R681" s="173"/>
      <c r="S681" s="182"/>
      <c r="T681" s="226"/>
    </row>
    <row r="682" spans="8:20" x14ac:dyDescent="0.2">
      <c r="H682" s="173"/>
      <c r="R682" s="173"/>
      <c r="S682" s="182"/>
      <c r="T682" s="226"/>
    </row>
    <row r="683" spans="8:20" x14ac:dyDescent="0.2">
      <c r="H683" s="173"/>
      <c r="R683" s="173"/>
      <c r="S683" s="182"/>
      <c r="T683" s="226"/>
    </row>
    <row r="684" spans="8:20" x14ac:dyDescent="0.2">
      <c r="H684" s="173"/>
      <c r="R684" s="173"/>
      <c r="S684" s="182"/>
      <c r="T684" s="226"/>
    </row>
    <row r="685" spans="8:20" x14ac:dyDescent="0.2">
      <c r="H685" s="173"/>
      <c r="R685" s="173"/>
      <c r="S685" s="182"/>
      <c r="T685" s="226"/>
    </row>
    <row r="686" spans="8:20" x14ac:dyDescent="0.2">
      <c r="H686" s="173"/>
      <c r="R686" s="173"/>
      <c r="S686" s="182"/>
      <c r="T686" s="226"/>
    </row>
    <row r="687" spans="8:20" x14ac:dyDescent="0.2">
      <c r="H687" s="173"/>
      <c r="R687" s="173"/>
      <c r="S687" s="182"/>
      <c r="T687" s="226"/>
    </row>
    <row r="688" spans="8:20" x14ac:dyDescent="0.2">
      <c r="H688" s="173"/>
      <c r="R688" s="173"/>
      <c r="S688" s="182"/>
      <c r="T688" s="226"/>
    </row>
    <row r="689" spans="8:20" x14ac:dyDescent="0.2">
      <c r="H689" s="173"/>
      <c r="R689" s="173"/>
      <c r="S689" s="182"/>
      <c r="T689" s="226"/>
    </row>
    <row r="690" spans="8:20" x14ac:dyDescent="0.2">
      <c r="H690" s="173"/>
      <c r="R690" s="173"/>
      <c r="S690" s="182"/>
      <c r="T690" s="226"/>
    </row>
    <row r="691" spans="8:20" x14ac:dyDescent="0.2">
      <c r="H691" s="173"/>
      <c r="R691" s="173"/>
      <c r="S691" s="182"/>
      <c r="T691" s="226"/>
    </row>
    <row r="692" spans="8:20" x14ac:dyDescent="0.2">
      <c r="H692" s="173"/>
      <c r="R692" s="173"/>
      <c r="S692" s="182"/>
      <c r="T692" s="226"/>
    </row>
    <row r="693" spans="8:20" x14ac:dyDescent="0.2">
      <c r="H693" s="173"/>
      <c r="R693" s="173"/>
      <c r="S693" s="182"/>
      <c r="T693" s="226"/>
    </row>
    <row r="694" spans="8:20" x14ac:dyDescent="0.2">
      <c r="H694" s="173"/>
      <c r="R694" s="173"/>
      <c r="S694" s="182"/>
      <c r="T694" s="226"/>
    </row>
    <row r="695" spans="8:20" x14ac:dyDescent="0.2">
      <c r="H695" s="173"/>
      <c r="R695" s="173"/>
      <c r="S695" s="182"/>
      <c r="T695" s="226"/>
    </row>
    <row r="696" spans="8:20" x14ac:dyDescent="0.2">
      <c r="H696" s="173"/>
      <c r="R696" s="173"/>
      <c r="S696" s="182"/>
      <c r="T696" s="226"/>
    </row>
    <row r="697" spans="8:20" x14ac:dyDescent="0.2">
      <c r="H697" s="173"/>
      <c r="R697" s="173"/>
      <c r="S697" s="182"/>
      <c r="T697" s="226"/>
    </row>
    <row r="698" spans="8:20" x14ac:dyDescent="0.2">
      <c r="H698" s="173"/>
      <c r="R698" s="173"/>
      <c r="S698" s="182"/>
      <c r="T698" s="226"/>
    </row>
    <row r="699" spans="8:20" x14ac:dyDescent="0.2">
      <c r="H699" s="173"/>
      <c r="R699" s="173"/>
      <c r="S699" s="182"/>
      <c r="T699" s="226"/>
    </row>
    <row r="700" spans="8:20" x14ac:dyDescent="0.2">
      <c r="H700" s="173"/>
      <c r="R700" s="173"/>
      <c r="S700" s="182"/>
      <c r="T700" s="226"/>
    </row>
    <row r="701" spans="8:20" x14ac:dyDescent="0.2">
      <c r="H701" s="173"/>
      <c r="R701" s="173"/>
      <c r="S701" s="182"/>
      <c r="T701" s="226"/>
    </row>
    <row r="702" spans="8:20" x14ac:dyDescent="0.2">
      <c r="H702" s="173"/>
      <c r="R702" s="173"/>
      <c r="S702" s="182"/>
      <c r="T702" s="226"/>
    </row>
    <row r="703" spans="8:20" x14ac:dyDescent="0.2">
      <c r="H703" s="173"/>
      <c r="R703" s="173"/>
      <c r="S703" s="182"/>
      <c r="T703" s="226"/>
    </row>
    <row r="704" spans="8:20" x14ac:dyDescent="0.2">
      <c r="H704" s="173"/>
      <c r="R704" s="173"/>
      <c r="S704" s="182"/>
      <c r="T704" s="226"/>
    </row>
    <row r="705" spans="8:20" x14ac:dyDescent="0.2">
      <c r="H705" s="173"/>
      <c r="R705" s="173"/>
      <c r="S705" s="182"/>
      <c r="T705" s="226"/>
    </row>
    <row r="706" spans="8:20" x14ac:dyDescent="0.2">
      <c r="H706" s="173"/>
      <c r="R706" s="173"/>
      <c r="S706" s="182"/>
      <c r="T706" s="226"/>
    </row>
    <row r="707" spans="8:20" x14ac:dyDescent="0.2">
      <c r="H707" s="173"/>
      <c r="R707" s="173"/>
      <c r="S707" s="182"/>
      <c r="T707" s="226"/>
    </row>
    <row r="708" spans="8:20" x14ac:dyDescent="0.2">
      <c r="H708" s="173"/>
      <c r="R708" s="173"/>
      <c r="S708" s="182"/>
      <c r="T708" s="226"/>
    </row>
    <row r="709" spans="8:20" x14ac:dyDescent="0.2">
      <c r="H709" s="173"/>
      <c r="R709" s="173"/>
      <c r="S709" s="182"/>
      <c r="T709" s="226"/>
    </row>
    <row r="710" spans="8:20" x14ac:dyDescent="0.2">
      <c r="H710" s="173"/>
      <c r="R710" s="173"/>
      <c r="S710" s="182"/>
      <c r="T710" s="226"/>
    </row>
    <row r="711" spans="8:20" x14ac:dyDescent="0.2">
      <c r="H711" s="173"/>
      <c r="R711" s="173"/>
      <c r="S711" s="182"/>
      <c r="T711" s="226"/>
    </row>
    <row r="712" spans="8:20" x14ac:dyDescent="0.2">
      <c r="H712" s="173"/>
      <c r="R712" s="173"/>
      <c r="S712" s="182"/>
      <c r="T712" s="226"/>
    </row>
    <row r="713" spans="8:20" x14ac:dyDescent="0.2">
      <c r="H713" s="173"/>
      <c r="R713" s="173"/>
      <c r="S713" s="182"/>
      <c r="T713" s="226"/>
    </row>
    <row r="714" spans="8:20" x14ac:dyDescent="0.2">
      <c r="H714" s="173"/>
      <c r="R714" s="173"/>
      <c r="S714" s="182"/>
      <c r="T714" s="226"/>
    </row>
    <row r="715" spans="8:20" x14ac:dyDescent="0.2">
      <c r="H715" s="173"/>
      <c r="R715" s="173"/>
      <c r="S715" s="182"/>
      <c r="T715" s="226"/>
    </row>
    <row r="716" spans="8:20" x14ac:dyDescent="0.2">
      <c r="H716" s="173"/>
      <c r="R716" s="173"/>
      <c r="S716" s="182"/>
      <c r="T716" s="226"/>
    </row>
    <row r="717" spans="8:20" x14ac:dyDescent="0.2">
      <c r="H717" s="173"/>
      <c r="R717" s="173"/>
      <c r="S717" s="182"/>
      <c r="T717" s="226"/>
    </row>
    <row r="718" spans="8:20" x14ac:dyDescent="0.2">
      <c r="H718" s="173"/>
      <c r="R718" s="173"/>
      <c r="S718" s="182"/>
      <c r="T718" s="226"/>
    </row>
    <row r="719" spans="8:20" x14ac:dyDescent="0.2">
      <c r="H719" s="173"/>
      <c r="R719" s="173"/>
      <c r="S719" s="182"/>
      <c r="T719" s="226"/>
    </row>
    <row r="720" spans="8:20" x14ac:dyDescent="0.2">
      <c r="H720" s="173"/>
      <c r="R720" s="173"/>
      <c r="S720" s="182"/>
      <c r="T720" s="226"/>
    </row>
    <row r="721" spans="8:20" x14ac:dyDescent="0.2">
      <c r="H721" s="173"/>
      <c r="R721" s="173"/>
      <c r="S721" s="182"/>
      <c r="T721" s="226"/>
    </row>
    <row r="722" spans="8:20" x14ac:dyDescent="0.2">
      <c r="H722" s="173"/>
      <c r="R722" s="173"/>
      <c r="S722" s="182"/>
      <c r="T722" s="226"/>
    </row>
    <row r="723" spans="8:20" x14ac:dyDescent="0.2">
      <c r="H723" s="173"/>
      <c r="R723" s="173"/>
      <c r="S723" s="182"/>
      <c r="T723" s="226"/>
    </row>
    <row r="724" spans="8:20" x14ac:dyDescent="0.2">
      <c r="H724" s="173"/>
      <c r="R724" s="173"/>
      <c r="S724" s="182"/>
      <c r="T724" s="226"/>
    </row>
    <row r="725" spans="8:20" x14ac:dyDescent="0.2">
      <c r="H725" s="173"/>
      <c r="R725" s="173"/>
      <c r="S725" s="182"/>
      <c r="T725" s="226"/>
    </row>
    <row r="726" spans="8:20" x14ac:dyDescent="0.2">
      <c r="H726" s="173"/>
      <c r="R726" s="173"/>
      <c r="S726" s="182"/>
      <c r="T726" s="226"/>
    </row>
    <row r="727" spans="8:20" x14ac:dyDescent="0.2">
      <c r="H727" s="173"/>
      <c r="R727" s="173"/>
      <c r="S727" s="182"/>
      <c r="T727" s="226"/>
    </row>
    <row r="728" spans="8:20" x14ac:dyDescent="0.2">
      <c r="H728" s="173"/>
      <c r="R728" s="173"/>
      <c r="S728" s="182"/>
      <c r="T728" s="226"/>
    </row>
    <row r="729" spans="8:20" x14ac:dyDescent="0.2">
      <c r="H729" s="173"/>
      <c r="R729" s="173"/>
      <c r="S729" s="182"/>
      <c r="T729" s="226"/>
    </row>
    <row r="730" spans="8:20" x14ac:dyDescent="0.2">
      <c r="H730" s="173"/>
      <c r="R730" s="173"/>
      <c r="S730" s="182"/>
      <c r="T730" s="226"/>
    </row>
    <row r="731" spans="8:20" x14ac:dyDescent="0.2">
      <c r="H731" s="173"/>
      <c r="R731" s="173"/>
      <c r="S731" s="182"/>
      <c r="T731" s="226"/>
    </row>
    <row r="732" spans="8:20" x14ac:dyDescent="0.2">
      <c r="H732" s="173"/>
      <c r="R732" s="173"/>
      <c r="S732" s="182"/>
      <c r="T732" s="226"/>
    </row>
    <row r="733" spans="8:20" x14ac:dyDescent="0.2">
      <c r="H733" s="173"/>
      <c r="R733" s="173"/>
      <c r="S733" s="182"/>
      <c r="T733" s="226"/>
    </row>
    <row r="734" spans="8:20" x14ac:dyDescent="0.2">
      <c r="H734" s="173"/>
      <c r="R734" s="173"/>
      <c r="S734" s="182"/>
      <c r="T734" s="226"/>
    </row>
    <row r="735" spans="8:20" x14ac:dyDescent="0.2">
      <c r="H735" s="173"/>
      <c r="R735" s="173"/>
      <c r="S735" s="182"/>
      <c r="T735" s="226"/>
    </row>
    <row r="736" spans="8:20" x14ac:dyDescent="0.2">
      <c r="H736" s="173"/>
      <c r="R736" s="173"/>
      <c r="S736" s="182"/>
      <c r="T736" s="226"/>
    </row>
    <row r="737" spans="8:20" x14ac:dyDescent="0.2">
      <c r="H737" s="173"/>
      <c r="R737" s="173"/>
      <c r="S737" s="182"/>
      <c r="T737" s="226"/>
    </row>
    <row r="738" spans="8:20" x14ac:dyDescent="0.2">
      <c r="H738" s="173"/>
      <c r="R738" s="173"/>
      <c r="S738" s="182"/>
      <c r="T738" s="226"/>
    </row>
    <row r="739" spans="8:20" x14ac:dyDescent="0.2">
      <c r="H739" s="173"/>
      <c r="R739" s="173"/>
      <c r="S739" s="182"/>
      <c r="T739" s="226"/>
    </row>
    <row r="740" spans="8:20" x14ac:dyDescent="0.2">
      <c r="H740" s="173"/>
      <c r="R740" s="173"/>
      <c r="S740" s="182"/>
      <c r="T740" s="226"/>
    </row>
    <row r="741" spans="8:20" x14ac:dyDescent="0.2">
      <c r="H741" s="173"/>
      <c r="R741" s="173"/>
      <c r="S741" s="182"/>
      <c r="T741" s="226"/>
    </row>
    <row r="742" spans="8:20" x14ac:dyDescent="0.2">
      <c r="H742" s="173"/>
      <c r="R742" s="173"/>
      <c r="S742" s="182"/>
      <c r="T742" s="226"/>
    </row>
    <row r="743" spans="8:20" x14ac:dyDescent="0.2">
      <c r="H743" s="173"/>
      <c r="R743" s="173"/>
      <c r="S743" s="182"/>
      <c r="T743" s="226"/>
    </row>
    <row r="744" spans="8:20" x14ac:dyDescent="0.2">
      <c r="H744" s="173"/>
      <c r="R744" s="173"/>
      <c r="S744" s="182"/>
      <c r="T744" s="226"/>
    </row>
    <row r="745" spans="8:20" x14ac:dyDescent="0.2">
      <c r="H745" s="173"/>
      <c r="R745" s="173"/>
      <c r="S745" s="182"/>
      <c r="T745" s="226"/>
    </row>
    <row r="746" spans="8:20" x14ac:dyDescent="0.2">
      <c r="H746" s="173"/>
      <c r="R746" s="173"/>
      <c r="S746" s="182"/>
      <c r="T746" s="226"/>
    </row>
    <row r="747" spans="8:20" x14ac:dyDescent="0.2">
      <c r="H747" s="173"/>
      <c r="R747" s="173"/>
      <c r="S747" s="182"/>
      <c r="T747" s="226"/>
    </row>
    <row r="748" spans="8:20" x14ac:dyDescent="0.2">
      <c r="H748" s="173"/>
      <c r="R748" s="173"/>
      <c r="S748" s="182"/>
      <c r="T748" s="226"/>
    </row>
    <row r="749" spans="8:20" x14ac:dyDescent="0.2">
      <c r="H749" s="173"/>
      <c r="R749" s="173"/>
      <c r="S749" s="182"/>
      <c r="T749" s="226"/>
    </row>
    <row r="750" spans="8:20" x14ac:dyDescent="0.2">
      <c r="H750" s="173"/>
      <c r="R750" s="173"/>
      <c r="S750" s="182"/>
      <c r="T750" s="226"/>
    </row>
    <row r="751" spans="8:20" x14ac:dyDescent="0.2">
      <c r="H751" s="173"/>
      <c r="R751" s="173"/>
      <c r="S751" s="182"/>
      <c r="T751" s="226"/>
    </row>
    <row r="752" spans="8:20" x14ac:dyDescent="0.2">
      <c r="H752" s="173"/>
      <c r="R752" s="173"/>
      <c r="S752" s="182"/>
      <c r="T752" s="226"/>
    </row>
    <row r="753" spans="8:20" x14ac:dyDescent="0.2">
      <c r="H753" s="173"/>
      <c r="R753" s="173"/>
      <c r="S753" s="182"/>
      <c r="T753" s="226"/>
    </row>
    <row r="754" spans="8:20" x14ac:dyDescent="0.2">
      <c r="H754" s="173"/>
      <c r="R754" s="173"/>
      <c r="S754" s="182"/>
      <c r="T754" s="226"/>
    </row>
    <row r="755" spans="8:20" x14ac:dyDescent="0.2">
      <c r="H755" s="173"/>
      <c r="R755" s="173"/>
      <c r="S755" s="182"/>
      <c r="T755" s="226"/>
    </row>
    <row r="756" spans="8:20" x14ac:dyDescent="0.2">
      <c r="H756" s="173"/>
      <c r="R756" s="173"/>
      <c r="S756" s="182"/>
      <c r="T756" s="226"/>
    </row>
    <row r="757" spans="8:20" x14ac:dyDescent="0.2">
      <c r="H757" s="173"/>
      <c r="R757" s="173"/>
      <c r="S757" s="182"/>
      <c r="T757" s="226"/>
    </row>
    <row r="758" spans="8:20" x14ac:dyDescent="0.2">
      <c r="H758" s="173"/>
      <c r="R758" s="173"/>
      <c r="S758" s="182"/>
      <c r="T758" s="226"/>
    </row>
    <row r="759" spans="8:20" x14ac:dyDescent="0.2">
      <c r="H759" s="173"/>
      <c r="R759" s="173"/>
      <c r="S759" s="182"/>
      <c r="T759" s="226"/>
    </row>
    <row r="760" spans="8:20" x14ac:dyDescent="0.2">
      <c r="H760" s="173"/>
      <c r="R760" s="173"/>
      <c r="S760" s="182"/>
      <c r="T760" s="226"/>
    </row>
    <row r="761" spans="8:20" x14ac:dyDescent="0.2">
      <c r="H761" s="173"/>
      <c r="R761" s="173"/>
      <c r="S761" s="182"/>
      <c r="T761" s="226"/>
    </row>
    <row r="762" spans="8:20" x14ac:dyDescent="0.2">
      <c r="H762" s="173"/>
      <c r="R762" s="173"/>
      <c r="S762" s="182"/>
      <c r="T762" s="226"/>
    </row>
    <row r="763" spans="8:20" x14ac:dyDescent="0.2">
      <c r="H763" s="173"/>
      <c r="R763" s="173"/>
      <c r="S763" s="182"/>
      <c r="T763" s="226"/>
    </row>
    <row r="764" spans="8:20" x14ac:dyDescent="0.2">
      <c r="H764" s="173"/>
      <c r="R764" s="173"/>
      <c r="S764" s="182"/>
      <c r="T764" s="226"/>
    </row>
    <row r="765" spans="8:20" x14ac:dyDescent="0.2">
      <c r="H765" s="173"/>
      <c r="R765" s="173"/>
      <c r="S765" s="182"/>
      <c r="T765" s="226"/>
    </row>
    <row r="766" spans="8:20" x14ac:dyDescent="0.2">
      <c r="H766" s="173"/>
      <c r="R766" s="173"/>
      <c r="S766" s="182"/>
      <c r="T766" s="226"/>
    </row>
    <row r="767" spans="8:20" x14ac:dyDescent="0.2">
      <c r="H767" s="173"/>
      <c r="R767" s="173"/>
      <c r="S767" s="182"/>
      <c r="T767" s="226"/>
    </row>
    <row r="768" spans="8:20" x14ac:dyDescent="0.2">
      <c r="H768" s="173"/>
      <c r="R768" s="173"/>
      <c r="S768" s="182"/>
      <c r="T768" s="226"/>
    </row>
    <row r="769" spans="8:20" x14ac:dyDescent="0.2">
      <c r="H769" s="173"/>
      <c r="R769" s="173"/>
      <c r="S769" s="182"/>
      <c r="T769" s="226"/>
    </row>
    <row r="770" spans="8:20" x14ac:dyDescent="0.2">
      <c r="H770" s="173"/>
      <c r="R770" s="173"/>
      <c r="S770" s="182"/>
      <c r="T770" s="226"/>
    </row>
    <row r="771" spans="8:20" x14ac:dyDescent="0.2">
      <c r="H771" s="173"/>
      <c r="R771" s="173"/>
      <c r="S771" s="182"/>
      <c r="T771" s="226"/>
    </row>
    <row r="772" spans="8:20" x14ac:dyDescent="0.2">
      <c r="H772" s="173"/>
      <c r="R772" s="173"/>
      <c r="S772" s="182"/>
      <c r="T772" s="226"/>
    </row>
    <row r="773" spans="8:20" x14ac:dyDescent="0.2">
      <c r="H773" s="173"/>
      <c r="R773" s="173"/>
      <c r="S773" s="182"/>
      <c r="T773" s="226"/>
    </row>
    <row r="774" spans="8:20" x14ac:dyDescent="0.2">
      <c r="H774" s="173"/>
      <c r="R774" s="173"/>
      <c r="S774" s="182"/>
      <c r="T774" s="226"/>
    </row>
    <row r="775" spans="8:20" x14ac:dyDescent="0.2">
      <c r="H775" s="173"/>
      <c r="R775" s="173"/>
      <c r="S775" s="182"/>
      <c r="T775" s="226"/>
    </row>
    <row r="776" spans="8:20" x14ac:dyDescent="0.2">
      <c r="H776" s="173"/>
      <c r="R776" s="173"/>
      <c r="S776" s="182"/>
      <c r="T776" s="226"/>
    </row>
    <row r="777" spans="8:20" x14ac:dyDescent="0.2">
      <c r="H777" s="173"/>
      <c r="R777" s="173"/>
      <c r="S777" s="182"/>
      <c r="T777" s="226"/>
    </row>
    <row r="778" spans="8:20" x14ac:dyDescent="0.2">
      <c r="H778" s="173"/>
      <c r="R778" s="173"/>
      <c r="S778" s="182"/>
      <c r="T778" s="226"/>
    </row>
    <row r="779" spans="8:20" x14ac:dyDescent="0.2">
      <c r="H779" s="173"/>
      <c r="R779" s="173"/>
      <c r="S779" s="182"/>
      <c r="T779" s="226"/>
    </row>
    <row r="780" spans="8:20" x14ac:dyDescent="0.2">
      <c r="H780" s="173"/>
      <c r="R780" s="173"/>
      <c r="S780" s="182"/>
      <c r="T780" s="226"/>
    </row>
    <row r="781" spans="8:20" x14ac:dyDescent="0.2">
      <c r="H781" s="173"/>
      <c r="R781" s="173"/>
      <c r="S781" s="182"/>
      <c r="T781" s="226"/>
    </row>
    <row r="782" spans="8:20" x14ac:dyDescent="0.2">
      <c r="H782" s="173"/>
      <c r="R782" s="173"/>
      <c r="S782" s="182"/>
      <c r="T782" s="226"/>
    </row>
    <row r="783" spans="8:20" x14ac:dyDescent="0.2">
      <c r="H783" s="173"/>
      <c r="R783" s="173"/>
      <c r="S783" s="182"/>
      <c r="T783" s="226"/>
    </row>
    <row r="784" spans="8:20" x14ac:dyDescent="0.2">
      <c r="H784" s="173"/>
      <c r="R784" s="173"/>
      <c r="S784" s="182"/>
      <c r="T784" s="226"/>
    </row>
    <row r="785" spans="8:20" x14ac:dyDescent="0.2">
      <c r="H785" s="173"/>
      <c r="R785" s="173"/>
      <c r="S785" s="182"/>
      <c r="T785" s="226"/>
    </row>
    <row r="786" spans="8:20" x14ac:dyDescent="0.2">
      <c r="H786" s="173"/>
      <c r="R786" s="173"/>
      <c r="S786" s="182"/>
      <c r="T786" s="226"/>
    </row>
    <row r="787" spans="8:20" x14ac:dyDescent="0.2">
      <c r="H787" s="173"/>
      <c r="R787" s="173"/>
      <c r="S787" s="182"/>
      <c r="T787" s="226"/>
    </row>
    <row r="788" spans="8:20" x14ac:dyDescent="0.2">
      <c r="H788" s="173"/>
      <c r="R788" s="173"/>
      <c r="S788" s="182"/>
      <c r="T788" s="226"/>
    </row>
    <row r="789" spans="8:20" x14ac:dyDescent="0.2">
      <c r="H789" s="173"/>
      <c r="R789" s="173"/>
      <c r="S789" s="182"/>
      <c r="T789" s="226"/>
    </row>
    <row r="790" spans="8:20" x14ac:dyDescent="0.2">
      <c r="H790" s="173"/>
      <c r="R790" s="173"/>
      <c r="S790" s="182"/>
      <c r="T790" s="226"/>
    </row>
    <row r="791" spans="8:20" x14ac:dyDescent="0.2">
      <c r="H791" s="173"/>
      <c r="R791" s="173"/>
      <c r="S791" s="182"/>
      <c r="T791" s="226"/>
    </row>
    <row r="792" spans="8:20" x14ac:dyDescent="0.2">
      <c r="H792" s="173"/>
      <c r="R792" s="173"/>
      <c r="S792" s="182"/>
      <c r="T792" s="226"/>
    </row>
    <row r="793" spans="8:20" x14ac:dyDescent="0.2">
      <c r="H793" s="173"/>
      <c r="R793" s="173"/>
      <c r="S793" s="182"/>
      <c r="T793" s="226"/>
    </row>
    <row r="794" spans="8:20" x14ac:dyDescent="0.2">
      <c r="H794" s="173"/>
      <c r="R794" s="173"/>
      <c r="S794" s="182"/>
      <c r="T794" s="226"/>
    </row>
    <row r="795" spans="8:20" x14ac:dyDescent="0.2">
      <c r="H795" s="173"/>
      <c r="R795" s="173"/>
      <c r="S795" s="182"/>
      <c r="T795" s="226"/>
    </row>
    <row r="796" spans="8:20" x14ac:dyDescent="0.2">
      <c r="H796" s="173"/>
      <c r="R796" s="173"/>
      <c r="S796" s="182"/>
      <c r="T796" s="226"/>
    </row>
    <row r="797" spans="8:20" x14ac:dyDescent="0.2">
      <c r="H797" s="173"/>
      <c r="R797" s="173"/>
      <c r="S797" s="182"/>
      <c r="T797" s="226"/>
    </row>
    <row r="798" spans="8:20" x14ac:dyDescent="0.2">
      <c r="H798" s="173"/>
      <c r="R798" s="173"/>
      <c r="S798" s="182"/>
      <c r="T798" s="226"/>
    </row>
    <row r="799" spans="8:20" x14ac:dyDescent="0.2">
      <c r="H799" s="173"/>
      <c r="R799" s="173"/>
      <c r="S799" s="182"/>
      <c r="T799" s="226"/>
    </row>
    <row r="800" spans="8:20" x14ac:dyDescent="0.2">
      <c r="H800" s="173"/>
      <c r="R800" s="173"/>
      <c r="S800" s="182"/>
      <c r="T800" s="226"/>
    </row>
    <row r="801" spans="8:20" x14ac:dyDescent="0.2">
      <c r="H801" s="173"/>
      <c r="R801" s="173"/>
      <c r="S801" s="182"/>
      <c r="T801" s="226"/>
    </row>
    <row r="802" spans="8:20" x14ac:dyDescent="0.2">
      <c r="H802" s="173"/>
      <c r="R802" s="173"/>
      <c r="S802" s="182"/>
      <c r="T802" s="226"/>
    </row>
    <row r="803" spans="8:20" x14ac:dyDescent="0.2">
      <c r="H803" s="173"/>
      <c r="R803" s="173"/>
      <c r="S803" s="182"/>
      <c r="T803" s="226"/>
    </row>
    <row r="804" spans="8:20" x14ac:dyDescent="0.2">
      <c r="H804" s="173"/>
      <c r="R804" s="173"/>
      <c r="S804" s="182"/>
      <c r="T804" s="226"/>
    </row>
    <row r="805" spans="8:20" x14ac:dyDescent="0.2">
      <c r="H805" s="173"/>
      <c r="R805" s="173"/>
      <c r="S805" s="182"/>
      <c r="T805" s="226"/>
    </row>
    <row r="806" spans="8:20" x14ac:dyDescent="0.2">
      <c r="H806" s="173"/>
      <c r="R806" s="173"/>
      <c r="S806" s="182"/>
      <c r="T806" s="226"/>
    </row>
    <row r="807" spans="8:20" x14ac:dyDescent="0.2">
      <c r="H807" s="173"/>
      <c r="R807" s="173"/>
      <c r="S807" s="182"/>
      <c r="T807" s="226"/>
    </row>
    <row r="808" spans="8:20" x14ac:dyDescent="0.2">
      <c r="H808" s="173"/>
      <c r="R808" s="173"/>
      <c r="S808" s="182"/>
      <c r="T808" s="226"/>
    </row>
    <row r="809" spans="8:20" x14ac:dyDescent="0.2">
      <c r="H809" s="173"/>
      <c r="R809" s="173"/>
      <c r="S809" s="182"/>
      <c r="T809" s="226"/>
    </row>
    <row r="810" spans="8:20" x14ac:dyDescent="0.2">
      <c r="H810" s="173"/>
      <c r="R810" s="173"/>
      <c r="S810" s="182"/>
      <c r="T810" s="226"/>
    </row>
    <row r="811" spans="8:20" x14ac:dyDescent="0.2">
      <c r="H811" s="173"/>
      <c r="R811" s="173"/>
      <c r="S811" s="182"/>
      <c r="T811" s="226"/>
    </row>
    <row r="812" spans="8:20" x14ac:dyDescent="0.2">
      <c r="H812" s="173"/>
      <c r="R812" s="173"/>
      <c r="S812" s="182"/>
      <c r="T812" s="226"/>
    </row>
    <row r="813" spans="8:20" x14ac:dyDescent="0.2">
      <c r="H813" s="173"/>
      <c r="R813" s="173"/>
      <c r="S813" s="182"/>
      <c r="T813" s="226"/>
    </row>
    <row r="814" spans="8:20" x14ac:dyDescent="0.2">
      <c r="H814" s="173"/>
      <c r="R814" s="173"/>
      <c r="S814" s="182"/>
      <c r="T814" s="226"/>
    </row>
    <row r="815" spans="8:20" x14ac:dyDescent="0.2">
      <c r="H815" s="173"/>
      <c r="R815" s="173"/>
      <c r="S815" s="182"/>
      <c r="T815" s="226"/>
    </row>
    <row r="816" spans="8:20" x14ac:dyDescent="0.2">
      <c r="H816" s="173"/>
      <c r="R816" s="173"/>
      <c r="S816" s="182"/>
      <c r="T816" s="226"/>
    </row>
    <row r="817" spans="8:20" x14ac:dyDescent="0.2">
      <c r="H817" s="173"/>
      <c r="R817" s="173"/>
      <c r="S817" s="182"/>
      <c r="T817" s="226"/>
    </row>
    <row r="818" spans="8:20" x14ac:dyDescent="0.2">
      <c r="H818" s="173"/>
      <c r="R818" s="173"/>
      <c r="S818" s="182"/>
      <c r="T818" s="226"/>
    </row>
    <row r="819" spans="8:20" x14ac:dyDescent="0.2">
      <c r="H819" s="173"/>
      <c r="R819" s="173"/>
      <c r="S819" s="182"/>
      <c r="T819" s="226"/>
    </row>
    <row r="820" spans="8:20" x14ac:dyDescent="0.2">
      <c r="H820" s="173"/>
      <c r="R820" s="173"/>
      <c r="S820" s="182"/>
      <c r="T820" s="226"/>
    </row>
    <row r="821" spans="8:20" x14ac:dyDescent="0.2">
      <c r="H821" s="173"/>
      <c r="R821" s="173"/>
      <c r="S821" s="182"/>
      <c r="T821" s="226"/>
    </row>
    <row r="822" spans="8:20" x14ac:dyDescent="0.2">
      <c r="H822" s="173"/>
      <c r="R822" s="173"/>
      <c r="S822" s="182"/>
      <c r="T822" s="226"/>
    </row>
    <row r="823" spans="8:20" x14ac:dyDescent="0.2">
      <c r="H823" s="173"/>
      <c r="R823" s="173"/>
      <c r="S823" s="182"/>
      <c r="T823" s="226"/>
    </row>
    <row r="824" spans="8:20" x14ac:dyDescent="0.2">
      <c r="H824" s="173"/>
      <c r="R824" s="173"/>
      <c r="S824" s="182"/>
      <c r="T824" s="226"/>
    </row>
    <row r="825" spans="8:20" x14ac:dyDescent="0.2">
      <c r="H825" s="173"/>
      <c r="R825" s="173"/>
      <c r="S825" s="182"/>
      <c r="T825" s="226"/>
    </row>
    <row r="826" spans="8:20" x14ac:dyDescent="0.2">
      <c r="H826" s="173"/>
      <c r="R826" s="173"/>
      <c r="S826" s="182"/>
      <c r="T826" s="226"/>
    </row>
    <row r="827" spans="8:20" x14ac:dyDescent="0.2">
      <c r="H827" s="173"/>
      <c r="R827" s="173"/>
      <c r="S827" s="182"/>
      <c r="T827" s="226"/>
    </row>
    <row r="828" spans="8:20" x14ac:dyDescent="0.2">
      <c r="H828" s="173"/>
      <c r="R828" s="173"/>
      <c r="S828" s="182"/>
      <c r="T828" s="226"/>
    </row>
    <row r="829" spans="8:20" x14ac:dyDescent="0.2">
      <c r="H829" s="173"/>
      <c r="R829" s="173"/>
      <c r="S829" s="182"/>
      <c r="T829" s="226"/>
    </row>
    <row r="830" spans="8:20" x14ac:dyDescent="0.2">
      <c r="H830" s="173"/>
      <c r="R830" s="173"/>
      <c r="S830" s="182"/>
      <c r="T830" s="226"/>
    </row>
    <row r="831" spans="8:20" x14ac:dyDescent="0.2">
      <c r="H831" s="173"/>
      <c r="R831" s="173"/>
      <c r="S831" s="182"/>
      <c r="T831" s="226"/>
    </row>
    <row r="832" spans="8:20" x14ac:dyDescent="0.2">
      <c r="H832" s="173"/>
      <c r="R832" s="173"/>
      <c r="S832" s="182"/>
      <c r="T832" s="226"/>
    </row>
    <row r="833" spans="8:20" x14ac:dyDescent="0.2">
      <c r="H833" s="173"/>
      <c r="R833" s="173"/>
      <c r="S833" s="182"/>
      <c r="T833" s="226"/>
    </row>
    <row r="834" spans="8:20" x14ac:dyDescent="0.2">
      <c r="H834" s="173"/>
      <c r="R834" s="173"/>
      <c r="S834" s="182"/>
      <c r="T834" s="226"/>
    </row>
    <row r="835" spans="8:20" x14ac:dyDescent="0.2">
      <c r="H835" s="173"/>
      <c r="R835" s="173"/>
      <c r="S835" s="182"/>
      <c r="T835" s="226"/>
    </row>
    <row r="836" spans="8:20" x14ac:dyDescent="0.2">
      <c r="H836" s="173"/>
      <c r="R836" s="173"/>
      <c r="S836" s="182"/>
      <c r="T836" s="226"/>
    </row>
    <row r="837" spans="8:20" x14ac:dyDescent="0.2">
      <c r="H837" s="173"/>
      <c r="R837" s="173"/>
      <c r="S837" s="182"/>
      <c r="T837" s="226"/>
    </row>
    <row r="838" spans="8:20" x14ac:dyDescent="0.2">
      <c r="H838" s="173"/>
      <c r="R838" s="173"/>
      <c r="S838" s="182"/>
      <c r="T838" s="226"/>
    </row>
    <row r="839" spans="8:20" x14ac:dyDescent="0.2">
      <c r="H839" s="173"/>
      <c r="R839" s="173"/>
      <c r="S839" s="182"/>
      <c r="T839" s="226"/>
    </row>
    <row r="840" spans="8:20" x14ac:dyDescent="0.2">
      <c r="H840" s="173"/>
      <c r="R840" s="173"/>
      <c r="S840" s="182"/>
      <c r="T840" s="226"/>
    </row>
    <row r="841" spans="8:20" x14ac:dyDescent="0.2">
      <c r="H841" s="173"/>
      <c r="R841" s="173"/>
      <c r="S841" s="182"/>
      <c r="T841" s="226"/>
    </row>
    <row r="842" spans="8:20" x14ac:dyDescent="0.2">
      <c r="H842" s="173"/>
      <c r="R842" s="173"/>
      <c r="S842" s="182"/>
      <c r="T842" s="226"/>
    </row>
    <row r="843" spans="8:20" x14ac:dyDescent="0.2">
      <c r="H843" s="173"/>
      <c r="R843" s="173"/>
      <c r="S843" s="182"/>
      <c r="T843" s="226"/>
    </row>
    <row r="844" spans="8:20" x14ac:dyDescent="0.2">
      <c r="H844" s="173"/>
      <c r="R844" s="173"/>
      <c r="S844" s="182"/>
      <c r="T844" s="226"/>
    </row>
    <row r="845" spans="8:20" x14ac:dyDescent="0.2">
      <c r="H845" s="173"/>
      <c r="R845" s="173"/>
      <c r="S845" s="182"/>
      <c r="T845" s="226"/>
    </row>
    <row r="846" spans="8:20" x14ac:dyDescent="0.2">
      <c r="H846" s="173"/>
      <c r="R846" s="173"/>
      <c r="S846" s="182"/>
      <c r="T846" s="226"/>
    </row>
    <row r="847" spans="8:20" x14ac:dyDescent="0.2">
      <c r="H847" s="173"/>
      <c r="R847" s="173"/>
      <c r="S847" s="182"/>
      <c r="T847" s="226"/>
    </row>
    <row r="848" spans="8:20" x14ac:dyDescent="0.2">
      <c r="H848" s="173"/>
      <c r="R848" s="173"/>
      <c r="S848" s="182"/>
      <c r="T848" s="226"/>
    </row>
    <row r="849" spans="8:20" x14ac:dyDescent="0.2">
      <c r="H849" s="173"/>
      <c r="R849" s="173"/>
      <c r="S849" s="182"/>
      <c r="T849" s="226"/>
    </row>
    <row r="850" spans="8:20" x14ac:dyDescent="0.2">
      <c r="H850" s="173"/>
      <c r="R850" s="173"/>
      <c r="S850" s="182"/>
      <c r="T850" s="226"/>
    </row>
    <row r="851" spans="8:20" x14ac:dyDescent="0.2">
      <c r="H851" s="173"/>
      <c r="R851" s="173"/>
      <c r="S851" s="182"/>
      <c r="T851" s="226"/>
    </row>
    <row r="852" spans="8:20" x14ac:dyDescent="0.2">
      <c r="H852" s="173"/>
      <c r="R852" s="173"/>
      <c r="S852" s="182"/>
      <c r="T852" s="226"/>
    </row>
    <row r="853" spans="8:20" x14ac:dyDescent="0.2">
      <c r="H853" s="173"/>
      <c r="R853" s="173"/>
      <c r="S853" s="182"/>
      <c r="T853" s="226"/>
    </row>
    <row r="854" spans="8:20" x14ac:dyDescent="0.2">
      <c r="H854" s="173"/>
      <c r="R854" s="173"/>
      <c r="S854" s="182"/>
      <c r="T854" s="226"/>
    </row>
    <row r="855" spans="8:20" x14ac:dyDescent="0.2">
      <c r="H855" s="173"/>
      <c r="R855" s="173"/>
      <c r="S855" s="182"/>
      <c r="T855" s="226"/>
    </row>
    <row r="856" spans="8:20" x14ac:dyDescent="0.2">
      <c r="H856" s="173"/>
      <c r="R856" s="173"/>
      <c r="S856" s="182"/>
      <c r="T856" s="226"/>
    </row>
    <row r="857" spans="8:20" x14ac:dyDescent="0.2">
      <c r="H857" s="173"/>
      <c r="R857" s="173"/>
      <c r="S857" s="182"/>
      <c r="T857" s="226"/>
    </row>
    <row r="858" spans="8:20" x14ac:dyDescent="0.2">
      <c r="H858" s="173"/>
      <c r="R858" s="173"/>
      <c r="S858" s="182"/>
      <c r="T858" s="226"/>
    </row>
    <row r="859" spans="8:20" x14ac:dyDescent="0.2">
      <c r="H859" s="173"/>
      <c r="R859" s="173"/>
      <c r="S859" s="182"/>
      <c r="T859" s="226"/>
    </row>
    <row r="860" spans="8:20" x14ac:dyDescent="0.2">
      <c r="H860" s="173"/>
      <c r="R860" s="173"/>
      <c r="S860" s="182"/>
      <c r="T860" s="226"/>
    </row>
    <row r="861" spans="8:20" x14ac:dyDescent="0.2">
      <c r="H861" s="173"/>
      <c r="R861" s="173"/>
      <c r="S861" s="182"/>
      <c r="T861" s="226"/>
    </row>
    <row r="862" spans="8:20" x14ac:dyDescent="0.2">
      <c r="H862" s="173"/>
      <c r="R862" s="173"/>
      <c r="S862" s="182"/>
      <c r="T862" s="226"/>
    </row>
    <row r="863" spans="8:20" x14ac:dyDescent="0.2">
      <c r="H863" s="173"/>
      <c r="R863" s="173"/>
      <c r="S863" s="182"/>
      <c r="T863" s="226"/>
    </row>
    <row r="864" spans="8:20" x14ac:dyDescent="0.2">
      <c r="H864" s="173"/>
      <c r="R864" s="173"/>
      <c r="S864" s="182"/>
      <c r="T864" s="226"/>
    </row>
    <row r="865" spans="8:20" x14ac:dyDescent="0.2">
      <c r="H865" s="173"/>
      <c r="R865" s="173"/>
      <c r="S865" s="182"/>
      <c r="T865" s="226"/>
    </row>
    <row r="866" spans="8:20" x14ac:dyDescent="0.2">
      <c r="H866" s="173"/>
      <c r="R866" s="173"/>
      <c r="S866" s="182"/>
      <c r="T866" s="226"/>
    </row>
    <row r="867" spans="8:20" x14ac:dyDescent="0.2">
      <c r="H867" s="173"/>
      <c r="R867" s="173"/>
      <c r="S867" s="182"/>
      <c r="T867" s="226"/>
    </row>
    <row r="868" spans="8:20" x14ac:dyDescent="0.2">
      <c r="H868" s="173"/>
      <c r="R868" s="173"/>
      <c r="S868" s="182"/>
      <c r="T868" s="226"/>
    </row>
    <row r="869" spans="8:20" x14ac:dyDescent="0.2">
      <c r="H869" s="173"/>
      <c r="R869" s="173"/>
      <c r="S869" s="182"/>
      <c r="T869" s="226"/>
    </row>
    <row r="870" spans="8:20" x14ac:dyDescent="0.2">
      <c r="H870" s="173"/>
      <c r="R870" s="173"/>
      <c r="S870" s="182"/>
      <c r="T870" s="226"/>
    </row>
    <row r="871" spans="8:20" x14ac:dyDescent="0.2">
      <c r="H871" s="173"/>
      <c r="R871" s="173"/>
      <c r="S871" s="182"/>
      <c r="T871" s="226"/>
    </row>
    <row r="872" spans="8:20" x14ac:dyDescent="0.2">
      <c r="H872" s="173"/>
      <c r="R872" s="173"/>
      <c r="S872" s="182"/>
      <c r="T872" s="226"/>
    </row>
    <row r="873" spans="8:20" x14ac:dyDescent="0.2">
      <c r="H873" s="173"/>
      <c r="R873" s="173"/>
      <c r="S873" s="182"/>
      <c r="T873" s="226"/>
    </row>
    <row r="874" spans="8:20" x14ac:dyDescent="0.2">
      <c r="H874" s="173"/>
      <c r="R874" s="173"/>
      <c r="S874" s="182"/>
      <c r="T874" s="226"/>
    </row>
    <row r="875" spans="8:20" x14ac:dyDescent="0.2">
      <c r="H875" s="173"/>
      <c r="R875" s="173"/>
      <c r="S875" s="182"/>
      <c r="T875" s="226"/>
    </row>
    <row r="876" spans="8:20" x14ac:dyDescent="0.2">
      <c r="H876" s="173"/>
      <c r="R876" s="173"/>
      <c r="S876" s="182"/>
      <c r="T876" s="226"/>
    </row>
    <row r="877" spans="8:20" x14ac:dyDescent="0.2">
      <c r="H877" s="173"/>
      <c r="R877" s="173"/>
      <c r="S877" s="182"/>
      <c r="T877" s="226"/>
    </row>
    <row r="878" spans="8:20" x14ac:dyDescent="0.2">
      <c r="H878" s="173"/>
      <c r="R878" s="173"/>
      <c r="S878" s="182"/>
      <c r="T878" s="226"/>
    </row>
    <row r="879" spans="8:20" x14ac:dyDescent="0.2">
      <c r="H879" s="173"/>
      <c r="R879" s="173"/>
      <c r="S879" s="182"/>
      <c r="T879" s="226"/>
    </row>
    <row r="880" spans="8:20" x14ac:dyDescent="0.2">
      <c r="H880" s="173"/>
      <c r="R880" s="173"/>
      <c r="S880" s="182"/>
      <c r="T880" s="226"/>
    </row>
    <row r="881" spans="8:20" x14ac:dyDescent="0.2">
      <c r="H881" s="173"/>
      <c r="R881" s="173"/>
      <c r="S881" s="182"/>
      <c r="T881" s="226"/>
    </row>
    <row r="882" spans="8:20" x14ac:dyDescent="0.2">
      <c r="H882" s="173"/>
      <c r="R882" s="173"/>
      <c r="S882" s="182"/>
      <c r="T882" s="226"/>
    </row>
    <row r="883" spans="8:20" x14ac:dyDescent="0.2">
      <c r="H883" s="173"/>
      <c r="R883" s="173"/>
      <c r="S883" s="182"/>
      <c r="T883" s="226"/>
    </row>
    <row r="884" spans="8:20" x14ac:dyDescent="0.2">
      <c r="H884" s="173"/>
      <c r="R884" s="173"/>
      <c r="S884" s="182"/>
      <c r="T884" s="226"/>
    </row>
    <row r="885" spans="8:20" x14ac:dyDescent="0.2">
      <c r="H885" s="173"/>
      <c r="R885" s="173"/>
      <c r="S885" s="182"/>
      <c r="T885" s="226"/>
    </row>
    <row r="886" spans="8:20" x14ac:dyDescent="0.2">
      <c r="H886" s="173"/>
      <c r="R886" s="173"/>
      <c r="S886" s="182"/>
      <c r="T886" s="226"/>
    </row>
    <row r="887" spans="8:20" x14ac:dyDescent="0.2">
      <c r="H887" s="173"/>
      <c r="R887" s="173"/>
      <c r="S887" s="182"/>
      <c r="T887" s="226"/>
    </row>
    <row r="888" spans="8:20" x14ac:dyDescent="0.2">
      <c r="H888" s="173"/>
      <c r="R888" s="173"/>
      <c r="S888" s="182"/>
      <c r="T888" s="226"/>
    </row>
    <row r="889" spans="8:20" x14ac:dyDescent="0.2">
      <c r="H889" s="173"/>
      <c r="R889" s="173"/>
      <c r="S889" s="182"/>
      <c r="T889" s="226"/>
    </row>
    <row r="890" spans="8:20" x14ac:dyDescent="0.2">
      <c r="H890" s="173"/>
      <c r="R890" s="173"/>
      <c r="S890" s="182"/>
      <c r="T890" s="226"/>
    </row>
    <row r="891" spans="8:20" x14ac:dyDescent="0.2">
      <c r="H891" s="173"/>
      <c r="R891" s="173"/>
      <c r="S891" s="182"/>
      <c r="T891" s="226"/>
    </row>
    <row r="892" spans="8:20" x14ac:dyDescent="0.2">
      <c r="H892" s="173"/>
      <c r="R892" s="173"/>
      <c r="S892" s="182"/>
      <c r="T892" s="226"/>
    </row>
    <row r="893" spans="8:20" x14ac:dyDescent="0.2">
      <c r="H893" s="173"/>
      <c r="R893" s="173"/>
      <c r="S893" s="182"/>
      <c r="T893" s="226"/>
    </row>
    <row r="894" spans="8:20" x14ac:dyDescent="0.2">
      <c r="H894" s="173"/>
      <c r="R894" s="173"/>
      <c r="S894" s="182"/>
      <c r="T894" s="226"/>
    </row>
    <row r="895" spans="8:20" x14ac:dyDescent="0.2">
      <c r="H895" s="173"/>
      <c r="R895" s="173"/>
      <c r="S895" s="182"/>
      <c r="T895" s="226"/>
    </row>
    <row r="896" spans="8:20" x14ac:dyDescent="0.2">
      <c r="H896" s="173"/>
      <c r="R896" s="173"/>
      <c r="S896" s="182"/>
      <c r="T896" s="226"/>
    </row>
    <row r="897" spans="8:20" x14ac:dyDescent="0.2">
      <c r="H897" s="173"/>
      <c r="R897" s="173"/>
      <c r="S897" s="182"/>
      <c r="T897" s="226"/>
    </row>
    <row r="898" spans="8:20" x14ac:dyDescent="0.2">
      <c r="H898" s="173"/>
      <c r="R898" s="173"/>
      <c r="S898" s="182"/>
      <c r="T898" s="226"/>
    </row>
    <row r="899" spans="8:20" x14ac:dyDescent="0.2">
      <c r="H899" s="173"/>
      <c r="R899" s="173"/>
      <c r="S899" s="182"/>
      <c r="T899" s="226"/>
    </row>
    <row r="900" spans="8:20" x14ac:dyDescent="0.2">
      <c r="H900" s="173"/>
      <c r="R900" s="173"/>
      <c r="S900" s="182"/>
      <c r="T900" s="226"/>
    </row>
    <row r="901" spans="8:20" x14ac:dyDescent="0.2">
      <c r="H901" s="173"/>
      <c r="R901" s="173"/>
      <c r="S901" s="182"/>
      <c r="T901" s="226"/>
    </row>
    <row r="902" spans="8:20" x14ac:dyDescent="0.2">
      <c r="H902" s="173"/>
      <c r="R902" s="173"/>
      <c r="S902" s="182"/>
      <c r="T902" s="226"/>
    </row>
    <row r="903" spans="8:20" x14ac:dyDescent="0.2">
      <c r="H903" s="173"/>
      <c r="R903" s="173"/>
      <c r="S903" s="182"/>
      <c r="T903" s="226"/>
    </row>
    <row r="904" spans="8:20" x14ac:dyDescent="0.2">
      <c r="H904" s="173"/>
      <c r="R904" s="173"/>
      <c r="S904" s="182"/>
      <c r="T904" s="226"/>
    </row>
    <row r="905" spans="8:20" x14ac:dyDescent="0.2">
      <c r="H905" s="173"/>
      <c r="R905" s="173"/>
      <c r="S905" s="182"/>
      <c r="T905" s="226"/>
    </row>
    <row r="906" spans="8:20" x14ac:dyDescent="0.2">
      <c r="H906" s="173"/>
      <c r="R906" s="173"/>
      <c r="S906" s="182"/>
      <c r="T906" s="226"/>
    </row>
    <row r="907" spans="8:20" x14ac:dyDescent="0.2">
      <c r="H907" s="173"/>
      <c r="R907" s="173"/>
      <c r="S907" s="182"/>
      <c r="T907" s="226"/>
    </row>
    <row r="908" spans="8:20" x14ac:dyDescent="0.2">
      <c r="H908" s="173"/>
      <c r="R908" s="173"/>
      <c r="S908" s="182"/>
      <c r="T908" s="226"/>
    </row>
    <row r="909" spans="8:20" x14ac:dyDescent="0.2">
      <c r="H909" s="173"/>
      <c r="R909" s="173"/>
      <c r="S909" s="182"/>
      <c r="T909" s="226"/>
    </row>
    <row r="910" spans="8:20" x14ac:dyDescent="0.2">
      <c r="H910" s="173"/>
      <c r="R910" s="173"/>
      <c r="S910" s="182"/>
      <c r="T910" s="226"/>
    </row>
    <row r="911" spans="8:20" x14ac:dyDescent="0.2">
      <c r="H911" s="173"/>
      <c r="R911" s="173"/>
      <c r="S911" s="182"/>
      <c r="T911" s="226"/>
    </row>
    <row r="912" spans="8:20" x14ac:dyDescent="0.2">
      <c r="H912" s="173"/>
      <c r="R912" s="173"/>
      <c r="S912" s="182"/>
      <c r="T912" s="226"/>
    </row>
    <row r="913" spans="8:20" x14ac:dyDescent="0.2">
      <c r="H913" s="173"/>
      <c r="R913" s="173"/>
      <c r="S913" s="182"/>
      <c r="T913" s="226"/>
    </row>
    <row r="914" spans="8:20" x14ac:dyDescent="0.2">
      <c r="H914" s="173"/>
      <c r="R914" s="173"/>
      <c r="S914" s="182"/>
      <c r="T914" s="226"/>
    </row>
    <row r="915" spans="8:20" x14ac:dyDescent="0.2">
      <c r="H915" s="173"/>
      <c r="R915" s="173"/>
      <c r="S915" s="182"/>
      <c r="T915" s="226"/>
    </row>
    <row r="916" spans="8:20" x14ac:dyDescent="0.2">
      <c r="H916" s="173"/>
      <c r="R916" s="173"/>
      <c r="S916" s="182"/>
      <c r="T916" s="226"/>
    </row>
    <row r="917" spans="8:20" x14ac:dyDescent="0.2">
      <c r="H917" s="173"/>
      <c r="R917" s="173"/>
      <c r="S917" s="182"/>
      <c r="T917" s="226"/>
    </row>
    <row r="918" spans="8:20" x14ac:dyDescent="0.2">
      <c r="H918" s="173"/>
      <c r="R918" s="173"/>
      <c r="S918" s="182"/>
      <c r="T918" s="226"/>
    </row>
    <row r="919" spans="8:20" x14ac:dyDescent="0.2">
      <c r="H919" s="173"/>
      <c r="R919" s="173"/>
      <c r="S919" s="182"/>
      <c r="T919" s="226"/>
    </row>
    <row r="920" spans="8:20" x14ac:dyDescent="0.2">
      <c r="H920" s="173"/>
      <c r="R920" s="173"/>
      <c r="S920" s="182"/>
      <c r="T920" s="226"/>
    </row>
    <row r="921" spans="8:20" x14ac:dyDescent="0.2">
      <c r="H921" s="173"/>
      <c r="R921" s="173"/>
      <c r="S921" s="182"/>
      <c r="T921" s="226"/>
    </row>
    <row r="922" spans="8:20" x14ac:dyDescent="0.2">
      <c r="H922" s="173"/>
      <c r="R922" s="173"/>
      <c r="S922" s="182"/>
      <c r="T922" s="226"/>
    </row>
    <row r="923" spans="8:20" x14ac:dyDescent="0.2">
      <c r="H923" s="173"/>
      <c r="R923" s="173"/>
      <c r="S923" s="182"/>
      <c r="T923" s="226"/>
    </row>
    <row r="924" spans="8:20" x14ac:dyDescent="0.2">
      <c r="H924" s="173"/>
      <c r="R924" s="173"/>
      <c r="S924" s="182"/>
      <c r="T924" s="226"/>
    </row>
    <row r="925" spans="8:20" x14ac:dyDescent="0.2">
      <c r="H925" s="173"/>
      <c r="R925" s="173"/>
      <c r="S925" s="182"/>
      <c r="T925" s="226"/>
    </row>
    <row r="926" spans="8:20" x14ac:dyDescent="0.2">
      <c r="H926" s="173"/>
      <c r="R926" s="173"/>
      <c r="S926" s="182"/>
      <c r="T926" s="226"/>
    </row>
    <row r="927" spans="8:20" x14ac:dyDescent="0.2">
      <c r="H927" s="173"/>
      <c r="R927" s="173"/>
      <c r="S927" s="182"/>
      <c r="T927" s="226"/>
    </row>
    <row r="928" spans="8:20" x14ac:dyDescent="0.2">
      <c r="H928" s="173"/>
      <c r="R928" s="173"/>
      <c r="S928" s="182"/>
      <c r="T928" s="226"/>
    </row>
    <row r="929" spans="8:20" x14ac:dyDescent="0.2">
      <c r="H929" s="173"/>
      <c r="R929" s="173"/>
      <c r="S929" s="182"/>
      <c r="T929" s="226"/>
    </row>
    <row r="930" spans="8:20" x14ac:dyDescent="0.2">
      <c r="H930" s="173"/>
      <c r="R930" s="173"/>
      <c r="S930" s="182"/>
      <c r="T930" s="226"/>
    </row>
    <row r="931" spans="8:20" x14ac:dyDescent="0.2">
      <c r="H931" s="173"/>
      <c r="R931" s="173"/>
      <c r="S931" s="182"/>
      <c r="T931" s="226"/>
    </row>
    <row r="932" spans="8:20" x14ac:dyDescent="0.2">
      <c r="H932" s="173"/>
      <c r="R932" s="173"/>
      <c r="S932" s="182"/>
      <c r="T932" s="226"/>
    </row>
    <row r="933" spans="8:20" x14ac:dyDescent="0.2">
      <c r="H933" s="173"/>
      <c r="R933" s="173"/>
      <c r="S933" s="182"/>
      <c r="T933" s="226"/>
    </row>
    <row r="934" spans="8:20" x14ac:dyDescent="0.2">
      <c r="H934" s="173"/>
      <c r="R934" s="173"/>
      <c r="S934" s="182"/>
      <c r="T934" s="226"/>
    </row>
    <row r="935" spans="8:20" x14ac:dyDescent="0.2">
      <c r="H935" s="173"/>
      <c r="R935" s="173"/>
      <c r="S935" s="182"/>
      <c r="T935" s="226"/>
    </row>
    <row r="936" spans="8:20" x14ac:dyDescent="0.2">
      <c r="H936" s="173"/>
      <c r="R936" s="173"/>
      <c r="S936" s="182"/>
      <c r="T936" s="226"/>
    </row>
    <row r="937" spans="8:20" x14ac:dyDescent="0.2">
      <c r="H937" s="173"/>
      <c r="R937" s="173"/>
      <c r="S937" s="182"/>
      <c r="T937" s="226"/>
    </row>
    <row r="938" spans="8:20" x14ac:dyDescent="0.2">
      <c r="H938" s="173"/>
      <c r="R938" s="173"/>
      <c r="S938" s="182"/>
      <c r="T938" s="226"/>
    </row>
    <row r="939" spans="8:20" x14ac:dyDescent="0.2">
      <c r="H939" s="173"/>
      <c r="R939" s="173"/>
      <c r="S939" s="182"/>
      <c r="T939" s="226"/>
    </row>
    <row r="940" spans="8:20" x14ac:dyDescent="0.2">
      <c r="H940" s="173"/>
      <c r="R940" s="173"/>
      <c r="S940" s="182"/>
      <c r="T940" s="226"/>
    </row>
    <row r="941" spans="8:20" x14ac:dyDescent="0.2">
      <c r="H941" s="173"/>
      <c r="R941" s="173"/>
      <c r="S941" s="182"/>
      <c r="T941" s="226"/>
    </row>
    <row r="942" spans="8:20" x14ac:dyDescent="0.2">
      <c r="H942" s="173"/>
      <c r="R942" s="173"/>
      <c r="S942" s="182"/>
      <c r="T942" s="226"/>
    </row>
    <row r="943" spans="8:20" x14ac:dyDescent="0.2">
      <c r="H943" s="173"/>
      <c r="R943" s="173"/>
      <c r="S943" s="182"/>
      <c r="T943" s="226"/>
    </row>
    <row r="944" spans="8:20" x14ac:dyDescent="0.2">
      <c r="H944" s="173"/>
      <c r="R944" s="173"/>
      <c r="S944" s="182"/>
      <c r="T944" s="226"/>
    </row>
    <row r="945" spans="8:20" x14ac:dyDescent="0.2">
      <c r="H945" s="173"/>
      <c r="R945" s="173"/>
      <c r="S945" s="182"/>
      <c r="T945" s="226"/>
    </row>
    <row r="946" spans="8:20" x14ac:dyDescent="0.2">
      <c r="H946" s="173"/>
      <c r="R946" s="173"/>
      <c r="S946" s="182"/>
      <c r="T946" s="226"/>
    </row>
    <row r="947" spans="8:20" x14ac:dyDescent="0.2">
      <c r="H947" s="173"/>
      <c r="R947" s="173"/>
      <c r="S947" s="182"/>
      <c r="T947" s="226"/>
    </row>
    <row r="948" spans="8:20" x14ac:dyDescent="0.2">
      <c r="H948" s="173"/>
      <c r="R948" s="173"/>
      <c r="S948" s="182"/>
      <c r="T948" s="226"/>
    </row>
    <row r="949" spans="8:20" x14ac:dyDescent="0.2">
      <c r="H949" s="173"/>
      <c r="R949" s="173"/>
      <c r="S949" s="182"/>
      <c r="T949" s="226"/>
    </row>
    <row r="950" spans="8:20" x14ac:dyDescent="0.2">
      <c r="H950" s="173"/>
      <c r="R950" s="173"/>
      <c r="S950" s="182"/>
      <c r="T950" s="226"/>
    </row>
    <row r="951" spans="8:20" x14ac:dyDescent="0.2">
      <c r="H951" s="173"/>
      <c r="R951" s="173"/>
      <c r="S951" s="182"/>
      <c r="T951" s="226"/>
    </row>
    <row r="952" spans="8:20" x14ac:dyDescent="0.2">
      <c r="H952" s="173"/>
      <c r="R952" s="173"/>
      <c r="S952" s="182"/>
      <c r="T952" s="226"/>
    </row>
    <row r="953" spans="8:20" x14ac:dyDescent="0.2">
      <c r="H953" s="173"/>
      <c r="R953" s="173"/>
      <c r="S953" s="182"/>
      <c r="T953" s="226"/>
    </row>
    <row r="954" spans="8:20" x14ac:dyDescent="0.2">
      <c r="H954" s="173"/>
      <c r="R954" s="173"/>
      <c r="S954" s="182"/>
      <c r="T954" s="226"/>
    </row>
    <row r="955" spans="8:20" x14ac:dyDescent="0.2">
      <c r="H955" s="173"/>
      <c r="R955" s="173"/>
      <c r="S955" s="182"/>
      <c r="T955" s="226"/>
    </row>
  </sheetData>
  <mergeCells count="54">
    <mergeCell ref="B34:B39"/>
    <mergeCell ref="C4:E4"/>
    <mergeCell ref="C5:E5"/>
    <mergeCell ref="C6:E6"/>
    <mergeCell ref="B88:B96"/>
    <mergeCell ref="B13:B21"/>
    <mergeCell ref="B28:B33"/>
    <mergeCell ref="B40:B65"/>
    <mergeCell ref="B10:B11"/>
    <mergeCell ref="B23:B25"/>
    <mergeCell ref="C51:C55"/>
    <mergeCell ref="C56:C60"/>
    <mergeCell ref="C61:C65"/>
    <mergeCell ref="C40:C42"/>
    <mergeCell ref="C43:C45"/>
    <mergeCell ref="C46:C50"/>
    <mergeCell ref="AD9:AF9"/>
    <mergeCell ref="F10:F11"/>
    <mergeCell ref="AD10:AD11"/>
    <mergeCell ref="AE10:AE11"/>
    <mergeCell ref="AF10:AF11"/>
    <mergeCell ref="R10:R11"/>
    <mergeCell ref="V10:V11"/>
    <mergeCell ref="Y10:Y11"/>
    <mergeCell ref="AC10:AC11"/>
    <mergeCell ref="AB9:AC9"/>
    <mergeCell ref="Z10:Z11"/>
    <mergeCell ref="AA10:AA11"/>
    <mergeCell ref="AB10:AB11"/>
    <mergeCell ref="Q10:Q11"/>
    <mergeCell ref="P10:P11"/>
    <mergeCell ref="W10:W11"/>
    <mergeCell ref="E10:E11"/>
    <mergeCell ref="S10:S11"/>
    <mergeCell ref="U9:Z9"/>
    <mergeCell ref="B2:Z2"/>
    <mergeCell ref="U10:U11"/>
    <mergeCell ref="T10:T11"/>
    <mergeCell ref="B66:B69"/>
    <mergeCell ref="B70:B76"/>
    <mergeCell ref="X10:X11"/>
    <mergeCell ref="C7:E7"/>
    <mergeCell ref="C8:E8"/>
    <mergeCell ref="O10:O11"/>
    <mergeCell ref="L10:L11"/>
    <mergeCell ref="N10:N11"/>
    <mergeCell ref="M10:M11"/>
    <mergeCell ref="G10:G11"/>
    <mergeCell ref="J10:J11"/>
    <mergeCell ref="K10:K11"/>
    <mergeCell ref="H10:H11"/>
    <mergeCell ref="I10:I11"/>
    <mergeCell ref="C10:C11"/>
    <mergeCell ref="D10:D11"/>
  </mergeCells>
  <phoneticPr fontId="30" type="noConversion"/>
  <dataValidations count="3">
    <dataValidation type="list" allowBlank="1" showErrorMessage="1" sqref="U13:U21 U23:U26 I12:I76 U28:U96 I78:I96" xr:uid="{00000000-0002-0000-0200-000001000000}">
      <formula1>Don_vi_khoi_tao</formula1>
    </dataValidation>
    <dataValidation allowBlank="1" sqref="O1:Q1 O3:Q1048576" xr:uid="{8B724F66-A5F1-48E2-AA42-4E9100517D48}"/>
    <dataValidation type="list" allowBlank="1" showErrorMessage="1" sqref="H12:H96" xr:uid="{00000000-0002-0000-0200-000008000000}">
      <formula1>Du_an</formula1>
    </dataValidation>
  </dataValidations>
  <pageMargins left="0.2" right="0.2" top="0.3" bottom="0.3" header="0" footer="0"/>
  <pageSetup paperSize="8" scale="57" fitToHeight="6" orientation="landscape" r:id="rId1"/>
  <headerFooter>
    <oddFooter>&amp;CPage - &amp;P</oddFooter>
  </headerFooter>
  <extLst>
    <ext xmlns:x14="http://schemas.microsoft.com/office/spreadsheetml/2009/9/main" uri="{CCE6A557-97BC-4b89-ADB6-D9C93CAAB3DF}">
      <x14:dataValidations xmlns:xm="http://schemas.microsoft.com/office/excel/2006/main" count="4">
        <x14:dataValidation type="list" allowBlank="1" showInputMessage="1" showErrorMessage="1" xr:uid="{14D14D82-65B7-425E-B2A4-3A253F7096A1}">
          <x14:formula1>
            <xm:f>Naming!$E$4:$E$17</xm:f>
          </x14:formula1>
          <xm:sqref>J1 J3:J1048576</xm:sqref>
        </x14:dataValidation>
        <x14:dataValidation type="list" allowBlank="1" showInputMessage="1" showErrorMessage="1" xr:uid="{37F0978D-9425-4BB9-BC3F-62C46FCD84B8}">
          <x14:formula1>
            <xm:f>Naming!$G$4:$G$17</xm:f>
          </x14:formula1>
          <xm:sqref>K1 K3:K1048576</xm:sqref>
        </x14:dataValidation>
        <x14:dataValidation type="list" allowBlank="1" showInputMessage="1" showErrorMessage="1" xr:uid="{8AAC1F92-8CB6-4BDF-963F-0A4832940DD2}">
          <x14:formula1>
            <xm:f>Naming!$I$4:$I$17</xm:f>
          </x14:formula1>
          <xm:sqref>L1 L3:L1048576</xm:sqref>
        </x14:dataValidation>
        <x14:dataValidation type="list" allowBlank="1" showErrorMessage="1" xr:uid="{C72E7BA9-5FF5-4C0D-943D-315AF9B310D4}">
          <x14:formula1>
            <xm:f>Naming!$M$4:$M$17</xm:f>
          </x14:formula1>
          <xm:sqref>N1 N3:N1048576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6CA37-8EA1-46C8-8851-BA8BD9ACC9BE}">
  <sheetPr>
    <pageSetUpPr fitToPage="1"/>
  </sheetPr>
  <dimension ref="A1:C29"/>
  <sheetViews>
    <sheetView zoomScale="80" zoomScaleNormal="80" workbookViewId="0">
      <selection activeCell="K8" sqref="K8"/>
    </sheetView>
  </sheetViews>
  <sheetFormatPr defaultColWidth="9.28515625" defaultRowHeight="12.75" x14ac:dyDescent="0.2"/>
  <cols>
    <col min="1" max="1" width="8.7109375" style="234" customWidth="1"/>
    <col min="2" max="2" width="15.7109375" style="229" customWidth="1"/>
    <col min="3" max="3" width="75.7109375" style="229" customWidth="1"/>
    <col min="4" max="16384" width="9.28515625" style="229"/>
  </cols>
  <sheetData>
    <row r="1" spans="1:3" ht="58.7" customHeight="1" x14ac:dyDescent="0.2">
      <c r="A1" s="305" t="s">
        <v>696</v>
      </c>
      <c r="B1" s="305"/>
      <c r="C1" s="305"/>
    </row>
    <row r="2" spans="1:3" s="231" customFormat="1" ht="24.4" customHeight="1" x14ac:dyDescent="0.2">
      <c r="A2" s="230" t="s">
        <v>697</v>
      </c>
      <c r="B2" s="230" t="s">
        <v>698</v>
      </c>
      <c r="C2" s="230" t="s">
        <v>699</v>
      </c>
    </row>
    <row r="3" spans="1:3" x14ac:dyDescent="0.2">
      <c r="A3" s="306" t="s">
        <v>700</v>
      </c>
      <c r="B3" s="307"/>
      <c r="C3" s="308"/>
    </row>
    <row r="4" spans="1:3" x14ac:dyDescent="0.2">
      <c r="A4" s="232">
        <v>1</v>
      </c>
      <c r="B4" s="233">
        <f>MIDP!S86</f>
        <v>0</v>
      </c>
      <c r="C4" s="233">
        <f>MIDP!T86</f>
        <v>0</v>
      </c>
    </row>
    <row r="5" spans="1:3" x14ac:dyDescent="0.2">
      <c r="A5" s="232">
        <f>A4+1</f>
        <v>2</v>
      </c>
      <c r="B5" s="233" t="e">
        <f>MIDP!#REF!</f>
        <v>#REF!</v>
      </c>
      <c r="C5" s="233" t="e">
        <f>MIDP!#REF!</f>
        <v>#REF!</v>
      </c>
    </row>
    <row r="6" spans="1:3" x14ac:dyDescent="0.2">
      <c r="A6" s="232">
        <f t="shared" ref="A6:A29" si="0">A5+1</f>
        <v>3</v>
      </c>
      <c r="B6" s="233" t="e">
        <f>MIDP!#REF!</f>
        <v>#REF!</v>
      </c>
      <c r="C6" s="233" t="e">
        <f>MIDP!#REF!</f>
        <v>#REF!</v>
      </c>
    </row>
    <row r="7" spans="1:3" x14ac:dyDescent="0.2">
      <c r="A7" s="232">
        <f t="shared" si="0"/>
        <v>4</v>
      </c>
      <c r="B7" s="233" t="e">
        <f>MIDP!#REF!</f>
        <v>#REF!</v>
      </c>
      <c r="C7" s="233" t="e">
        <f>MIDP!#REF!</f>
        <v>#REF!</v>
      </c>
    </row>
    <row r="8" spans="1:3" x14ac:dyDescent="0.2">
      <c r="A8" s="232">
        <f t="shared" si="0"/>
        <v>5</v>
      </c>
      <c r="B8" s="233" t="e">
        <f>MIDP!#REF!</f>
        <v>#REF!</v>
      </c>
      <c r="C8" s="233" t="e">
        <f>MIDP!#REF!</f>
        <v>#REF!</v>
      </c>
    </row>
    <row r="9" spans="1:3" x14ac:dyDescent="0.2">
      <c r="A9" s="232">
        <f t="shared" si="0"/>
        <v>6</v>
      </c>
      <c r="B9" s="233" t="e">
        <f>MIDP!#REF!</f>
        <v>#REF!</v>
      </c>
      <c r="C9" s="233" t="e">
        <f>MIDP!#REF!</f>
        <v>#REF!</v>
      </c>
    </row>
    <row r="10" spans="1:3" x14ac:dyDescent="0.2">
      <c r="A10" s="232">
        <f t="shared" si="0"/>
        <v>7</v>
      </c>
      <c r="B10" s="233" t="e">
        <f>MIDP!#REF!</f>
        <v>#REF!</v>
      </c>
      <c r="C10" s="233" t="e">
        <f>MIDP!#REF!</f>
        <v>#REF!</v>
      </c>
    </row>
    <row r="11" spans="1:3" x14ac:dyDescent="0.2">
      <c r="A11" s="232">
        <f t="shared" si="0"/>
        <v>8</v>
      </c>
      <c r="B11" s="233" t="e">
        <f>MIDP!#REF!</f>
        <v>#REF!</v>
      </c>
      <c r="C11" s="233" t="e">
        <f>MIDP!#REF!</f>
        <v>#REF!</v>
      </c>
    </row>
    <row r="12" spans="1:3" x14ac:dyDescent="0.2">
      <c r="A12" s="232">
        <f t="shared" si="0"/>
        <v>9</v>
      </c>
      <c r="B12" s="233" t="e">
        <f>MIDP!#REF!</f>
        <v>#REF!</v>
      </c>
      <c r="C12" s="233" t="e">
        <f>MIDP!#REF!</f>
        <v>#REF!</v>
      </c>
    </row>
    <row r="13" spans="1:3" x14ac:dyDescent="0.2">
      <c r="A13" s="232">
        <f t="shared" si="0"/>
        <v>10</v>
      </c>
      <c r="B13" s="233" t="e">
        <f>MIDP!#REF!</f>
        <v>#REF!</v>
      </c>
      <c r="C13" s="233" t="e">
        <f>MIDP!#REF!</f>
        <v>#REF!</v>
      </c>
    </row>
    <row r="14" spans="1:3" x14ac:dyDescent="0.2">
      <c r="A14" s="232">
        <f t="shared" si="0"/>
        <v>11</v>
      </c>
      <c r="B14" s="233" t="e">
        <f>MIDP!#REF!</f>
        <v>#REF!</v>
      </c>
      <c r="C14" s="233" t="e">
        <f>MIDP!#REF!</f>
        <v>#REF!</v>
      </c>
    </row>
    <row r="15" spans="1:3" x14ac:dyDescent="0.2">
      <c r="A15" s="232">
        <f t="shared" si="0"/>
        <v>12</v>
      </c>
      <c r="B15" s="233" t="e">
        <f>MIDP!#REF!</f>
        <v>#REF!</v>
      </c>
      <c r="C15" s="233" t="e">
        <f>MIDP!#REF!</f>
        <v>#REF!</v>
      </c>
    </row>
    <row r="16" spans="1:3" x14ac:dyDescent="0.2">
      <c r="A16" s="232">
        <f t="shared" si="0"/>
        <v>13</v>
      </c>
      <c r="B16" s="233" t="e">
        <f>MIDP!#REF!</f>
        <v>#REF!</v>
      </c>
      <c r="C16" s="233" t="e">
        <f>MIDP!#REF!</f>
        <v>#REF!</v>
      </c>
    </row>
    <row r="17" spans="1:3" x14ac:dyDescent="0.2">
      <c r="A17" s="232">
        <f t="shared" si="0"/>
        <v>14</v>
      </c>
      <c r="B17" s="233" t="e">
        <f>MIDP!#REF!</f>
        <v>#REF!</v>
      </c>
      <c r="C17" s="233" t="e">
        <f>MIDP!#REF!</f>
        <v>#REF!</v>
      </c>
    </row>
    <row r="18" spans="1:3" x14ac:dyDescent="0.2">
      <c r="A18" s="232">
        <f t="shared" si="0"/>
        <v>15</v>
      </c>
      <c r="B18" s="233" t="e">
        <f>MIDP!#REF!</f>
        <v>#REF!</v>
      </c>
      <c r="C18" s="233" t="e">
        <f>MIDP!#REF!</f>
        <v>#REF!</v>
      </c>
    </row>
    <row r="19" spans="1:3" x14ac:dyDescent="0.2">
      <c r="A19" s="232">
        <f t="shared" si="0"/>
        <v>16</v>
      </c>
      <c r="B19" s="233" t="e">
        <f>MIDP!#REF!</f>
        <v>#REF!</v>
      </c>
      <c r="C19" s="233" t="e">
        <f>MIDP!#REF!</f>
        <v>#REF!</v>
      </c>
    </row>
    <row r="20" spans="1:3" x14ac:dyDescent="0.2">
      <c r="A20" s="232">
        <f t="shared" si="0"/>
        <v>17</v>
      </c>
      <c r="B20" s="233" t="e">
        <f>MIDP!#REF!</f>
        <v>#REF!</v>
      </c>
      <c r="C20" s="233" t="e">
        <f>MIDP!#REF!</f>
        <v>#REF!</v>
      </c>
    </row>
    <row r="21" spans="1:3" x14ac:dyDescent="0.2">
      <c r="A21" s="232">
        <f t="shared" si="0"/>
        <v>18</v>
      </c>
      <c r="B21" s="233" t="e">
        <f>MIDP!#REF!</f>
        <v>#REF!</v>
      </c>
      <c r="C21" s="233" t="e">
        <f>MIDP!#REF!</f>
        <v>#REF!</v>
      </c>
    </row>
    <row r="22" spans="1:3" x14ac:dyDescent="0.2">
      <c r="A22" s="232">
        <f t="shared" si="0"/>
        <v>19</v>
      </c>
      <c r="B22" s="233" t="e">
        <f>MIDP!#REF!</f>
        <v>#REF!</v>
      </c>
      <c r="C22" s="233" t="e">
        <f>MIDP!#REF!</f>
        <v>#REF!</v>
      </c>
    </row>
    <row r="23" spans="1:3" x14ac:dyDescent="0.2">
      <c r="A23" s="232">
        <f t="shared" si="0"/>
        <v>20</v>
      </c>
      <c r="B23" s="233" t="e">
        <f>MIDP!#REF!</f>
        <v>#REF!</v>
      </c>
      <c r="C23" s="233" t="e">
        <f>MIDP!#REF!</f>
        <v>#REF!</v>
      </c>
    </row>
    <row r="24" spans="1:3" x14ac:dyDescent="0.2">
      <c r="A24" s="232">
        <f t="shared" si="0"/>
        <v>21</v>
      </c>
      <c r="B24" s="233" t="e">
        <f>MIDP!#REF!</f>
        <v>#REF!</v>
      </c>
      <c r="C24" s="233" t="e">
        <f>MIDP!#REF!</f>
        <v>#REF!</v>
      </c>
    </row>
    <row r="25" spans="1:3" x14ac:dyDescent="0.2">
      <c r="A25" s="232">
        <f t="shared" si="0"/>
        <v>22</v>
      </c>
      <c r="B25" s="233" t="e">
        <f>MIDP!#REF!</f>
        <v>#REF!</v>
      </c>
      <c r="C25" s="233" t="e">
        <f>MIDP!#REF!</f>
        <v>#REF!</v>
      </c>
    </row>
    <row r="26" spans="1:3" x14ac:dyDescent="0.2">
      <c r="A26" s="232">
        <f t="shared" si="0"/>
        <v>23</v>
      </c>
      <c r="B26" s="233" t="e">
        <f>MIDP!#REF!</f>
        <v>#REF!</v>
      </c>
      <c r="C26" s="233" t="e">
        <f>MIDP!#REF!</f>
        <v>#REF!</v>
      </c>
    </row>
    <row r="27" spans="1:3" x14ac:dyDescent="0.2">
      <c r="A27" s="232">
        <f t="shared" si="0"/>
        <v>24</v>
      </c>
      <c r="B27" s="233" t="e">
        <f>MIDP!#REF!</f>
        <v>#REF!</v>
      </c>
      <c r="C27" s="233" t="e">
        <f>MIDP!#REF!</f>
        <v>#REF!</v>
      </c>
    </row>
    <row r="28" spans="1:3" x14ac:dyDescent="0.2">
      <c r="A28" s="232">
        <f t="shared" si="0"/>
        <v>25</v>
      </c>
      <c r="B28" s="233" t="e">
        <f>MIDP!#REF!</f>
        <v>#REF!</v>
      </c>
      <c r="C28" s="233" t="e">
        <f>MIDP!#REF!</f>
        <v>#REF!</v>
      </c>
    </row>
    <row r="29" spans="1:3" x14ac:dyDescent="0.2">
      <c r="A29" s="232">
        <f t="shared" si="0"/>
        <v>26</v>
      </c>
      <c r="B29" s="233" t="e">
        <f>MIDP!#REF!</f>
        <v>#REF!</v>
      </c>
      <c r="C29" s="233" t="e">
        <f>MIDP!#REF!</f>
        <v>#REF!</v>
      </c>
    </row>
  </sheetData>
  <mergeCells count="2">
    <mergeCell ref="A1:C1"/>
    <mergeCell ref="A3:C3"/>
  </mergeCells>
  <printOptions horizontalCentered="1" verticalCentered="1"/>
  <pageMargins left="0.7" right="0.7" top="0.75" bottom="0.75" header="0.3" footer="0.3"/>
  <pageSetup paperSize="141"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DB61A-88F0-4A2C-986C-2158BB59FC7F}">
  <sheetPr>
    <pageSetUpPr fitToPage="1"/>
  </sheetPr>
  <dimension ref="A1:C76"/>
  <sheetViews>
    <sheetView zoomScale="90" zoomScaleNormal="90" workbookViewId="0">
      <selection activeCell="H5" sqref="H5"/>
    </sheetView>
  </sheetViews>
  <sheetFormatPr defaultColWidth="9.28515625" defaultRowHeight="12.75" x14ac:dyDescent="0.2"/>
  <cols>
    <col min="1" max="1" width="8.7109375" style="234" customWidth="1"/>
    <col min="2" max="2" width="19.7109375" style="229" customWidth="1"/>
    <col min="3" max="3" width="83.7109375" style="229" customWidth="1"/>
    <col min="4" max="16384" width="9.28515625" style="229"/>
  </cols>
  <sheetData>
    <row r="1" spans="1:3" ht="58.7" customHeight="1" x14ac:dyDescent="0.2">
      <c r="A1" s="305" t="s">
        <v>696</v>
      </c>
      <c r="B1" s="305"/>
      <c r="C1" s="305"/>
    </row>
    <row r="2" spans="1:3" s="231" customFormat="1" ht="24.4" customHeight="1" x14ac:dyDescent="0.2">
      <c r="A2" s="230" t="s">
        <v>697</v>
      </c>
      <c r="B2" s="230" t="s">
        <v>698</v>
      </c>
      <c r="C2" s="230" t="s">
        <v>699</v>
      </c>
    </row>
    <row r="3" spans="1:3" ht="15.95" customHeight="1" x14ac:dyDescent="0.2">
      <c r="A3" s="309" t="s">
        <v>701</v>
      </c>
      <c r="B3" s="310"/>
      <c r="C3" s="311"/>
    </row>
    <row r="4" spans="1:3" ht="15.95" customHeight="1" x14ac:dyDescent="0.2">
      <c r="A4" s="237">
        <v>1</v>
      </c>
      <c r="B4" s="238" t="e">
        <f>MIDP!#REF!</f>
        <v>#REF!</v>
      </c>
      <c r="C4" s="238" t="e">
        <f>MIDP!#REF!</f>
        <v>#REF!</v>
      </c>
    </row>
    <row r="5" spans="1:3" ht="15.95" customHeight="1" x14ac:dyDescent="0.2">
      <c r="A5" s="237">
        <f t="shared" ref="A5:A22" si="0">A4+1</f>
        <v>2</v>
      </c>
      <c r="B5" s="238" t="e">
        <f>MIDP!#REF!</f>
        <v>#REF!</v>
      </c>
      <c r="C5" s="238" t="e">
        <f>MIDP!#REF!</f>
        <v>#REF!</v>
      </c>
    </row>
    <row r="6" spans="1:3" ht="15.95" customHeight="1" x14ac:dyDescent="0.2">
      <c r="A6" s="237">
        <f t="shared" si="0"/>
        <v>3</v>
      </c>
      <c r="B6" s="238" t="e">
        <f>MIDP!#REF!</f>
        <v>#REF!</v>
      </c>
      <c r="C6" s="238" t="e">
        <f>MIDP!#REF!</f>
        <v>#REF!</v>
      </c>
    </row>
    <row r="7" spans="1:3" ht="15.95" customHeight="1" x14ac:dyDescent="0.2">
      <c r="A7" s="237">
        <f t="shared" si="0"/>
        <v>4</v>
      </c>
      <c r="B7" s="238" t="e">
        <f>MIDP!#REF!</f>
        <v>#REF!</v>
      </c>
      <c r="C7" s="238" t="e">
        <f>MIDP!#REF!</f>
        <v>#REF!</v>
      </c>
    </row>
    <row r="8" spans="1:3" ht="15.95" customHeight="1" x14ac:dyDescent="0.2">
      <c r="A8" s="237">
        <f t="shared" si="0"/>
        <v>5</v>
      </c>
      <c r="B8" s="238" t="e">
        <f>MIDP!#REF!</f>
        <v>#REF!</v>
      </c>
      <c r="C8" s="238" t="e">
        <f>MIDP!#REF!</f>
        <v>#REF!</v>
      </c>
    </row>
    <row r="9" spans="1:3" ht="15.95" customHeight="1" x14ac:dyDescent="0.2">
      <c r="A9" s="237">
        <f t="shared" si="0"/>
        <v>6</v>
      </c>
      <c r="B9" s="238" t="e">
        <f>MIDP!#REF!</f>
        <v>#REF!</v>
      </c>
      <c r="C9" s="238" t="e">
        <f>MIDP!#REF!</f>
        <v>#REF!</v>
      </c>
    </row>
    <row r="10" spans="1:3" ht="15.95" customHeight="1" x14ac:dyDescent="0.2">
      <c r="A10" s="237">
        <f t="shared" si="0"/>
        <v>7</v>
      </c>
      <c r="B10" s="238" t="e">
        <f>MIDP!#REF!</f>
        <v>#REF!</v>
      </c>
      <c r="C10" s="238" t="e">
        <f>MIDP!#REF!</f>
        <v>#REF!</v>
      </c>
    </row>
    <row r="11" spans="1:3" ht="15.95" customHeight="1" x14ac:dyDescent="0.2">
      <c r="A11" s="237">
        <f t="shared" si="0"/>
        <v>8</v>
      </c>
      <c r="B11" s="238" t="e">
        <f>MIDP!#REF!</f>
        <v>#REF!</v>
      </c>
      <c r="C11" s="238" t="e">
        <f>MIDP!#REF!</f>
        <v>#REF!</v>
      </c>
    </row>
    <row r="12" spans="1:3" ht="15.95" customHeight="1" x14ac:dyDescent="0.2">
      <c r="A12" s="237">
        <f t="shared" si="0"/>
        <v>9</v>
      </c>
      <c r="B12" s="238" t="e">
        <f>MIDP!#REF!</f>
        <v>#REF!</v>
      </c>
      <c r="C12" s="238" t="e">
        <f>MIDP!#REF!</f>
        <v>#REF!</v>
      </c>
    </row>
    <row r="13" spans="1:3" ht="15.95" customHeight="1" x14ac:dyDescent="0.2">
      <c r="A13" s="237">
        <f t="shared" si="0"/>
        <v>10</v>
      </c>
      <c r="B13" s="238" t="e">
        <f>MIDP!#REF!</f>
        <v>#REF!</v>
      </c>
      <c r="C13" s="238" t="e">
        <f>MIDP!#REF!</f>
        <v>#REF!</v>
      </c>
    </row>
    <row r="14" spans="1:3" ht="15.95" customHeight="1" x14ac:dyDescent="0.2">
      <c r="A14" s="237">
        <f t="shared" si="0"/>
        <v>11</v>
      </c>
      <c r="B14" s="238" t="e">
        <f>MIDP!#REF!</f>
        <v>#REF!</v>
      </c>
      <c r="C14" s="238" t="e">
        <f>MIDP!#REF!</f>
        <v>#REF!</v>
      </c>
    </row>
    <row r="15" spans="1:3" ht="15.95" customHeight="1" x14ac:dyDescent="0.2">
      <c r="A15" s="237">
        <f t="shared" si="0"/>
        <v>12</v>
      </c>
      <c r="B15" s="238" t="e">
        <f>MIDP!#REF!</f>
        <v>#REF!</v>
      </c>
      <c r="C15" s="238" t="e">
        <f>MIDP!#REF!</f>
        <v>#REF!</v>
      </c>
    </row>
    <row r="16" spans="1:3" ht="15.95" customHeight="1" x14ac:dyDescent="0.2">
      <c r="A16" s="237">
        <f t="shared" si="0"/>
        <v>13</v>
      </c>
      <c r="B16" s="238" t="e">
        <f>MIDP!#REF!</f>
        <v>#REF!</v>
      </c>
      <c r="C16" s="238" t="e">
        <f>MIDP!#REF!</f>
        <v>#REF!</v>
      </c>
    </row>
    <row r="17" spans="1:3" ht="15.95" customHeight="1" x14ac:dyDescent="0.2">
      <c r="A17" s="237">
        <f t="shared" si="0"/>
        <v>14</v>
      </c>
      <c r="B17" s="238" t="e">
        <f>MIDP!#REF!</f>
        <v>#REF!</v>
      </c>
      <c r="C17" s="238" t="e">
        <f>MIDP!#REF!</f>
        <v>#REF!</v>
      </c>
    </row>
    <row r="18" spans="1:3" ht="15.95" customHeight="1" x14ac:dyDescent="0.2">
      <c r="A18" s="237">
        <f t="shared" si="0"/>
        <v>15</v>
      </c>
      <c r="B18" s="238" t="e">
        <f>MIDP!#REF!</f>
        <v>#REF!</v>
      </c>
      <c r="C18" s="238" t="e">
        <f>MIDP!#REF!</f>
        <v>#REF!</v>
      </c>
    </row>
    <row r="19" spans="1:3" ht="15.95" customHeight="1" x14ac:dyDescent="0.2">
      <c r="A19" s="237">
        <f t="shared" si="0"/>
        <v>16</v>
      </c>
      <c r="B19" s="238" t="e">
        <f>MIDP!#REF!</f>
        <v>#REF!</v>
      </c>
      <c r="C19" s="238" t="e">
        <f>MIDP!#REF!</f>
        <v>#REF!</v>
      </c>
    </row>
    <row r="20" spans="1:3" ht="15.95" customHeight="1" x14ac:dyDescent="0.2">
      <c r="A20" s="237">
        <f>A19+1</f>
        <v>17</v>
      </c>
      <c r="B20" s="238" t="e">
        <f>MIDP!#REF!</f>
        <v>#REF!</v>
      </c>
      <c r="C20" s="238" t="e">
        <f>MIDP!#REF!</f>
        <v>#REF!</v>
      </c>
    </row>
    <row r="21" spans="1:3" ht="15.95" customHeight="1" x14ac:dyDescent="0.2">
      <c r="A21" s="237">
        <f t="shared" si="0"/>
        <v>18</v>
      </c>
      <c r="B21" s="238" t="e">
        <f>MIDP!#REF!</f>
        <v>#REF!</v>
      </c>
      <c r="C21" s="238" t="e">
        <f>MIDP!#REF!</f>
        <v>#REF!</v>
      </c>
    </row>
    <row r="22" spans="1:3" ht="15.95" customHeight="1" x14ac:dyDescent="0.2">
      <c r="A22" s="237">
        <f t="shared" si="0"/>
        <v>19</v>
      </c>
      <c r="B22" s="238" t="e">
        <f>MIDP!#REF!</f>
        <v>#REF!</v>
      </c>
      <c r="C22" s="238" t="e">
        <f>MIDP!#REF!</f>
        <v>#REF!</v>
      </c>
    </row>
    <row r="23" spans="1:3" ht="15.95" customHeight="1" x14ac:dyDescent="0.2">
      <c r="A23" s="237">
        <f t="shared" ref="A23:A76" si="1">A22+1</f>
        <v>20</v>
      </c>
      <c r="B23" s="238" t="e">
        <f>MIDP!#REF!</f>
        <v>#REF!</v>
      </c>
      <c r="C23" s="238" t="e">
        <f>MIDP!#REF!</f>
        <v>#REF!</v>
      </c>
    </row>
    <row r="24" spans="1:3" ht="15.95" customHeight="1" x14ac:dyDescent="0.2">
      <c r="A24" s="237">
        <f t="shared" si="1"/>
        <v>21</v>
      </c>
      <c r="B24" s="238" t="e">
        <f>MIDP!#REF!</f>
        <v>#REF!</v>
      </c>
      <c r="C24" s="238" t="e">
        <f>MIDP!#REF!</f>
        <v>#REF!</v>
      </c>
    </row>
    <row r="25" spans="1:3" ht="15.95" customHeight="1" x14ac:dyDescent="0.2">
      <c r="A25" s="237">
        <f t="shared" si="1"/>
        <v>22</v>
      </c>
      <c r="B25" s="238" t="e">
        <f>MIDP!#REF!</f>
        <v>#REF!</v>
      </c>
      <c r="C25" s="238" t="e">
        <f>MIDP!#REF!</f>
        <v>#REF!</v>
      </c>
    </row>
    <row r="26" spans="1:3" ht="15.95" customHeight="1" x14ac:dyDescent="0.2">
      <c r="A26" s="237">
        <f t="shared" si="1"/>
        <v>23</v>
      </c>
      <c r="B26" s="238" t="e">
        <f>MIDP!#REF!</f>
        <v>#REF!</v>
      </c>
      <c r="C26" s="238" t="e">
        <f>MIDP!#REF!</f>
        <v>#REF!</v>
      </c>
    </row>
    <row r="27" spans="1:3" ht="15.95" customHeight="1" x14ac:dyDescent="0.2">
      <c r="A27" s="237">
        <f t="shared" si="1"/>
        <v>24</v>
      </c>
      <c r="B27" s="238" t="e">
        <f>MIDP!#REF!</f>
        <v>#REF!</v>
      </c>
      <c r="C27" s="238" t="e">
        <f>MIDP!#REF!</f>
        <v>#REF!</v>
      </c>
    </row>
    <row r="28" spans="1:3" ht="15.95" customHeight="1" x14ac:dyDescent="0.2">
      <c r="A28" s="237">
        <f t="shared" si="1"/>
        <v>25</v>
      </c>
      <c r="B28" s="238" t="e">
        <f>MIDP!#REF!</f>
        <v>#REF!</v>
      </c>
      <c r="C28" s="238" t="e">
        <f>MIDP!#REF!</f>
        <v>#REF!</v>
      </c>
    </row>
    <row r="29" spans="1:3" ht="15.95" customHeight="1" x14ac:dyDescent="0.2">
      <c r="A29" s="237">
        <f t="shared" si="1"/>
        <v>26</v>
      </c>
      <c r="B29" s="238" t="e">
        <f>MIDP!#REF!</f>
        <v>#REF!</v>
      </c>
      <c r="C29" s="238" t="e">
        <f>MIDP!#REF!</f>
        <v>#REF!</v>
      </c>
    </row>
    <row r="30" spans="1:3" ht="15.95" customHeight="1" x14ac:dyDescent="0.2">
      <c r="A30" s="237">
        <f t="shared" si="1"/>
        <v>27</v>
      </c>
      <c r="B30" s="238" t="e">
        <f>MIDP!#REF!</f>
        <v>#REF!</v>
      </c>
      <c r="C30" s="238" t="e">
        <f>MIDP!#REF!</f>
        <v>#REF!</v>
      </c>
    </row>
    <row r="31" spans="1:3" ht="15.95" customHeight="1" x14ac:dyDescent="0.2">
      <c r="A31" s="237">
        <f t="shared" si="1"/>
        <v>28</v>
      </c>
      <c r="B31" s="238" t="e">
        <f>MIDP!#REF!</f>
        <v>#REF!</v>
      </c>
      <c r="C31" s="238" t="e">
        <f>MIDP!#REF!</f>
        <v>#REF!</v>
      </c>
    </row>
    <row r="32" spans="1:3" ht="15.95" customHeight="1" x14ac:dyDescent="0.2">
      <c r="A32" s="237">
        <f t="shared" si="1"/>
        <v>29</v>
      </c>
      <c r="B32" s="238" t="e">
        <f>MIDP!#REF!</f>
        <v>#REF!</v>
      </c>
      <c r="C32" s="238" t="e">
        <f>MIDP!#REF!</f>
        <v>#REF!</v>
      </c>
    </row>
    <row r="33" spans="1:3" ht="15.95" customHeight="1" x14ac:dyDescent="0.2">
      <c r="A33" s="237">
        <f t="shared" si="1"/>
        <v>30</v>
      </c>
      <c r="B33" s="238" t="e">
        <f>MIDP!#REF!</f>
        <v>#REF!</v>
      </c>
      <c r="C33" s="238" t="e">
        <f>MIDP!#REF!</f>
        <v>#REF!</v>
      </c>
    </row>
    <row r="34" spans="1:3" ht="15.95" customHeight="1" x14ac:dyDescent="0.2">
      <c r="A34" s="237">
        <f t="shared" si="1"/>
        <v>31</v>
      </c>
      <c r="B34" s="238" t="e">
        <f>MIDP!#REF!</f>
        <v>#REF!</v>
      </c>
      <c r="C34" s="238" t="e">
        <f>MIDP!#REF!</f>
        <v>#REF!</v>
      </c>
    </row>
    <row r="35" spans="1:3" ht="15.95" customHeight="1" x14ac:dyDescent="0.2">
      <c r="A35" s="237">
        <f t="shared" si="1"/>
        <v>32</v>
      </c>
      <c r="B35" s="238" t="e">
        <f>MIDP!#REF!</f>
        <v>#REF!</v>
      </c>
      <c r="C35" s="238" t="e">
        <f>MIDP!#REF!</f>
        <v>#REF!</v>
      </c>
    </row>
    <row r="36" spans="1:3" ht="15.95" customHeight="1" x14ac:dyDescent="0.2">
      <c r="A36" s="237">
        <f t="shared" si="1"/>
        <v>33</v>
      </c>
      <c r="B36" s="238" t="e">
        <f>MIDP!#REF!</f>
        <v>#REF!</v>
      </c>
      <c r="C36" s="238" t="e">
        <f>MIDP!#REF!</f>
        <v>#REF!</v>
      </c>
    </row>
    <row r="37" spans="1:3" ht="15.95" customHeight="1" x14ac:dyDescent="0.2">
      <c r="A37" s="237">
        <f t="shared" si="1"/>
        <v>34</v>
      </c>
      <c r="B37" s="238" t="e">
        <f>MIDP!#REF!</f>
        <v>#REF!</v>
      </c>
      <c r="C37" s="238" t="e">
        <f>MIDP!#REF!</f>
        <v>#REF!</v>
      </c>
    </row>
    <row r="38" spans="1:3" ht="15.95" customHeight="1" x14ac:dyDescent="0.2">
      <c r="A38" s="237">
        <f t="shared" si="1"/>
        <v>35</v>
      </c>
      <c r="B38" s="238" t="e">
        <f>MIDP!#REF!</f>
        <v>#REF!</v>
      </c>
      <c r="C38" s="238" t="e">
        <f>MIDP!#REF!</f>
        <v>#REF!</v>
      </c>
    </row>
    <row r="39" spans="1:3" ht="15.95" customHeight="1" x14ac:dyDescent="0.2">
      <c r="A39" s="237">
        <f t="shared" si="1"/>
        <v>36</v>
      </c>
      <c r="B39" s="238" t="e">
        <f>MIDP!#REF!</f>
        <v>#REF!</v>
      </c>
      <c r="C39" s="238" t="e">
        <f>MIDP!#REF!</f>
        <v>#REF!</v>
      </c>
    </row>
    <row r="40" spans="1:3" ht="15.95" customHeight="1" x14ac:dyDescent="0.2">
      <c r="A40" s="237">
        <f t="shared" si="1"/>
        <v>37</v>
      </c>
      <c r="B40" s="238" t="e">
        <f>MIDP!#REF!</f>
        <v>#REF!</v>
      </c>
      <c r="C40" s="238" t="e">
        <f>MIDP!#REF!</f>
        <v>#REF!</v>
      </c>
    </row>
    <row r="41" spans="1:3" ht="15.95" customHeight="1" x14ac:dyDescent="0.2">
      <c r="A41" s="237">
        <f t="shared" si="1"/>
        <v>38</v>
      </c>
      <c r="B41" s="238" t="e">
        <f>MIDP!#REF!</f>
        <v>#REF!</v>
      </c>
      <c r="C41" s="238" t="e">
        <f>MIDP!#REF!</f>
        <v>#REF!</v>
      </c>
    </row>
    <row r="42" spans="1:3" ht="15.95" customHeight="1" x14ac:dyDescent="0.2">
      <c r="A42" s="237">
        <f t="shared" si="1"/>
        <v>39</v>
      </c>
      <c r="B42" s="238" t="e">
        <f>MIDP!#REF!</f>
        <v>#REF!</v>
      </c>
      <c r="C42" s="238" t="e">
        <f>MIDP!#REF!</f>
        <v>#REF!</v>
      </c>
    </row>
    <row r="43" spans="1:3" ht="15.95" customHeight="1" x14ac:dyDescent="0.2">
      <c r="A43" s="237">
        <f t="shared" si="1"/>
        <v>40</v>
      </c>
      <c r="B43" s="238" t="e">
        <f>MIDP!#REF!</f>
        <v>#REF!</v>
      </c>
      <c r="C43" s="238" t="e">
        <f>MIDP!#REF!</f>
        <v>#REF!</v>
      </c>
    </row>
    <row r="44" spans="1:3" ht="15.95" customHeight="1" x14ac:dyDescent="0.2">
      <c r="A44" s="237">
        <f t="shared" si="1"/>
        <v>41</v>
      </c>
      <c r="B44" s="238" t="e">
        <f>MIDP!#REF!</f>
        <v>#REF!</v>
      </c>
      <c r="C44" s="238" t="e">
        <f>MIDP!#REF!</f>
        <v>#REF!</v>
      </c>
    </row>
    <row r="45" spans="1:3" ht="15.95" customHeight="1" x14ac:dyDescent="0.2">
      <c r="A45" s="237">
        <f t="shared" si="1"/>
        <v>42</v>
      </c>
      <c r="B45" s="238" t="e">
        <f>MIDP!#REF!</f>
        <v>#REF!</v>
      </c>
      <c r="C45" s="238" t="e">
        <f>MIDP!#REF!</f>
        <v>#REF!</v>
      </c>
    </row>
    <row r="46" spans="1:3" ht="15.95" customHeight="1" x14ac:dyDescent="0.2">
      <c r="A46" s="237">
        <f t="shared" si="1"/>
        <v>43</v>
      </c>
      <c r="B46" s="238" t="e">
        <f>MIDP!#REF!</f>
        <v>#REF!</v>
      </c>
      <c r="C46" s="238" t="e">
        <f>MIDP!#REF!</f>
        <v>#REF!</v>
      </c>
    </row>
    <row r="47" spans="1:3" ht="15.95" customHeight="1" x14ac:dyDescent="0.2">
      <c r="A47" s="237">
        <f t="shared" si="1"/>
        <v>44</v>
      </c>
      <c r="B47" s="238" t="e">
        <f>MIDP!#REF!</f>
        <v>#REF!</v>
      </c>
      <c r="C47" s="238" t="e">
        <f>MIDP!#REF!</f>
        <v>#REF!</v>
      </c>
    </row>
    <row r="48" spans="1:3" ht="15.95" customHeight="1" x14ac:dyDescent="0.2">
      <c r="A48" s="237">
        <f t="shared" si="1"/>
        <v>45</v>
      </c>
      <c r="B48" s="238" t="e">
        <f>MIDP!#REF!</f>
        <v>#REF!</v>
      </c>
      <c r="C48" s="238" t="e">
        <f>MIDP!#REF!</f>
        <v>#REF!</v>
      </c>
    </row>
    <row r="49" spans="1:3" ht="15.95" customHeight="1" x14ac:dyDescent="0.2">
      <c r="A49" s="237">
        <f t="shared" si="1"/>
        <v>46</v>
      </c>
      <c r="B49" s="238" t="e">
        <f>MIDP!#REF!</f>
        <v>#REF!</v>
      </c>
      <c r="C49" s="238" t="e">
        <f>MIDP!#REF!</f>
        <v>#REF!</v>
      </c>
    </row>
    <row r="50" spans="1:3" ht="15.95" customHeight="1" x14ac:dyDescent="0.2">
      <c r="A50" s="237">
        <f t="shared" si="1"/>
        <v>47</v>
      </c>
      <c r="B50" s="238" t="e">
        <f>MIDP!#REF!</f>
        <v>#REF!</v>
      </c>
      <c r="C50" s="238" t="e">
        <f>MIDP!#REF!</f>
        <v>#REF!</v>
      </c>
    </row>
    <row r="51" spans="1:3" ht="15.95" customHeight="1" x14ac:dyDescent="0.2">
      <c r="A51" s="237">
        <f t="shared" si="1"/>
        <v>48</v>
      </c>
      <c r="B51" s="238" t="e">
        <f>MIDP!#REF!</f>
        <v>#REF!</v>
      </c>
      <c r="C51" s="238" t="e">
        <f>MIDP!#REF!</f>
        <v>#REF!</v>
      </c>
    </row>
    <row r="52" spans="1:3" ht="15.95" customHeight="1" x14ac:dyDescent="0.2">
      <c r="A52" s="237">
        <f t="shared" si="1"/>
        <v>49</v>
      </c>
      <c r="B52" s="238" t="e">
        <f>MIDP!#REF!</f>
        <v>#REF!</v>
      </c>
      <c r="C52" s="238" t="e">
        <f>MIDP!#REF!</f>
        <v>#REF!</v>
      </c>
    </row>
    <row r="53" spans="1:3" ht="15.95" customHeight="1" x14ac:dyDescent="0.2">
      <c r="A53" s="237">
        <f t="shared" si="1"/>
        <v>50</v>
      </c>
      <c r="B53" s="238" t="e">
        <f>MIDP!#REF!</f>
        <v>#REF!</v>
      </c>
      <c r="C53" s="238" t="e">
        <f>MIDP!#REF!</f>
        <v>#REF!</v>
      </c>
    </row>
    <row r="54" spans="1:3" ht="15.95" customHeight="1" x14ac:dyDescent="0.2">
      <c r="A54" s="237">
        <f t="shared" si="1"/>
        <v>51</v>
      </c>
      <c r="B54" s="238" t="e">
        <f>MIDP!#REF!</f>
        <v>#REF!</v>
      </c>
      <c r="C54" s="238" t="e">
        <f>MIDP!#REF!</f>
        <v>#REF!</v>
      </c>
    </row>
    <row r="55" spans="1:3" ht="15.95" customHeight="1" x14ac:dyDescent="0.2">
      <c r="A55" s="237">
        <f t="shared" si="1"/>
        <v>52</v>
      </c>
      <c r="B55" s="238" t="e">
        <f>MIDP!#REF!</f>
        <v>#REF!</v>
      </c>
      <c r="C55" s="238" t="e">
        <f>MIDP!#REF!</f>
        <v>#REF!</v>
      </c>
    </row>
    <row r="56" spans="1:3" ht="15.95" customHeight="1" x14ac:dyDescent="0.2">
      <c r="A56" s="237">
        <f t="shared" si="1"/>
        <v>53</v>
      </c>
      <c r="B56" s="238" t="e">
        <f>MIDP!#REF!</f>
        <v>#REF!</v>
      </c>
      <c r="C56" s="238" t="e">
        <f>MIDP!#REF!</f>
        <v>#REF!</v>
      </c>
    </row>
    <row r="57" spans="1:3" ht="15.95" customHeight="1" x14ac:dyDescent="0.2">
      <c r="A57" s="237">
        <f t="shared" si="1"/>
        <v>54</v>
      </c>
      <c r="B57" s="238" t="e">
        <f>MIDP!#REF!</f>
        <v>#REF!</v>
      </c>
      <c r="C57" s="238" t="e">
        <f>MIDP!#REF!</f>
        <v>#REF!</v>
      </c>
    </row>
    <row r="58" spans="1:3" ht="15.95" customHeight="1" x14ac:dyDescent="0.2">
      <c r="A58" s="237">
        <f t="shared" si="1"/>
        <v>55</v>
      </c>
      <c r="B58" s="238" t="e">
        <f>MIDP!#REF!</f>
        <v>#REF!</v>
      </c>
      <c r="C58" s="238" t="e">
        <f>MIDP!#REF!</f>
        <v>#REF!</v>
      </c>
    </row>
    <row r="59" spans="1:3" ht="15.95" customHeight="1" x14ac:dyDescent="0.2">
      <c r="A59" s="237">
        <f t="shared" si="1"/>
        <v>56</v>
      </c>
      <c r="B59" s="238" t="e">
        <f>MIDP!#REF!</f>
        <v>#REF!</v>
      </c>
      <c r="C59" s="238" t="e">
        <f>MIDP!#REF!</f>
        <v>#REF!</v>
      </c>
    </row>
    <row r="60" spans="1:3" ht="15.95" customHeight="1" x14ac:dyDescent="0.2">
      <c r="A60" s="237">
        <f t="shared" si="1"/>
        <v>57</v>
      </c>
      <c r="B60" s="238" t="e">
        <f>MIDP!#REF!</f>
        <v>#REF!</v>
      </c>
      <c r="C60" s="238" t="e">
        <f>MIDP!#REF!</f>
        <v>#REF!</v>
      </c>
    </row>
    <row r="61" spans="1:3" ht="15.95" customHeight="1" x14ac:dyDescent="0.2">
      <c r="A61" s="237">
        <f t="shared" si="1"/>
        <v>58</v>
      </c>
      <c r="B61" s="238" t="e">
        <f>MIDP!#REF!</f>
        <v>#REF!</v>
      </c>
      <c r="C61" s="238" t="e">
        <f>MIDP!#REF!</f>
        <v>#REF!</v>
      </c>
    </row>
    <row r="62" spans="1:3" ht="15.95" customHeight="1" x14ac:dyDescent="0.2">
      <c r="A62" s="237">
        <f t="shared" si="1"/>
        <v>59</v>
      </c>
      <c r="B62" s="238" t="e">
        <f>MIDP!#REF!</f>
        <v>#REF!</v>
      </c>
      <c r="C62" s="238" t="e">
        <f>MIDP!#REF!</f>
        <v>#REF!</v>
      </c>
    </row>
    <row r="63" spans="1:3" ht="15.95" customHeight="1" x14ac:dyDescent="0.2">
      <c r="A63" s="237">
        <f t="shared" si="1"/>
        <v>60</v>
      </c>
      <c r="B63" s="238" t="e">
        <f>MIDP!#REF!</f>
        <v>#REF!</v>
      </c>
      <c r="C63" s="238" t="e">
        <f>MIDP!#REF!</f>
        <v>#REF!</v>
      </c>
    </row>
    <row r="64" spans="1:3" ht="15.95" customHeight="1" x14ac:dyDescent="0.2">
      <c r="A64" s="237">
        <f t="shared" si="1"/>
        <v>61</v>
      </c>
      <c r="B64" s="238" t="e">
        <f>MIDP!#REF!</f>
        <v>#REF!</v>
      </c>
      <c r="C64" s="238" t="e">
        <f>MIDP!#REF!</f>
        <v>#REF!</v>
      </c>
    </row>
    <row r="65" spans="1:3" ht="15.95" customHeight="1" x14ac:dyDescent="0.2">
      <c r="A65" s="237">
        <f t="shared" si="1"/>
        <v>62</v>
      </c>
      <c r="B65" s="238" t="e">
        <f>MIDP!#REF!</f>
        <v>#REF!</v>
      </c>
      <c r="C65" s="238" t="e">
        <f>MIDP!#REF!</f>
        <v>#REF!</v>
      </c>
    </row>
    <row r="66" spans="1:3" ht="15.95" customHeight="1" x14ac:dyDescent="0.2">
      <c r="A66" s="237">
        <f t="shared" si="1"/>
        <v>63</v>
      </c>
      <c r="B66" s="238" t="e">
        <f>MIDP!#REF!</f>
        <v>#REF!</v>
      </c>
      <c r="C66" s="238" t="e">
        <f>MIDP!#REF!</f>
        <v>#REF!</v>
      </c>
    </row>
    <row r="67" spans="1:3" ht="15.95" customHeight="1" x14ac:dyDescent="0.2">
      <c r="A67" s="237">
        <f t="shared" si="1"/>
        <v>64</v>
      </c>
      <c r="B67" s="238" t="e">
        <f>MIDP!#REF!</f>
        <v>#REF!</v>
      </c>
      <c r="C67" s="238" t="e">
        <f>MIDP!#REF!</f>
        <v>#REF!</v>
      </c>
    </row>
    <row r="68" spans="1:3" ht="15.95" customHeight="1" x14ac:dyDescent="0.2">
      <c r="A68" s="237">
        <f t="shared" si="1"/>
        <v>65</v>
      </c>
      <c r="B68" s="238" t="e">
        <f>MIDP!#REF!</f>
        <v>#REF!</v>
      </c>
      <c r="C68" s="238" t="e">
        <f>MIDP!#REF!</f>
        <v>#REF!</v>
      </c>
    </row>
    <row r="69" spans="1:3" ht="15.95" customHeight="1" x14ac:dyDescent="0.2">
      <c r="A69" s="237">
        <f t="shared" si="1"/>
        <v>66</v>
      </c>
      <c r="B69" s="238" t="e">
        <f>MIDP!#REF!</f>
        <v>#REF!</v>
      </c>
      <c r="C69" s="238" t="e">
        <f>MIDP!#REF!</f>
        <v>#REF!</v>
      </c>
    </row>
    <row r="70" spans="1:3" hidden="1" x14ac:dyDescent="0.2">
      <c r="A70" s="232">
        <f t="shared" si="1"/>
        <v>67</v>
      </c>
      <c r="B70" s="233" t="e">
        <f>MIDP!#REF!</f>
        <v>#REF!</v>
      </c>
      <c r="C70" s="233" t="e">
        <f>MIDP!#REF!</f>
        <v>#REF!</v>
      </c>
    </row>
    <row r="71" spans="1:3" hidden="1" x14ac:dyDescent="0.2">
      <c r="A71" s="232">
        <f t="shared" si="1"/>
        <v>68</v>
      </c>
      <c r="B71" s="233" t="e">
        <f>MIDP!#REF!</f>
        <v>#REF!</v>
      </c>
      <c r="C71" s="233" t="e">
        <f>MIDP!#REF!</f>
        <v>#REF!</v>
      </c>
    </row>
    <row r="72" spans="1:3" hidden="1" x14ac:dyDescent="0.2">
      <c r="A72" s="232">
        <f t="shared" si="1"/>
        <v>69</v>
      </c>
      <c r="B72" s="233" t="e">
        <f>MIDP!#REF!</f>
        <v>#REF!</v>
      </c>
      <c r="C72" s="233" t="e">
        <f>MIDP!#REF!</f>
        <v>#REF!</v>
      </c>
    </row>
    <row r="73" spans="1:3" hidden="1" x14ac:dyDescent="0.2">
      <c r="A73" s="232">
        <f t="shared" si="1"/>
        <v>70</v>
      </c>
      <c r="B73" s="233" t="e">
        <f>MIDP!#REF!</f>
        <v>#REF!</v>
      </c>
      <c r="C73" s="233" t="e">
        <f>MIDP!#REF!</f>
        <v>#REF!</v>
      </c>
    </row>
    <row r="74" spans="1:3" hidden="1" x14ac:dyDescent="0.2">
      <c r="A74" s="232">
        <f t="shared" si="1"/>
        <v>71</v>
      </c>
      <c r="B74" s="233" t="e">
        <f>MIDP!#REF!</f>
        <v>#REF!</v>
      </c>
      <c r="C74" s="233" t="e">
        <f>MIDP!#REF!</f>
        <v>#REF!</v>
      </c>
    </row>
    <row r="75" spans="1:3" hidden="1" x14ac:dyDescent="0.2">
      <c r="A75" s="232">
        <f t="shared" si="1"/>
        <v>72</v>
      </c>
      <c r="B75" s="233" t="e">
        <f>MIDP!#REF!</f>
        <v>#REF!</v>
      </c>
      <c r="C75" s="233" t="e">
        <f>MIDP!#REF!</f>
        <v>#REF!</v>
      </c>
    </row>
    <row r="76" spans="1:3" hidden="1" x14ac:dyDescent="0.2">
      <c r="A76" s="232">
        <f t="shared" si="1"/>
        <v>73</v>
      </c>
      <c r="B76" s="233" t="e">
        <f>MIDP!#REF!</f>
        <v>#REF!</v>
      </c>
      <c r="C76" s="233" t="e">
        <f>MIDP!#REF!</f>
        <v>#REF!</v>
      </c>
    </row>
  </sheetData>
  <mergeCells count="2">
    <mergeCell ref="A1:C1"/>
    <mergeCell ref="A3:C3"/>
  </mergeCells>
  <printOptions horizontalCentered="1" verticalCentered="1"/>
  <pageMargins left="0.7" right="0.7" top="0.75" bottom="0.75" header="0.3" footer="0.3"/>
  <pageSetup paperSize="225"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4F5C3-7F42-48AC-99EE-A04AA4F3B2D7}">
  <sheetPr>
    <pageSetUpPr fitToPage="1"/>
  </sheetPr>
  <dimension ref="A1:H50"/>
  <sheetViews>
    <sheetView zoomScale="80" zoomScaleNormal="80" workbookViewId="0">
      <selection activeCell="G30" sqref="G30"/>
    </sheetView>
  </sheetViews>
  <sheetFormatPr defaultColWidth="9.28515625" defaultRowHeight="12.75" x14ac:dyDescent="0.2"/>
  <cols>
    <col min="1" max="1" width="8.7109375" style="234" customWidth="1"/>
    <col min="2" max="2" width="19.7109375" style="229" customWidth="1"/>
    <col min="3" max="3" width="90.7109375" style="229" customWidth="1"/>
    <col min="4" max="4" width="11" style="229" customWidth="1"/>
    <col min="5" max="5" width="8.7109375" style="234" customWidth="1"/>
    <col min="6" max="6" width="19.7109375" style="229" customWidth="1"/>
    <col min="7" max="7" width="90.7109375" style="229" customWidth="1"/>
    <col min="8" max="8" width="2.7109375" style="229" customWidth="1"/>
    <col min="9" max="16384" width="9.28515625" style="229"/>
  </cols>
  <sheetData>
    <row r="1" spans="1:8" ht="93" customHeight="1" x14ac:dyDescent="0.2">
      <c r="A1" s="312" t="s">
        <v>696</v>
      </c>
      <c r="B1" s="312"/>
      <c r="C1" s="312"/>
      <c r="D1" s="312"/>
      <c r="E1" s="312"/>
      <c r="F1" s="312"/>
      <c r="G1" s="312"/>
      <c r="H1" s="312"/>
    </row>
    <row r="2" spans="1:8" s="241" customFormat="1" ht="24.4" customHeight="1" x14ac:dyDescent="0.2">
      <c r="A2" s="240" t="s">
        <v>697</v>
      </c>
      <c r="B2" s="240" t="s">
        <v>698</v>
      </c>
      <c r="C2" s="240" t="s">
        <v>699</v>
      </c>
      <c r="E2" s="240" t="s">
        <v>697</v>
      </c>
      <c r="F2" s="240" t="s">
        <v>698</v>
      </c>
      <c r="G2" s="240" t="s">
        <v>699</v>
      </c>
    </row>
    <row r="3" spans="1:8" s="239" customFormat="1" ht="18" customHeight="1" x14ac:dyDescent="0.2">
      <c r="A3" s="313" t="s">
        <v>702</v>
      </c>
      <c r="B3" s="314"/>
      <c r="C3" s="315"/>
      <c r="E3" s="237">
        <f>A50+1</f>
        <v>48</v>
      </c>
      <c r="F3" s="238" t="e">
        <f>MIDP!#REF!</f>
        <v>#REF!</v>
      </c>
      <c r="G3" s="238" t="e">
        <f>MIDP!#REF!</f>
        <v>#REF!</v>
      </c>
    </row>
    <row r="4" spans="1:8" s="239" customFormat="1" ht="18" customHeight="1" x14ac:dyDescent="0.2">
      <c r="A4" s="237">
        <v>1</v>
      </c>
      <c r="B4" s="238" t="e">
        <f>MIDP!#REF!</f>
        <v>#REF!</v>
      </c>
      <c r="C4" s="238" t="e">
        <f>MIDP!#REF!</f>
        <v>#REF!</v>
      </c>
      <c r="E4" s="237">
        <f>E3+1</f>
        <v>49</v>
      </c>
      <c r="F4" s="238" t="e">
        <f>MIDP!#REF!</f>
        <v>#REF!</v>
      </c>
      <c r="G4" s="238" t="e">
        <f>MIDP!#REF!</f>
        <v>#REF!</v>
      </c>
    </row>
    <row r="5" spans="1:8" s="239" customFormat="1" ht="18" customHeight="1" x14ac:dyDescent="0.2">
      <c r="A5" s="237">
        <f t="shared" ref="A5:A50" si="0">A4+1</f>
        <v>2</v>
      </c>
      <c r="B5" s="238" t="e">
        <f>MIDP!#REF!</f>
        <v>#REF!</v>
      </c>
      <c r="C5" s="238" t="e">
        <f>MIDP!#REF!</f>
        <v>#REF!</v>
      </c>
      <c r="E5" s="237">
        <f t="shared" ref="E5:E48" si="1">E4+1</f>
        <v>50</v>
      </c>
      <c r="F5" s="238" t="e">
        <f>MIDP!#REF!</f>
        <v>#REF!</v>
      </c>
      <c r="G5" s="238" t="e">
        <f>MIDP!#REF!</f>
        <v>#REF!</v>
      </c>
    </row>
    <row r="6" spans="1:8" s="239" customFormat="1" ht="18" customHeight="1" x14ac:dyDescent="0.2">
      <c r="A6" s="237">
        <f t="shared" si="0"/>
        <v>3</v>
      </c>
      <c r="B6" s="238" t="e">
        <f>MIDP!#REF!</f>
        <v>#REF!</v>
      </c>
      <c r="C6" s="238" t="e">
        <f>MIDP!#REF!</f>
        <v>#REF!</v>
      </c>
      <c r="E6" s="237">
        <f t="shared" si="1"/>
        <v>51</v>
      </c>
      <c r="F6" s="238" t="e">
        <f>MIDP!#REF!</f>
        <v>#REF!</v>
      </c>
      <c r="G6" s="238" t="e">
        <f>MIDP!#REF!</f>
        <v>#REF!</v>
      </c>
    </row>
    <row r="7" spans="1:8" s="239" customFormat="1" ht="18" customHeight="1" x14ac:dyDescent="0.2">
      <c r="A7" s="237">
        <f t="shared" si="0"/>
        <v>4</v>
      </c>
      <c r="B7" s="238" t="e">
        <f>MIDP!#REF!</f>
        <v>#REF!</v>
      </c>
      <c r="C7" s="238" t="e">
        <f>MIDP!#REF!</f>
        <v>#REF!</v>
      </c>
      <c r="E7" s="237">
        <f t="shared" si="1"/>
        <v>52</v>
      </c>
      <c r="F7" s="238" t="e">
        <f>MIDP!#REF!</f>
        <v>#REF!</v>
      </c>
      <c r="G7" s="238" t="e">
        <f>MIDP!#REF!</f>
        <v>#REF!</v>
      </c>
    </row>
    <row r="8" spans="1:8" s="239" customFormat="1" ht="18" customHeight="1" x14ac:dyDescent="0.2">
      <c r="A8" s="237">
        <f t="shared" si="0"/>
        <v>5</v>
      </c>
      <c r="B8" s="238" t="e">
        <f>MIDP!#REF!</f>
        <v>#REF!</v>
      </c>
      <c r="C8" s="238" t="e">
        <f>MIDP!#REF!</f>
        <v>#REF!</v>
      </c>
      <c r="E8" s="237">
        <f t="shared" si="1"/>
        <v>53</v>
      </c>
      <c r="F8" s="238" t="e">
        <f>MIDP!#REF!</f>
        <v>#REF!</v>
      </c>
      <c r="G8" s="238" t="e">
        <f>MIDP!#REF!</f>
        <v>#REF!</v>
      </c>
    </row>
    <row r="9" spans="1:8" s="239" customFormat="1" ht="18" customHeight="1" x14ac:dyDescent="0.2">
      <c r="A9" s="237">
        <f t="shared" si="0"/>
        <v>6</v>
      </c>
      <c r="B9" s="238" t="e">
        <f>MIDP!#REF!</f>
        <v>#REF!</v>
      </c>
      <c r="C9" s="238" t="e">
        <f>MIDP!#REF!</f>
        <v>#REF!</v>
      </c>
      <c r="E9" s="237">
        <f t="shared" si="1"/>
        <v>54</v>
      </c>
      <c r="F9" s="238" t="e">
        <f>MIDP!#REF!</f>
        <v>#REF!</v>
      </c>
      <c r="G9" s="238" t="e">
        <f>MIDP!#REF!</f>
        <v>#REF!</v>
      </c>
    </row>
    <row r="10" spans="1:8" s="239" customFormat="1" ht="18" customHeight="1" x14ac:dyDescent="0.2">
      <c r="A10" s="237">
        <f t="shared" si="0"/>
        <v>7</v>
      </c>
      <c r="B10" s="238" t="e">
        <f>MIDP!#REF!</f>
        <v>#REF!</v>
      </c>
      <c r="C10" s="238" t="e">
        <f>MIDP!#REF!</f>
        <v>#REF!</v>
      </c>
      <c r="E10" s="237">
        <f t="shared" si="1"/>
        <v>55</v>
      </c>
      <c r="F10" s="238" t="e">
        <f>MIDP!#REF!</f>
        <v>#REF!</v>
      </c>
      <c r="G10" s="238" t="e">
        <f>MIDP!#REF!</f>
        <v>#REF!</v>
      </c>
    </row>
    <row r="11" spans="1:8" s="239" customFormat="1" ht="18" customHeight="1" x14ac:dyDescent="0.2">
      <c r="A11" s="237">
        <f t="shared" si="0"/>
        <v>8</v>
      </c>
      <c r="B11" s="238" t="e">
        <f>MIDP!#REF!</f>
        <v>#REF!</v>
      </c>
      <c r="C11" s="238" t="e">
        <f>MIDP!#REF!</f>
        <v>#REF!</v>
      </c>
      <c r="E11" s="237">
        <f t="shared" si="1"/>
        <v>56</v>
      </c>
      <c r="F11" s="238" t="e">
        <f>MIDP!#REF!</f>
        <v>#REF!</v>
      </c>
      <c r="G11" s="238" t="e">
        <f>MIDP!#REF!</f>
        <v>#REF!</v>
      </c>
    </row>
    <row r="12" spans="1:8" s="239" customFormat="1" ht="18" customHeight="1" x14ac:dyDescent="0.2">
      <c r="A12" s="237">
        <f t="shared" si="0"/>
        <v>9</v>
      </c>
      <c r="B12" s="238" t="e">
        <f>MIDP!#REF!</f>
        <v>#REF!</v>
      </c>
      <c r="C12" s="238" t="e">
        <f>MIDP!#REF!</f>
        <v>#REF!</v>
      </c>
      <c r="E12" s="237">
        <f t="shared" si="1"/>
        <v>57</v>
      </c>
      <c r="F12" s="238" t="e">
        <f>MIDP!#REF!</f>
        <v>#REF!</v>
      </c>
      <c r="G12" s="238" t="e">
        <f>MIDP!#REF!</f>
        <v>#REF!</v>
      </c>
    </row>
    <row r="13" spans="1:8" s="239" customFormat="1" ht="18" customHeight="1" x14ac:dyDescent="0.2">
      <c r="A13" s="237">
        <f t="shared" si="0"/>
        <v>10</v>
      </c>
      <c r="B13" s="238" t="e">
        <f>MIDP!#REF!</f>
        <v>#REF!</v>
      </c>
      <c r="C13" s="238" t="e">
        <f>MIDP!#REF!</f>
        <v>#REF!</v>
      </c>
      <c r="E13" s="237">
        <f t="shared" si="1"/>
        <v>58</v>
      </c>
      <c r="F13" s="238" t="e">
        <f>MIDP!#REF!</f>
        <v>#REF!</v>
      </c>
      <c r="G13" s="238" t="e">
        <f>MIDP!#REF!</f>
        <v>#REF!</v>
      </c>
    </row>
    <row r="14" spans="1:8" s="239" customFormat="1" ht="18" customHeight="1" x14ac:dyDescent="0.2">
      <c r="A14" s="237">
        <f t="shared" si="0"/>
        <v>11</v>
      </c>
      <c r="B14" s="238" t="e">
        <f>MIDP!#REF!</f>
        <v>#REF!</v>
      </c>
      <c r="C14" s="238" t="e">
        <f>MIDP!#REF!</f>
        <v>#REF!</v>
      </c>
      <c r="E14" s="237">
        <f t="shared" si="1"/>
        <v>59</v>
      </c>
      <c r="F14" s="238" t="e">
        <f>MIDP!#REF!</f>
        <v>#REF!</v>
      </c>
      <c r="G14" s="238" t="e">
        <f>MIDP!#REF!</f>
        <v>#REF!</v>
      </c>
    </row>
    <row r="15" spans="1:8" s="239" customFormat="1" ht="18" customHeight="1" x14ac:dyDescent="0.2">
      <c r="A15" s="237">
        <f t="shared" si="0"/>
        <v>12</v>
      </c>
      <c r="B15" s="238" t="e">
        <f>MIDP!#REF!</f>
        <v>#REF!</v>
      </c>
      <c r="C15" s="238" t="e">
        <f>MIDP!#REF!</f>
        <v>#REF!</v>
      </c>
      <c r="E15" s="237">
        <f t="shared" si="1"/>
        <v>60</v>
      </c>
      <c r="F15" s="238" t="e">
        <f>MIDP!#REF!</f>
        <v>#REF!</v>
      </c>
      <c r="G15" s="238" t="e">
        <f>MIDP!#REF!</f>
        <v>#REF!</v>
      </c>
    </row>
    <row r="16" spans="1:8" s="239" customFormat="1" ht="18" customHeight="1" x14ac:dyDescent="0.2">
      <c r="A16" s="237">
        <f t="shared" si="0"/>
        <v>13</v>
      </c>
      <c r="B16" s="238" t="e">
        <f>MIDP!#REF!</f>
        <v>#REF!</v>
      </c>
      <c r="C16" s="238" t="e">
        <f>MIDP!#REF!</f>
        <v>#REF!</v>
      </c>
      <c r="E16" s="237">
        <f t="shared" si="1"/>
        <v>61</v>
      </c>
      <c r="F16" s="238" t="e">
        <f>MIDP!#REF!</f>
        <v>#REF!</v>
      </c>
      <c r="G16" s="238" t="e">
        <f>MIDP!#REF!</f>
        <v>#REF!</v>
      </c>
    </row>
    <row r="17" spans="1:7" s="239" customFormat="1" ht="18" customHeight="1" x14ac:dyDescent="0.2">
      <c r="A17" s="237">
        <f t="shared" si="0"/>
        <v>14</v>
      </c>
      <c r="B17" s="238" t="e">
        <f>MIDP!#REF!</f>
        <v>#REF!</v>
      </c>
      <c r="C17" s="238" t="e">
        <f>MIDP!#REF!</f>
        <v>#REF!</v>
      </c>
      <c r="E17" s="237">
        <f t="shared" si="1"/>
        <v>62</v>
      </c>
      <c r="F17" s="238" t="e">
        <f>MIDP!#REF!</f>
        <v>#REF!</v>
      </c>
      <c r="G17" s="238" t="e">
        <f>MIDP!#REF!</f>
        <v>#REF!</v>
      </c>
    </row>
    <row r="18" spans="1:7" s="239" customFormat="1" ht="18" customHeight="1" x14ac:dyDescent="0.2">
      <c r="A18" s="237">
        <f t="shared" si="0"/>
        <v>15</v>
      </c>
      <c r="B18" s="238" t="e">
        <f>MIDP!#REF!</f>
        <v>#REF!</v>
      </c>
      <c r="C18" s="238" t="e">
        <f>MIDP!#REF!</f>
        <v>#REF!</v>
      </c>
      <c r="E18" s="237">
        <f t="shared" si="1"/>
        <v>63</v>
      </c>
      <c r="F18" s="238" t="e">
        <f>MIDP!#REF!</f>
        <v>#REF!</v>
      </c>
      <c r="G18" s="238" t="e">
        <f>MIDP!#REF!</f>
        <v>#REF!</v>
      </c>
    </row>
    <row r="19" spans="1:7" s="239" customFormat="1" ht="18" customHeight="1" x14ac:dyDescent="0.2">
      <c r="A19" s="237">
        <f t="shared" si="0"/>
        <v>16</v>
      </c>
      <c r="B19" s="238" t="e">
        <f>MIDP!#REF!</f>
        <v>#REF!</v>
      </c>
      <c r="C19" s="238" t="e">
        <f>MIDP!#REF!</f>
        <v>#REF!</v>
      </c>
      <c r="E19" s="237">
        <f t="shared" si="1"/>
        <v>64</v>
      </c>
      <c r="F19" s="238" t="e">
        <f>MIDP!#REF!</f>
        <v>#REF!</v>
      </c>
      <c r="G19" s="238" t="e">
        <f>MIDP!#REF!</f>
        <v>#REF!</v>
      </c>
    </row>
    <row r="20" spans="1:7" s="239" customFormat="1" ht="18" customHeight="1" x14ac:dyDescent="0.2">
      <c r="A20" s="237">
        <f t="shared" si="0"/>
        <v>17</v>
      </c>
      <c r="B20" s="238" t="e">
        <f>MIDP!#REF!</f>
        <v>#REF!</v>
      </c>
      <c r="C20" s="238" t="e">
        <f>MIDP!#REF!</f>
        <v>#REF!</v>
      </c>
      <c r="E20" s="237">
        <f t="shared" si="1"/>
        <v>65</v>
      </c>
      <c r="F20" s="238" t="e">
        <f>MIDP!#REF!</f>
        <v>#REF!</v>
      </c>
      <c r="G20" s="238" t="e">
        <f>MIDP!#REF!</f>
        <v>#REF!</v>
      </c>
    </row>
    <row r="21" spans="1:7" s="239" customFormat="1" ht="18" customHeight="1" x14ac:dyDescent="0.2">
      <c r="A21" s="237">
        <f t="shared" si="0"/>
        <v>18</v>
      </c>
      <c r="B21" s="238" t="e">
        <f>MIDP!#REF!</f>
        <v>#REF!</v>
      </c>
      <c r="C21" s="238" t="e">
        <f>MIDP!#REF!</f>
        <v>#REF!</v>
      </c>
      <c r="E21" s="237">
        <f t="shared" si="1"/>
        <v>66</v>
      </c>
      <c r="F21" s="238" t="e">
        <f>MIDP!#REF!</f>
        <v>#REF!</v>
      </c>
      <c r="G21" s="238" t="e">
        <f>MIDP!#REF!</f>
        <v>#REF!</v>
      </c>
    </row>
    <row r="22" spans="1:7" s="239" customFormat="1" ht="18" customHeight="1" x14ac:dyDescent="0.2">
      <c r="A22" s="237">
        <f t="shared" si="0"/>
        <v>19</v>
      </c>
      <c r="B22" s="238" t="e">
        <f>MIDP!#REF!</f>
        <v>#REF!</v>
      </c>
      <c r="C22" s="238" t="e">
        <f>MIDP!#REF!</f>
        <v>#REF!</v>
      </c>
      <c r="E22" s="237">
        <f t="shared" si="1"/>
        <v>67</v>
      </c>
      <c r="F22" s="238" t="e">
        <f>MIDP!#REF!</f>
        <v>#REF!</v>
      </c>
      <c r="G22" s="238" t="e">
        <f>MIDP!#REF!</f>
        <v>#REF!</v>
      </c>
    </row>
    <row r="23" spans="1:7" s="239" customFormat="1" ht="18" customHeight="1" x14ac:dyDescent="0.2">
      <c r="A23" s="237">
        <f t="shared" si="0"/>
        <v>20</v>
      </c>
      <c r="B23" s="238" t="e">
        <f>MIDP!#REF!</f>
        <v>#REF!</v>
      </c>
      <c r="C23" s="238" t="e">
        <f>MIDP!#REF!</f>
        <v>#REF!</v>
      </c>
      <c r="E23" s="237">
        <f t="shared" si="1"/>
        <v>68</v>
      </c>
      <c r="F23" s="238" t="e">
        <f>MIDP!#REF!</f>
        <v>#REF!</v>
      </c>
      <c r="G23" s="238" t="e">
        <f>MIDP!#REF!</f>
        <v>#REF!</v>
      </c>
    </row>
    <row r="24" spans="1:7" s="239" customFormat="1" ht="18" customHeight="1" x14ac:dyDescent="0.2">
      <c r="A24" s="237">
        <f t="shared" si="0"/>
        <v>21</v>
      </c>
      <c r="B24" s="238" t="e">
        <f>MIDP!#REF!</f>
        <v>#REF!</v>
      </c>
      <c r="C24" s="238" t="e">
        <f>MIDP!#REF!</f>
        <v>#REF!</v>
      </c>
      <c r="E24" s="237">
        <f t="shared" si="1"/>
        <v>69</v>
      </c>
      <c r="F24" s="238" t="e">
        <f>MIDP!#REF!</f>
        <v>#REF!</v>
      </c>
      <c r="G24" s="238" t="e">
        <f>MIDP!#REF!</f>
        <v>#REF!</v>
      </c>
    </row>
    <row r="25" spans="1:7" s="239" customFormat="1" ht="18" customHeight="1" x14ac:dyDescent="0.2">
      <c r="A25" s="237">
        <f t="shared" si="0"/>
        <v>22</v>
      </c>
      <c r="B25" s="238" t="e">
        <f>MIDP!#REF!</f>
        <v>#REF!</v>
      </c>
      <c r="C25" s="238" t="e">
        <f>MIDP!#REF!</f>
        <v>#REF!</v>
      </c>
      <c r="E25" s="237">
        <f t="shared" si="1"/>
        <v>70</v>
      </c>
      <c r="F25" s="238" t="e">
        <f>MIDP!#REF!</f>
        <v>#REF!</v>
      </c>
      <c r="G25" s="238" t="e">
        <f>MIDP!#REF!</f>
        <v>#REF!</v>
      </c>
    </row>
    <row r="26" spans="1:7" s="239" customFormat="1" ht="18" customHeight="1" x14ac:dyDescent="0.2">
      <c r="A26" s="237">
        <f t="shared" si="0"/>
        <v>23</v>
      </c>
      <c r="B26" s="238" t="e">
        <f>MIDP!#REF!</f>
        <v>#REF!</v>
      </c>
      <c r="C26" s="238" t="e">
        <f>MIDP!#REF!</f>
        <v>#REF!</v>
      </c>
      <c r="E26" s="237">
        <f t="shared" si="1"/>
        <v>71</v>
      </c>
      <c r="F26" s="238" t="e">
        <f>MIDP!#REF!</f>
        <v>#REF!</v>
      </c>
      <c r="G26" s="238" t="e">
        <f>MIDP!#REF!</f>
        <v>#REF!</v>
      </c>
    </row>
    <row r="27" spans="1:7" s="239" customFormat="1" ht="18" customHeight="1" x14ac:dyDescent="0.2">
      <c r="A27" s="237">
        <f t="shared" si="0"/>
        <v>24</v>
      </c>
      <c r="B27" s="238" t="e">
        <f>MIDP!#REF!</f>
        <v>#REF!</v>
      </c>
      <c r="C27" s="238" t="e">
        <f>MIDP!#REF!</f>
        <v>#REF!</v>
      </c>
      <c r="E27" s="237">
        <f t="shared" si="1"/>
        <v>72</v>
      </c>
      <c r="F27" s="238" t="e">
        <f>MIDP!#REF!</f>
        <v>#REF!</v>
      </c>
      <c r="G27" s="238" t="e">
        <f>MIDP!#REF!</f>
        <v>#REF!</v>
      </c>
    </row>
    <row r="28" spans="1:7" s="239" customFormat="1" ht="18" customHeight="1" x14ac:dyDescent="0.2">
      <c r="A28" s="237">
        <f t="shared" si="0"/>
        <v>25</v>
      </c>
      <c r="B28" s="238" t="e">
        <f>MIDP!#REF!</f>
        <v>#REF!</v>
      </c>
      <c r="C28" s="238" t="e">
        <f>MIDP!#REF!</f>
        <v>#REF!</v>
      </c>
      <c r="E28" s="237">
        <f t="shared" si="1"/>
        <v>73</v>
      </c>
      <c r="F28" s="238" t="e">
        <f>MIDP!#REF!</f>
        <v>#REF!</v>
      </c>
      <c r="G28" s="238" t="e">
        <f>MIDP!#REF!</f>
        <v>#REF!</v>
      </c>
    </row>
    <row r="29" spans="1:7" s="239" customFormat="1" ht="18" customHeight="1" x14ac:dyDescent="0.2">
      <c r="A29" s="237">
        <f t="shared" si="0"/>
        <v>26</v>
      </c>
      <c r="B29" s="238" t="e">
        <f>MIDP!#REF!</f>
        <v>#REF!</v>
      </c>
      <c r="C29" s="238" t="e">
        <f>MIDP!#REF!</f>
        <v>#REF!</v>
      </c>
      <c r="E29" s="237">
        <f t="shared" si="1"/>
        <v>74</v>
      </c>
      <c r="F29" s="238" t="e">
        <f>MIDP!#REF!</f>
        <v>#REF!</v>
      </c>
      <c r="G29" s="238" t="e">
        <f>MIDP!#REF!</f>
        <v>#REF!</v>
      </c>
    </row>
    <row r="30" spans="1:7" s="239" customFormat="1" ht="18" customHeight="1" x14ac:dyDescent="0.2">
      <c r="A30" s="237">
        <f t="shared" si="0"/>
        <v>27</v>
      </c>
      <c r="B30" s="238" t="e">
        <f>MIDP!#REF!</f>
        <v>#REF!</v>
      </c>
      <c r="C30" s="238" t="e">
        <f>MIDP!#REF!</f>
        <v>#REF!</v>
      </c>
      <c r="E30" s="237">
        <f t="shared" si="1"/>
        <v>75</v>
      </c>
      <c r="F30" s="238" t="e">
        <f>MIDP!#REF!</f>
        <v>#REF!</v>
      </c>
      <c r="G30" s="238" t="e">
        <f>MIDP!#REF!</f>
        <v>#REF!</v>
      </c>
    </row>
    <row r="31" spans="1:7" s="239" customFormat="1" ht="18" customHeight="1" x14ac:dyDescent="0.2">
      <c r="A31" s="237">
        <f t="shared" si="0"/>
        <v>28</v>
      </c>
      <c r="B31" s="238" t="e">
        <f>MIDP!#REF!</f>
        <v>#REF!</v>
      </c>
      <c r="C31" s="238" t="e">
        <f>MIDP!#REF!</f>
        <v>#REF!</v>
      </c>
      <c r="E31" s="237">
        <f t="shared" si="1"/>
        <v>76</v>
      </c>
      <c r="F31" s="238" t="e">
        <f>MIDP!#REF!</f>
        <v>#REF!</v>
      </c>
      <c r="G31" s="238" t="e">
        <f>MIDP!#REF!</f>
        <v>#REF!</v>
      </c>
    </row>
    <row r="32" spans="1:7" s="239" customFormat="1" ht="18" customHeight="1" x14ac:dyDescent="0.2">
      <c r="A32" s="237">
        <f t="shared" si="0"/>
        <v>29</v>
      </c>
      <c r="B32" s="238" t="e">
        <f>MIDP!#REF!</f>
        <v>#REF!</v>
      </c>
      <c r="C32" s="238" t="e">
        <f>MIDP!#REF!</f>
        <v>#REF!</v>
      </c>
      <c r="E32" s="237">
        <f t="shared" si="1"/>
        <v>77</v>
      </c>
      <c r="F32" s="238" t="e">
        <f>MIDP!#REF!</f>
        <v>#REF!</v>
      </c>
      <c r="G32" s="238" t="e">
        <f>MIDP!#REF!</f>
        <v>#REF!</v>
      </c>
    </row>
    <row r="33" spans="1:7" s="239" customFormat="1" ht="18" customHeight="1" x14ac:dyDescent="0.2">
      <c r="A33" s="237">
        <f t="shared" si="0"/>
        <v>30</v>
      </c>
      <c r="B33" s="238" t="e">
        <f>MIDP!#REF!</f>
        <v>#REF!</v>
      </c>
      <c r="C33" s="238" t="e">
        <f>MIDP!#REF!</f>
        <v>#REF!</v>
      </c>
      <c r="E33" s="237">
        <f t="shared" si="1"/>
        <v>78</v>
      </c>
      <c r="F33" s="238" t="e">
        <f>MIDP!#REF!</f>
        <v>#REF!</v>
      </c>
      <c r="G33" s="238" t="e">
        <f>MIDP!#REF!</f>
        <v>#REF!</v>
      </c>
    </row>
    <row r="34" spans="1:7" s="239" customFormat="1" ht="18" customHeight="1" x14ac:dyDescent="0.2">
      <c r="A34" s="237">
        <f t="shared" si="0"/>
        <v>31</v>
      </c>
      <c r="B34" s="238" t="e">
        <f>MIDP!#REF!</f>
        <v>#REF!</v>
      </c>
      <c r="C34" s="238" t="e">
        <f>MIDP!#REF!</f>
        <v>#REF!</v>
      </c>
      <c r="E34" s="237">
        <f t="shared" si="1"/>
        <v>79</v>
      </c>
      <c r="F34" s="238" t="e">
        <f>MIDP!#REF!</f>
        <v>#REF!</v>
      </c>
      <c r="G34" s="238" t="e">
        <f>MIDP!#REF!</f>
        <v>#REF!</v>
      </c>
    </row>
    <row r="35" spans="1:7" s="239" customFormat="1" ht="18" customHeight="1" x14ac:dyDescent="0.2">
      <c r="A35" s="237">
        <f t="shared" si="0"/>
        <v>32</v>
      </c>
      <c r="B35" s="238" t="e">
        <f>MIDP!#REF!</f>
        <v>#REF!</v>
      </c>
      <c r="C35" s="238" t="e">
        <f>MIDP!#REF!</f>
        <v>#REF!</v>
      </c>
      <c r="E35" s="237">
        <f t="shared" si="1"/>
        <v>80</v>
      </c>
      <c r="F35" s="238" t="e">
        <f>MIDP!#REF!</f>
        <v>#REF!</v>
      </c>
      <c r="G35" s="238" t="e">
        <f>MIDP!#REF!</f>
        <v>#REF!</v>
      </c>
    </row>
    <row r="36" spans="1:7" s="239" customFormat="1" ht="18" customHeight="1" x14ac:dyDescent="0.2">
      <c r="A36" s="237">
        <f t="shared" si="0"/>
        <v>33</v>
      </c>
      <c r="B36" s="238" t="e">
        <f>MIDP!#REF!</f>
        <v>#REF!</v>
      </c>
      <c r="C36" s="238" t="e">
        <f>MIDP!#REF!</f>
        <v>#REF!</v>
      </c>
      <c r="E36" s="237">
        <f t="shared" si="1"/>
        <v>81</v>
      </c>
      <c r="F36" s="238" t="e">
        <f>MIDP!#REF!</f>
        <v>#REF!</v>
      </c>
      <c r="G36" s="238" t="e">
        <f>MIDP!#REF!</f>
        <v>#REF!</v>
      </c>
    </row>
    <row r="37" spans="1:7" s="239" customFormat="1" ht="18" customHeight="1" x14ac:dyDescent="0.2">
      <c r="A37" s="237">
        <f t="shared" si="0"/>
        <v>34</v>
      </c>
      <c r="B37" s="238" t="e">
        <f>MIDP!#REF!</f>
        <v>#REF!</v>
      </c>
      <c r="C37" s="238" t="e">
        <f>MIDP!#REF!</f>
        <v>#REF!</v>
      </c>
      <c r="E37" s="237">
        <f t="shared" si="1"/>
        <v>82</v>
      </c>
      <c r="F37" s="238" t="e">
        <f>MIDP!#REF!</f>
        <v>#REF!</v>
      </c>
      <c r="G37" s="238" t="e">
        <f>MIDP!#REF!</f>
        <v>#REF!</v>
      </c>
    </row>
    <row r="38" spans="1:7" s="239" customFormat="1" ht="18" customHeight="1" x14ac:dyDescent="0.2">
      <c r="A38" s="237">
        <f t="shared" si="0"/>
        <v>35</v>
      </c>
      <c r="B38" s="238" t="e">
        <f>MIDP!#REF!</f>
        <v>#REF!</v>
      </c>
      <c r="C38" s="238" t="e">
        <f>MIDP!#REF!</f>
        <v>#REF!</v>
      </c>
      <c r="E38" s="237">
        <f t="shared" si="1"/>
        <v>83</v>
      </c>
      <c r="F38" s="238" t="e">
        <f>MIDP!#REF!</f>
        <v>#REF!</v>
      </c>
      <c r="G38" s="238" t="e">
        <f>MIDP!#REF!</f>
        <v>#REF!</v>
      </c>
    </row>
    <row r="39" spans="1:7" s="239" customFormat="1" ht="18" customHeight="1" x14ac:dyDescent="0.2">
      <c r="A39" s="237">
        <f t="shared" si="0"/>
        <v>36</v>
      </c>
      <c r="B39" s="238" t="e">
        <f>MIDP!#REF!</f>
        <v>#REF!</v>
      </c>
      <c r="C39" s="238" t="e">
        <f>MIDP!#REF!</f>
        <v>#REF!</v>
      </c>
      <c r="E39" s="237">
        <f t="shared" si="1"/>
        <v>84</v>
      </c>
      <c r="F39" s="238" t="e">
        <f>MIDP!#REF!</f>
        <v>#REF!</v>
      </c>
      <c r="G39" s="238" t="e">
        <f>MIDP!#REF!</f>
        <v>#REF!</v>
      </c>
    </row>
    <row r="40" spans="1:7" s="239" customFormat="1" ht="18" customHeight="1" x14ac:dyDescent="0.2">
      <c r="A40" s="237">
        <f t="shared" si="0"/>
        <v>37</v>
      </c>
      <c r="B40" s="238" t="e">
        <f>MIDP!#REF!</f>
        <v>#REF!</v>
      </c>
      <c r="C40" s="238" t="e">
        <f>MIDP!#REF!</f>
        <v>#REF!</v>
      </c>
      <c r="E40" s="237">
        <f t="shared" si="1"/>
        <v>85</v>
      </c>
      <c r="F40" s="238" t="e">
        <f>MIDP!#REF!</f>
        <v>#REF!</v>
      </c>
      <c r="G40" s="238" t="e">
        <f>MIDP!#REF!</f>
        <v>#REF!</v>
      </c>
    </row>
    <row r="41" spans="1:7" s="239" customFormat="1" ht="18" customHeight="1" x14ac:dyDescent="0.2">
      <c r="A41" s="237">
        <f t="shared" si="0"/>
        <v>38</v>
      </c>
      <c r="B41" s="238" t="e">
        <f>MIDP!#REF!</f>
        <v>#REF!</v>
      </c>
      <c r="C41" s="238" t="e">
        <f>MIDP!#REF!</f>
        <v>#REF!</v>
      </c>
      <c r="E41" s="237">
        <f t="shared" si="1"/>
        <v>86</v>
      </c>
      <c r="F41" s="238" t="e">
        <f>MIDP!#REF!</f>
        <v>#REF!</v>
      </c>
      <c r="G41" s="238" t="e">
        <f>MIDP!#REF!</f>
        <v>#REF!</v>
      </c>
    </row>
    <row r="42" spans="1:7" s="239" customFormat="1" ht="18" customHeight="1" x14ac:dyDescent="0.2">
      <c r="A42" s="237">
        <f t="shared" si="0"/>
        <v>39</v>
      </c>
      <c r="B42" s="238" t="e">
        <f>MIDP!#REF!</f>
        <v>#REF!</v>
      </c>
      <c r="C42" s="238" t="e">
        <f>MIDP!#REF!</f>
        <v>#REF!</v>
      </c>
      <c r="E42" s="237">
        <f t="shared" si="1"/>
        <v>87</v>
      </c>
      <c r="F42" s="238" t="e">
        <f>MIDP!#REF!</f>
        <v>#REF!</v>
      </c>
      <c r="G42" s="238" t="e">
        <f>MIDP!#REF!</f>
        <v>#REF!</v>
      </c>
    </row>
    <row r="43" spans="1:7" s="239" customFormat="1" ht="18" customHeight="1" x14ac:dyDescent="0.2">
      <c r="A43" s="237">
        <f t="shared" si="0"/>
        <v>40</v>
      </c>
      <c r="B43" s="238" t="e">
        <f>MIDP!#REF!</f>
        <v>#REF!</v>
      </c>
      <c r="C43" s="238" t="e">
        <f>MIDP!#REF!</f>
        <v>#REF!</v>
      </c>
      <c r="E43" s="237">
        <f t="shared" si="1"/>
        <v>88</v>
      </c>
      <c r="F43" s="238" t="e">
        <f>MIDP!#REF!</f>
        <v>#REF!</v>
      </c>
      <c r="G43" s="238" t="e">
        <f>MIDP!#REF!</f>
        <v>#REF!</v>
      </c>
    </row>
    <row r="44" spans="1:7" s="239" customFormat="1" ht="18" customHeight="1" x14ac:dyDescent="0.2">
      <c r="A44" s="237">
        <f t="shared" si="0"/>
        <v>41</v>
      </c>
      <c r="B44" s="238" t="e">
        <f>MIDP!#REF!</f>
        <v>#REF!</v>
      </c>
      <c r="C44" s="238" t="e">
        <f>MIDP!#REF!</f>
        <v>#REF!</v>
      </c>
      <c r="E44" s="237">
        <f t="shared" si="1"/>
        <v>89</v>
      </c>
      <c r="F44" s="238" t="e">
        <f>MIDP!#REF!</f>
        <v>#REF!</v>
      </c>
      <c r="G44" s="238" t="e">
        <f>MIDP!#REF!</f>
        <v>#REF!</v>
      </c>
    </row>
    <row r="45" spans="1:7" s="239" customFormat="1" ht="18" customHeight="1" x14ac:dyDescent="0.2">
      <c r="A45" s="237">
        <f t="shared" si="0"/>
        <v>42</v>
      </c>
      <c r="B45" s="238" t="e">
        <f>MIDP!#REF!</f>
        <v>#REF!</v>
      </c>
      <c r="C45" s="238" t="e">
        <f>MIDP!#REF!</f>
        <v>#REF!</v>
      </c>
      <c r="E45" s="237">
        <f t="shared" si="1"/>
        <v>90</v>
      </c>
      <c r="F45" s="238" t="e">
        <f>MIDP!#REF!</f>
        <v>#REF!</v>
      </c>
      <c r="G45" s="238" t="e">
        <f>MIDP!#REF!</f>
        <v>#REF!</v>
      </c>
    </row>
    <row r="46" spans="1:7" s="239" customFormat="1" ht="18" customHeight="1" x14ac:dyDescent="0.2">
      <c r="A46" s="237">
        <f t="shared" si="0"/>
        <v>43</v>
      </c>
      <c r="B46" s="238" t="e">
        <f>MIDP!#REF!</f>
        <v>#REF!</v>
      </c>
      <c r="C46" s="238" t="e">
        <f>MIDP!#REF!</f>
        <v>#REF!</v>
      </c>
      <c r="E46" s="237">
        <f t="shared" si="1"/>
        <v>91</v>
      </c>
      <c r="F46" s="238" t="e">
        <f>MIDP!#REF!</f>
        <v>#REF!</v>
      </c>
      <c r="G46" s="238" t="e">
        <f>MIDP!#REF!</f>
        <v>#REF!</v>
      </c>
    </row>
    <row r="47" spans="1:7" s="239" customFormat="1" ht="18" customHeight="1" x14ac:dyDescent="0.2">
      <c r="A47" s="237">
        <f t="shared" si="0"/>
        <v>44</v>
      </c>
      <c r="B47" s="238" t="e">
        <f>MIDP!#REF!</f>
        <v>#REF!</v>
      </c>
      <c r="C47" s="238" t="e">
        <f>MIDP!#REF!</f>
        <v>#REF!</v>
      </c>
      <c r="E47" s="237">
        <f t="shared" si="1"/>
        <v>92</v>
      </c>
      <c r="F47" s="238" t="e">
        <f>MIDP!#REF!</f>
        <v>#REF!</v>
      </c>
      <c r="G47" s="238" t="e">
        <f>MIDP!#REF!</f>
        <v>#REF!</v>
      </c>
    </row>
    <row r="48" spans="1:7" s="239" customFormat="1" ht="18" customHeight="1" x14ac:dyDescent="0.2">
      <c r="A48" s="237">
        <f t="shared" si="0"/>
        <v>45</v>
      </c>
      <c r="B48" s="238" t="e">
        <f>MIDP!#REF!</f>
        <v>#REF!</v>
      </c>
      <c r="C48" s="238" t="e">
        <f>MIDP!#REF!</f>
        <v>#REF!</v>
      </c>
      <c r="E48" s="237">
        <f t="shared" si="1"/>
        <v>93</v>
      </c>
      <c r="F48" s="238" t="e">
        <f>MIDP!#REF!</f>
        <v>#REF!</v>
      </c>
      <c r="G48" s="238" t="e">
        <f>MIDP!#REF!</f>
        <v>#REF!</v>
      </c>
    </row>
    <row r="49" spans="1:7" s="239" customFormat="1" ht="18" customHeight="1" x14ac:dyDescent="0.2">
      <c r="A49" s="237">
        <f>A48+1</f>
        <v>46</v>
      </c>
      <c r="B49" s="238" t="e">
        <f>MIDP!#REF!</f>
        <v>#REF!</v>
      </c>
      <c r="C49" s="238" t="e">
        <f>MIDP!#REF!</f>
        <v>#REF!</v>
      </c>
      <c r="E49" s="237"/>
      <c r="F49" s="238"/>
      <c r="G49" s="238"/>
    </row>
    <row r="50" spans="1:7" s="239" customFormat="1" ht="18" customHeight="1" x14ac:dyDescent="0.2">
      <c r="A50" s="237">
        <f t="shared" si="0"/>
        <v>47</v>
      </c>
      <c r="B50" s="238" t="e">
        <f>MIDP!#REF!</f>
        <v>#REF!</v>
      </c>
      <c r="C50" s="238" t="e">
        <f>MIDP!#REF!</f>
        <v>#REF!</v>
      </c>
      <c r="E50" s="237"/>
      <c r="F50" s="238"/>
      <c r="G50" s="238"/>
    </row>
  </sheetData>
  <mergeCells count="2">
    <mergeCell ref="A1:H1"/>
    <mergeCell ref="A3:C3"/>
  </mergeCells>
  <printOptions horizontalCentered="1" verticalCentered="1"/>
  <pageMargins left="0.7" right="0.7" top="0.75" bottom="0.75" header="0.3" footer="0.3"/>
  <pageSetup paperSize="141"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4CFC6-56B6-4176-97EA-5C122BF2943A}">
  <sheetPr>
    <pageSetUpPr fitToPage="1"/>
  </sheetPr>
  <dimension ref="A1:C78"/>
  <sheetViews>
    <sheetView zoomScale="80" zoomScaleNormal="80" workbookViewId="0">
      <selection activeCell="G54" sqref="G54"/>
    </sheetView>
  </sheetViews>
  <sheetFormatPr defaultColWidth="9.28515625" defaultRowHeight="12.75" x14ac:dyDescent="0.2"/>
  <cols>
    <col min="1" max="1" width="8.7109375" style="234" customWidth="1"/>
    <col min="2" max="2" width="15.7109375" style="229" customWidth="1"/>
    <col min="3" max="3" width="75.7109375" style="229" customWidth="1"/>
    <col min="4" max="16384" width="9.28515625" style="229"/>
  </cols>
  <sheetData>
    <row r="1" spans="1:3" ht="58.7" customHeight="1" x14ac:dyDescent="0.2">
      <c r="A1" s="305" t="s">
        <v>696</v>
      </c>
      <c r="B1" s="305"/>
      <c r="C1" s="305"/>
    </row>
    <row r="2" spans="1:3" s="231" customFormat="1" ht="24.4" customHeight="1" x14ac:dyDescent="0.2">
      <c r="A2" s="230" t="s">
        <v>697</v>
      </c>
      <c r="B2" s="230" t="s">
        <v>698</v>
      </c>
      <c r="C2" s="230" t="s">
        <v>699</v>
      </c>
    </row>
    <row r="3" spans="1:3" x14ac:dyDescent="0.2">
      <c r="A3" s="306" t="s">
        <v>704</v>
      </c>
      <c r="B3" s="307"/>
      <c r="C3" s="308"/>
    </row>
    <row r="4" spans="1:3" x14ac:dyDescent="0.2">
      <c r="A4" s="232">
        <v>1</v>
      </c>
      <c r="B4" s="233" t="e">
        <f>MIDP!#REF!</f>
        <v>#REF!</v>
      </c>
      <c r="C4" s="233" t="e">
        <f>MIDP!#REF!</f>
        <v>#REF!</v>
      </c>
    </row>
    <row r="5" spans="1:3" x14ac:dyDescent="0.2">
      <c r="A5" s="232">
        <f t="shared" ref="A5:A68" si="0">A4+1</f>
        <v>2</v>
      </c>
      <c r="B5" s="233" t="e">
        <f>MIDP!#REF!</f>
        <v>#REF!</v>
      </c>
      <c r="C5" s="233" t="e">
        <f>MIDP!#REF!</f>
        <v>#REF!</v>
      </c>
    </row>
    <row r="6" spans="1:3" x14ac:dyDescent="0.2">
      <c r="A6" s="232">
        <f t="shared" si="0"/>
        <v>3</v>
      </c>
      <c r="B6" s="233" t="e">
        <f>MIDP!#REF!</f>
        <v>#REF!</v>
      </c>
      <c r="C6" s="233" t="e">
        <f>MIDP!#REF!</f>
        <v>#REF!</v>
      </c>
    </row>
    <row r="7" spans="1:3" x14ac:dyDescent="0.2">
      <c r="A7" s="232">
        <f t="shared" si="0"/>
        <v>4</v>
      </c>
      <c r="B7" s="233" t="e">
        <f>MIDP!#REF!</f>
        <v>#REF!</v>
      </c>
      <c r="C7" s="233" t="e">
        <f>MIDP!#REF!</f>
        <v>#REF!</v>
      </c>
    </row>
    <row r="8" spans="1:3" x14ac:dyDescent="0.2">
      <c r="A8" s="232">
        <f t="shared" si="0"/>
        <v>5</v>
      </c>
      <c r="B8" s="233" t="e">
        <f>MIDP!#REF!</f>
        <v>#REF!</v>
      </c>
      <c r="C8" s="233" t="e">
        <f>MIDP!#REF!</f>
        <v>#REF!</v>
      </c>
    </row>
    <row r="9" spans="1:3" x14ac:dyDescent="0.2">
      <c r="A9" s="232">
        <f t="shared" si="0"/>
        <v>6</v>
      </c>
      <c r="B9" s="233" t="e">
        <f>MIDP!#REF!</f>
        <v>#REF!</v>
      </c>
      <c r="C9" s="233" t="e">
        <f>MIDP!#REF!</f>
        <v>#REF!</v>
      </c>
    </row>
    <row r="10" spans="1:3" x14ac:dyDescent="0.2">
      <c r="A10" s="232">
        <f t="shared" si="0"/>
        <v>7</v>
      </c>
      <c r="B10" s="233" t="e">
        <f>MIDP!#REF!</f>
        <v>#REF!</v>
      </c>
      <c r="C10" s="233" t="e">
        <f>MIDP!#REF!</f>
        <v>#REF!</v>
      </c>
    </row>
    <row r="11" spans="1:3" x14ac:dyDescent="0.2">
      <c r="A11" s="232">
        <f t="shared" si="0"/>
        <v>8</v>
      </c>
      <c r="B11" s="233" t="e">
        <f>MIDP!#REF!</f>
        <v>#REF!</v>
      </c>
      <c r="C11" s="233" t="e">
        <f>MIDP!#REF!</f>
        <v>#REF!</v>
      </c>
    </row>
    <row r="12" spans="1:3" x14ac:dyDescent="0.2">
      <c r="A12" s="232">
        <f t="shared" si="0"/>
        <v>9</v>
      </c>
      <c r="B12" s="233" t="e">
        <f>MIDP!#REF!</f>
        <v>#REF!</v>
      </c>
      <c r="C12" s="233" t="e">
        <f>MIDP!#REF!</f>
        <v>#REF!</v>
      </c>
    </row>
    <row r="13" spans="1:3" x14ac:dyDescent="0.2">
      <c r="A13" s="232">
        <f t="shared" si="0"/>
        <v>10</v>
      </c>
      <c r="B13" s="233" t="e">
        <f>MIDP!#REF!</f>
        <v>#REF!</v>
      </c>
      <c r="C13" s="233" t="e">
        <f>MIDP!#REF!</f>
        <v>#REF!</v>
      </c>
    </row>
    <row r="14" spans="1:3" x14ac:dyDescent="0.2">
      <c r="A14" s="232">
        <f t="shared" si="0"/>
        <v>11</v>
      </c>
      <c r="B14" s="233" t="e">
        <f>MIDP!#REF!</f>
        <v>#REF!</v>
      </c>
      <c r="C14" s="233" t="e">
        <f>MIDP!#REF!</f>
        <v>#REF!</v>
      </c>
    </row>
    <row r="15" spans="1:3" x14ac:dyDescent="0.2">
      <c r="A15" s="232">
        <f t="shared" si="0"/>
        <v>12</v>
      </c>
      <c r="B15" s="233" t="e">
        <f>MIDP!#REF!</f>
        <v>#REF!</v>
      </c>
      <c r="C15" s="233" t="e">
        <f>MIDP!#REF!</f>
        <v>#REF!</v>
      </c>
    </row>
    <row r="16" spans="1:3" x14ac:dyDescent="0.2">
      <c r="A16" s="232">
        <f t="shared" si="0"/>
        <v>13</v>
      </c>
      <c r="B16" s="233" t="e">
        <f>MIDP!#REF!</f>
        <v>#REF!</v>
      </c>
      <c r="C16" s="233" t="e">
        <f>MIDP!#REF!</f>
        <v>#REF!</v>
      </c>
    </row>
    <row r="17" spans="1:3" x14ac:dyDescent="0.2">
      <c r="A17" s="232">
        <f t="shared" si="0"/>
        <v>14</v>
      </c>
      <c r="B17" s="233" t="e">
        <f>MIDP!#REF!</f>
        <v>#REF!</v>
      </c>
      <c r="C17" s="233" t="e">
        <f>MIDP!#REF!</f>
        <v>#REF!</v>
      </c>
    </row>
    <row r="18" spans="1:3" x14ac:dyDescent="0.2">
      <c r="A18" s="232">
        <f t="shared" si="0"/>
        <v>15</v>
      </c>
      <c r="B18" s="233" t="e">
        <f>MIDP!#REF!</f>
        <v>#REF!</v>
      </c>
      <c r="C18" s="233" t="e">
        <f>MIDP!#REF!</f>
        <v>#REF!</v>
      </c>
    </row>
    <row r="19" spans="1:3" x14ac:dyDescent="0.2">
      <c r="A19" s="232">
        <f t="shared" si="0"/>
        <v>16</v>
      </c>
      <c r="B19" s="233" t="e">
        <f>MIDP!#REF!</f>
        <v>#REF!</v>
      </c>
      <c r="C19" s="233" t="e">
        <f>MIDP!#REF!</f>
        <v>#REF!</v>
      </c>
    </row>
    <row r="20" spans="1:3" x14ac:dyDescent="0.2">
      <c r="A20" s="232">
        <f t="shared" si="0"/>
        <v>17</v>
      </c>
      <c r="B20" s="233" t="e">
        <f>MIDP!#REF!</f>
        <v>#REF!</v>
      </c>
      <c r="C20" s="233" t="e">
        <f>MIDP!#REF!</f>
        <v>#REF!</v>
      </c>
    </row>
    <row r="21" spans="1:3" x14ac:dyDescent="0.2">
      <c r="A21" s="232">
        <f t="shared" si="0"/>
        <v>18</v>
      </c>
      <c r="B21" s="233" t="e">
        <f>MIDP!#REF!</f>
        <v>#REF!</v>
      </c>
      <c r="C21" s="233" t="e">
        <f>MIDP!#REF!</f>
        <v>#REF!</v>
      </c>
    </row>
    <row r="22" spans="1:3" x14ac:dyDescent="0.2">
      <c r="A22" s="232">
        <f t="shared" si="0"/>
        <v>19</v>
      </c>
      <c r="B22" s="233" t="e">
        <f>MIDP!#REF!</f>
        <v>#REF!</v>
      </c>
      <c r="C22" s="233" t="e">
        <f>MIDP!#REF!</f>
        <v>#REF!</v>
      </c>
    </row>
    <row r="23" spans="1:3" x14ac:dyDescent="0.2">
      <c r="A23" s="232">
        <f t="shared" si="0"/>
        <v>20</v>
      </c>
      <c r="B23" s="233" t="e">
        <f>MIDP!#REF!</f>
        <v>#REF!</v>
      </c>
      <c r="C23" s="233" t="e">
        <f>MIDP!#REF!</f>
        <v>#REF!</v>
      </c>
    </row>
    <row r="24" spans="1:3" x14ac:dyDescent="0.2">
      <c r="A24" s="232">
        <f t="shared" si="0"/>
        <v>21</v>
      </c>
      <c r="B24" s="233" t="e">
        <f>MIDP!#REF!</f>
        <v>#REF!</v>
      </c>
      <c r="C24" s="233" t="e">
        <f>MIDP!#REF!</f>
        <v>#REF!</v>
      </c>
    </row>
    <row r="25" spans="1:3" x14ac:dyDescent="0.2">
      <c r="A25" s="232">
        <f t="shared" si="0"/>
        <v>22</v>
      </c>
      <c r="B25" s="233" t="e">
        <f>MIDP!#REF!</f>
        <v>#REF!</v>
      </c>
      <c r="C25" s="233" t="e">
        <f>MIDP!#REF!</f>
        <v>#REF!</v>
      </c>
    </row>
    <row r="26" spans="1:3" x14ac:dyDescent="0.2">
      <c r="A26" s="232">
        <f t="shared" si="0"/>
        <v>23</v>
      </c>
      <c r="B26" s="233" t="e">
        <f>MIDP!#REF!</f>
        <v>#REF!</v>
      </c>
      <c r="C26" s="233" t="e">
        <f>MIDP!#REF!</f>
        <v>#REF!</v>
      </c>
    </row>
    <row r="27" spans="1:3" x14ac:dyDescent="0.2">
      <c r="A27" s="232">
        <f t="shared" si="0"/>
        <v>24</v>
      </c>
      <c r="B27" s="233" t="e">
        <f>MIDP!#REF!</f>
        <v>#REF!</v>
      </c>
      <c r="C27" s="233" t="e">
        <f>MIDP!#REF!</f>
        <v>#REF!</v>
      </c>
    </row>
    <row r="28" spans="1:3" x14ac:dyDescent="0.2">
      <c r="A28" s="232">
        <f t="shared" si="0"/>
        <v>25</v>
      </c>
      <c r="B28" s="233" t="e">
        <f>MIDP!#REF!</f>
        <v>#REF!</v>
      </c>
      <c r="C28" s="233" t="e">
        <f>MIDP!#REF!</f>
        <v>#REF!</v>
      </c>
    </row>
    <row r="29" spans="1:3" x14ac:dyDescent="0.2">
      <c r="A29" s="232">
        <f t="shared" si="0"/>
        <v>26</v>
      </c>
      <c r="B29" s="233" t="e">
        <f>MIDP!#REF!</f>
        <v>#REF!</v>
      </c>
      <c r="C29" s="233" t="e">
        <f>MIDP!#REF!</f>
        <v>#REF!</v>
      </c>
    </row>
    <row r="30" spans="1:3" x14ac:dyDescent="0.2">
      <c r="A30" s="232">
        <f t="shared" si="0"/>
        <v>27</v>
      </c>
      <c r="B30" s="233" t="e">
        <f>MIDP!#REF!</f>
        <v>#REF!</v>
      </c>
      <c r="C30" s="233" t="e">
        <f>MIDP!#REF!</f>
        <v>#REF!</v>
      </c>
    </row>
    <row r="31" spans="1:3" x14ac:dyDescent="0.2">
      <c r="A31" s="232">
        <f t="shared" si="0"/>
        <v>28</v>
      </c>
      <c r="B31" s="233" t="e">
        <f>MIDP!#REF!</f>
        <v>#REF!</v>
      </c>
      <c r="C31" s="233" t="e">
        <f>MIDP!#REF!</f>
        <v>#REF!</v>
      </c>
    </row>
    <row r="32" spans="1:3" x14ac:dyDescent="0.2">
      <c r="A32" s="232">
        <f t="shared" si="0"/>
        <v>29</v>
      </c>
      <c r="B32" s="233" t="e">
        <f>MIDP!#REF!</f>
        <v>#REF!</v>
      </c>
      <c r="C32" s="233" t="e">
        <f>MIDP!#REF!</f>
        <v>#REF!</v>
      </c>
    </row>
    <row r="33" spans="1:3" x14ac:dyDescent="0.2">
      <c r="A33" s="232">
        <f t="shared" si="0"/>
        <v>30</v>
      </c>
      <c r="B33" s="233" t="e">
        <f>MIDP!#REF!</f>
        <v>#REF!</v>
      </c>
      <c r="C33" s="233" t="e">
        <f>MIDP!#REF!</f>
        <v>#REF!</v>
      </c>
    </row>
    <row r="34" spans="1:3" x14ac:dyDescent="0.2">
      <c r="A34" s="232">
        <f t="shared" si="0"/>
        <v>31</v>
      </c>
      <c r="B34" s="233" t="e">
        <f>MIDP!#REF!</f>
        <v>#REF!</v>
      </c>
      <c r="C34" s="233" t="e">
        <f>MIDP!#REF!</f>
        <v>#REF!</v>
      </c>
    </row>
    <row r="35" spans="1:3" x14ac:dyDescent="0.2">
      <c r="A35" s="232">
        <f t="shared" si="0"/>
        <v>32</v>
      </c>
      <c r="B35" s="233" t="e">
        <f>MIDP!#REF!</f>
        <v>#REF!</v>
      </c>
      <c r="C35" s="233" t="e">
        <f>MIDP!#REF!</f>
        <v>#REF!</v>
      </c>
    </row>
    <row r="36" spans="1:3" x14ac:dyDescent="0.2">
      <c r="A36" s="232">
        <f t="shared" si="0"/>
        <v>33</v>
      </c>
      <c r="B36" s="233" t="e">
        <f>MIDP!#REF!</f>
        <v>#REF!</v>
      </c>
      <c r="C36" s="233" t="e">
        <f>MIDP!#REF!</f>
        <v>#REF!</v>
      </c>
    </row>
    <row r="37" spans="1:3" x14ac:dyDescent="0.2">
      <c r="A37" s="232">
        <f t="shared" si="0"/>
        <v>34</v>
      </c>
      <c r="B37" s="233" t="e">
        <f>MIDP!#REF!</f>
        <v>#REF!</v>
      </c>
      <c r="C37" s="233" t="e">
        <f>MIDP!#REF!</f>
        <v>#REF!</v>
      </c>
    </row>
    <row r="38" spans="1:3" x14ac:dyDescent="0.2">
      <c r="A38" s="232">
        <f t="shared" si="0"/>
        <v>35</v>
      </c>
      <c r="B38" s="233" t="e">
        <f>MIDP!#REF!</f>
        <v>#REF!</v>
      </c>
      <c r="C38" s="233" t="e">
        <f>MIDP!#REF!</f>
        <v>#REF!</v>
      </c>
    </row>
    <row r="39" spans="1:3" x14ac:dyDescent="0.2">
      <c r="A39" s="232">
        <f t="shared" si="0"/>
        <v>36</v>
      </c>
      <c r="B39" s="233" t="e">
        <f>MIDP!#REF!</f>
        <v>#REF!</v>
      </c>
      <c r="C39" s="233" t="e">
        <f>MIDP!#REF!</f>
        <v>#REF!</v>
      </c>
    </row>
    <row r="40" spans="1:3" x14ac:dyDescent="0.2">
      <c r="A40" s="232">
        <f t="shared" si="0"/>
        <v>37</v>
      </c>
      <c r="B40" s="233" t="e">
        <f>MIDP!#REF!</f>
        <v>#REF!</v>
      </c>
      <c r="C40" s="233" t="e">
        <f>MIDP!#REF!</f>
        <v>#REF!</v>
      </c>
    </row>
    <row r="41" spans="1:3" x14ac:dyDescent="0.2">
      <c r="A41" s="232">
        <f t="shared" si="0"/>
        <v>38</v>
      </c>
      <c r="B41" s="233" t="e">
        <f>MIDP!#REF!</f>
        <v>#REF!</v>
      </c>
      <c r="C41" s="233" t="e">
        <f>MIDP!#REF!</f>
        <v>#REF!</v>
      </c>
    </row>
    <row r="42" spans="1:3" x14ac:dyDescent="0.2">
      <c r="A42" s="232">
        <f t="shared" si="0"/>
        <v>39</v>
      </c>
      <c r="B42" s="233" t="e">
        <f>MIDP!#REF!</f>
        <v>#REF!</v>
      </c>
      <c r="C42" s="233" t="e">
        <f>MIDP!#REF!</f>
        <v>#REF!</v>
      </c>
    </row>
    <row r="43" spans="1:3" x14ac:dyDescent="0.2">
      <c r="A43" s="232">
        <f t="shared" si="0"/>
        <v>40</v>
      </c>
      <c r="B43" s="233" t="e">
        <f>MIDP!#REF!</f>
        <v>#REF!</v>
      </c>
      <c r="C43" s="233" t="e">
        <f>MIDP!#REF!</f>
        <v>#REF!</v>
      </c>
    </row>
    <row r="44" spans="1:3" x14ac:dyDescent="0.2">
      <c r="A44" s="232">
        <f t="shared" si="0"/>
        <v>41</v>
      </c>
      <c r="B44" s="233" t="e">
        <f>MIDP!#REF!</f>
        <v>#REF!</v>
      </c>
      <c r="C44" s="233" t="e">
        <f>MIDP!#REF!</f>
        <v>#REF!</v>
      </c>
    </row>
    <row r="45" spans="1:3" x14ac:dyDescent="0.2">
      <c r="A45" s="232">
        <f t="shared" si="0"/>
        <v>42</v>
      </c>
      <c r="B45" s="233" t="e">
        <f>MIDP!#REF!</f>
        <v>#REF!</v>
      </c>
      <c r="C45" s="233" t="e">
        <f>MIDP!#REF!</f>
        <v>#REF!</v>
      </c>
    </row>
    <row r="46" spans="1:3" x14ac:dyDescent="0.2">
      <c r="A46" s="232">
        <f t="shared" si="0"/>
        <v>43</v>
      </c>
      <c r="B46" s="233" t="e">
        <f>MIDP!#REF!</f>
        <v>#REF!</v>
      </c>
      <c r="C46" s="233" t="e">
        <f>MIDP!#REF!</f>
        <v>#REF!</v>
      </c>
    </row>
    <row r="47" spans="1:3" x14ac:dyDescent="0.2">
      <c r="A47" s="232">
        <f t="shared" si="0"/>
        <v>44</v>
      </c>
      <c r="B47" s="233" t="e">
        <f>MIDP!#REF!</f>
        <v>#REF!</v>
      </c>
      <c r="C47" s="233" t="e">
        <f>MIDP!#REF!</f>
        <v>#REF!</v>
      </c>
    </row>
    <row r="48" spans="1:3" x14ac:dyDescent="0.2">
      <c r="A48" s="232">
        <f t="shared" si="0"/>
        <v>45</v>
      </c>
      <c r="B48" s="233" t="e">
        <f>MIDP!#REF!</f>
        <v>#REF!</v>
      </c>
      <c r="C48" s="233" t="e">
        <f>MIDP!#REF!</f>
        <v>#REF!</v>
      </c>
    </row>
    <row r="49" spans="1:3" x14ac:dyDescent="0.2">
      <c r="A49" s="232">
        <f>A48+1</f>
        <v>46</v>
      </c>
      <c r="B49" s="233" t="e">
        <f>MIDP!#REF!</f>
        <v>#REF!</v>
      </c>
      <c r="C49" s="233" t="e">
        <f>MIDP!#REF!</f>
        <v>#REF!</v>
      </c>
    </row>
    <row r="50" spans="1:3" x14ac:dyDescent="0.2">
      <c r="A50" s="232">
        <f t="shared" si="0"/>
        <v>47</v>
      </c>
      <c r="B50" s="233" t="e">
        <f>MIDP!#REF!</f>
        <v>#REF!</v>
      </c>
      <c r="C50" s="233" t="e">
        <f>MIDP!#REF!</f>
        <v>#REF!</v>
      </c>
    </row>
    <row r="51" spans="1:3" x14ac:dyDescent="0.2">
      <c r="A51" s="232">
        <f t="shared" si="0"/>
        <v>48</v>
      </c>
      <c r="B51" s="233" t="e">
        <f>MIDP!#REF!</f>
        <v>#REF!</v>
      </c>
      <c r="C51" s="233" t="e">
        <f>MIDP!#REF!</f>
        <v>#REF!</v>
      </c>
    </row>
    <row r="52" spans="1:3" x14ac:dyDescent="0.2">
      <c r="A52" s="232">
        <f t="shared" si="0"/>
        <v>49</v>
      </c>
      <c r="B52" s="233" t="e">
        <f>MIDP!#REF!</f>
        <v>#REF!</v>
      </c>
      <c r="C52" s="233" t="e">
        <f>MIDP!#REF!</f>
        <v>#REF!</v>
      </c>
    </row>
    <row r="53" spans="1:3" x14ac:dyDescent="0.2">
      <c r="A53" s="232">
        <f t="shared" si="0"/>
        <v>50</v>
      </c>
      <c r="B53" s="233" t="e">
        <f>MIDP!#REF!</f>
        <v>#REF!</v>
      </c>
      <c r="C53" s="233" t="e">
        <f>MIDP!#REF!</f>
        <v>#REF!</v>
      </c>
    </row>
    <row r="54" spans="1:3" x14ac:dyDescent="0.2">
      <c r="A54" s="232">
        <f t="shared" si="0"/>
        <v>51</v>
      </c>
      <c r="B54" s="233" t="e">
        <f>MIDP!#REF!</f>
        <v>#REF!</v>
      </c>
      <c r="C54" s="233" t="e">
        <f>MIDP!#REF!</f>
        <v>#REF!</v>
      </c>
    </row>
    <row r="55" spans="1:3" x14ac:dyDescent="0.2">
      <c r="A55" s="232">
        <f t="shared" si="0"/>
        <v>52</v>
      </c>
      <c r="B55" s="233" t="e">
        <f>MIDP!#REF!</f>
        <v>#REF!</v>
      </c>
      <c r="C55" s="233" t="e">
        <f>MIDP!#REF!</f>
        <v>#REF!</v>
      </c>
    </row>
    <row r="56" spans="1:3" x14ac:dyDescent="0.2">
      <c r="A56" s="232">
        <f t="shared" si="0"/>
        <v>53</v>
      </c>
      <c r="B56" s="233" t="e">
        <f>MIDP!#REF!</f>
        <v>#REF!</v>
      </c>
      <c r="C56" s="233" t="e">
        <f>MIDP!#REF!</f>
        <v>#REF!</v>
      </c>
    </row>
    <row r="57" spans="1:3" x14ac:dyDescent="0.2">
      <c r="A57" s="232">
        <f t="shared" si="0"/>
        <v>54</v>
      </c>
      <c r="B57" s="233" t="e">
        <f>MIDP!#REF!</f>
        <v>#REF!</v>
      </c>
      <c r="C57" s="233" t="e">
        <f>MIDP!#REF!</f>
        <v>#REF!</v>
      </c>
    </row>
    <row r="58" spans="1:3" x14ac:dyDescent="0.2">
      <c r="A58" s="232">
        <f t="shared" si="0"/>
        <v>55</v>
      </c>
      <c r="B58" s="233" t="e">
        <f>MIDP!#REF!</f>
        <v>#REF!</v>
      </c>
      <c r="C58" s="233" t="e">
        <f>MIDP!#REF!</f>
        <v>#REF!</v>
      </c>
    </row>
    <row r="59" spans="1:3" x14ac:dyDescent="0.2">
      <c r="A59" s="232">
        <f t="shared" si="0"/>
        <v>56</v>
      </c>
      <c r="B59" s="233" t="e">
        <f>MIDP!#REF!</f>
        <v>#REF!</v>
      </c>
      <c r="C59" s="233" t="e">
        <f>MIDP!#REF!</f>
        <v>#REF!</v>
      </c>
    </row>
    <row r="60" spans="1:3" x14ac:dyDescent="0.2">
      <c r="A60" s="232">
        <f t="shared" si="0"/>
        <v>57</v>
      </c>
      <c r="B60" s="233" t="e">
        <f>MIDP!#REF!</f>
        <v>#REF!</v>
      </c>
      <c r="C60" s="233" t="e">
        <f>MIDP!#REF!</f>
        <v>#REF!</v>
      </c>
    </row>
    <row r="61" spans="1:3" x14ac:dyDescent="0.2">
      <c r="A61" s="232">
        <f t="shared" si="0"/>
        <v>58</v>
      </c>
      <c r="B61" s="233" t="e">
        <f>MIDP!#REF!</f>
        <v>#REF!</v>
      </c>
      <c r="C61" s="233" t="e">
        <f>MIDP!#REF!</f>
        <v>#REF!</v>
      </c>
    </row>
    <row r="62" spans="1:3" x14ac:dyDescent="0.2">
      <c r="A62" s="232">
        <f t="shared" si="0"/>
        <v>59</v>
      </c>
      <c r="B62" s="233" t="e">
        <f>MIDP!#REF!</f>
        <v>#REF!</v>
      </c>
      <c r="C62" s="233" t="e">
        <f>MIDP!#REF!</f>
        <v>#REF!</v>
      </c>
    </row>
    <row r="63" spans="1:3" x14ac:dyDescent="0.2">
      <c r="A63" s="232">
        <f t="shared" si="0"/>
        <v>60</v>
      </c>
      <c r="B63" s="233" t="e">
        <f>MIDP!#REF!</f>
        <v>#REF!</v>
      </c>
      <c r="C63" s="233" t="e">
        <f>MIDP!#REF!</f>
        <v>#REF!</v>
      </c>
    </row>
    <row r="64" spans="1:3" x14ac:dyDescent="0.2">
      <c r="A64" s="232">
        <f t="shared" si="0"/>
        <v>61</v>
      </c>
      <c r="B64" s="233" t="e">
        <f>MIDP!#REF!</f>
        <v>#REF!</v>
      </c>
      <c r="C64" s="233" t="e">
        <f>MIDP!#REF!</f>
        <v>#REF!</v>
      </c>
    </row>
    <row r="65" spans="1:3" x14ac:dyDescent="0.2">
      <c r="A65" s="232">
        <f t="shared" si="0"/>
        <v>62</v>
      </c>
      <c r="B65" s="233" t="e">
        <f>MIDP!#REF!</f>
        <v>#REF!</v>
      </c>
      <c r="C65" s="233" t="e">
        <f>MIDP!#REF!</f>
        <v>#REF!</v>
      </c>
    </row>
    <row r="66" spans="1:3" x14ac:dyDescent="0.2">
      <c r="A66" s="232">
        <f t="shared" si="0"/>
        <v>63</v>
      </c>
      <c r="B66" s="233" t="e">
        <f>MIDP!#REF!</f>
        <v>#REF!</v>
      </c>
      <c r="C66" s="233" t="e">
        <f>MIDP!#REF!</f>
        <v>#REF!</v>
      </c>
    </row>
    <row r="67" spans="1:3" x14ac:dyDescent="0.2">
      <c r="A67" s="232">
        <f t="shared" si="0"/>
        <v>64</v>
      </c>
      <c r="B67" s="233" t="e">
        <f>MIDP!#REF!</f>
        <v>#REF!</v>
      </c>
      <c r="C67" s="233" t="e">
        <f>MIDP!#REF!</f>
        <v>#REF!</v>
      </c>
    </row>
    <row r="68" spans="1:3" x14ac:dyDescent="0.2">
      <c r="A68" s="232">
        <f t="shared" si="0"/>
        <v>65</v>
      </c>
      <c r="B68" s="233" t="e">
        <f>MIDP!#REF!</f>
        <v>#REF!</v>
      </c>
      <c r="C68" s="233" t="e">
        <f>MIDP!#REF!</f>
        <v>#REF!</v>
      </c>
    </row>
    <row r="69" spans="1:3" x14ac:dyDescent="0.2">
      <c r="A69" s="232">
        <f t="shared" ref="A69:A78" si="1">A68+1</f>
        <v>66</v>
      </c>
      <c r="B69" s="233" t="e">
        <f>MIDP!#REF!</f>
        <v>#REF!</v>
      </c>
      <c r="C69" s="233" t="e">
        <f>MIDP!#REF!</f>
        <v>#REF!</v>
      </c>
    </row>
    <row r="70" spans="1:3" x14ac:dyDescent="0.2">
      <c r="A70" s="232">
        <f t="shared" si="1"/>
        <v>67</v>
      </c>
      <c r="B70" s="233" t="e">
        <f>MIDP!#REF!</f>
        <v>#REF!</v>
      </c>
      <c r="C70" s="233" t="e">
        <f>MIDP!#REF!</f>
        <v>#REF!</v>
      </c>
    </row>
    <row r="71" spans="1:3" x14ac:dyDescent="0.2">
      <c r="A71" s="232">
        <f t="shared" si="1"/>
        <v>68</v>
      </c>
      <c r="B71" s="233" t="e">
        <f>MIDP!#REF!</f>
        <v>#REF!</v>
      </c>
      <c r="C71" s="233" t="e">
        <f>MIDP!#REF!</f>
        <v>#REF!</v>
      </c>
    </row>
    <row r="72" spans="1:3" x14ac:dyDescent="0.2">
      <c r="A72" s="232">
        <f t="shared" si="1"/>
        <v>69</v>
      </c>
      <c r="B72" s="233" t="e">
        <f>MIDP!#REF!</f>
        <v>#REF!</v>
      </c>
      <c r="C72" s="233" t="e">
        <f>MIDP!#REF!</f>
        <v>#REF!</v>
      </c>
    </row>
    <row r="73" spans="1:3" x14ac:dyDescent="0.2">
      <c r="A73" s="232">
        <f t="shared" si="1"/>
        <v>70</v>
      </c>
      <c r="B73" s="233" t="e">
        <f>MIDP!#REF!</f>
        <v>#REF!</v>
      </c>
      <c r="C73" s="233" t="e">
        <f>MIDP!#REF!</f>
        <v>#REF!</v>
      </c>
    </row>
    <row r="74" spans="1:3" x14ac:dyDescent="0.2">
      <c r="A74" s="232">
        <f t="shared" si="1"/>
        <v>71</v>
      </c>
      <c r="B74" s="233" t="e">
        <f>MIDP!#REF!</f>
        <v>#REF!</v>
      </c>
      <c r="C74" s="233" t="e">
        <f>MIDP!#REF!</f>
        <v>#REF!</v>
      </c>
    </row>
    <row r="75" spans="1:3" x14ac:dyDescent="0.2">
      <c r="A75" s="232">
        <f t="shared" si="1"/>
        <v>72</v>
      </c>
      <c r="B75" s="233" t="e">
        <f>MIDP!#REF!</f>
        <v>#REF!</v>
      </c>
      <c r="C75" s="233" t="e">
        <f>MIDP!#REF!</f>
        <v>#REF!</v>
      </c>
    </row>
    <row r="76" spans="1:3" x14ac:dyDescent="0.2">
      <c r="A76" s="232">
        <f t="shared" si="1"/>
        <v>73</v>
      </c>
      <c r="B76" s="233" t="e">
        <f>MIDP!#REF!</f>
        <v>#REF!</v>
      </c>
      <c r="C76" s="233" t="e">
        <f>MIDP!#REF!</f>
        <v>#REF!</v>
      </c>
    </row>
    <row r="77" spans="1:3" x14ac:dyDescent="0.2">
      <c r="A77" s="232">
        <f t="shared" si="1"/>
        <v>74</v>
      </c>
      <c r="B77" s="233" t="e">
        <f>MIDP!#REF!</f>
        <v>#REF!</v>
      </c>
      <c r="C77" s="233" t="e">
        <f>MIDP!#REF!</f>
        <v>#REF!</v>
      </c>
    </row>
    <row r="78" spans="1:3" x14ac:dyDescent="0.2">
      <c r="A78" s="232">
        <f t="shared" si="1"/>
        <v>75</v>
      </c>
      <c r="B78" s="233" t="e">
        <f>MIDP!#REF!</f>
        <v>#REF!</v>
      </c>
      <c r="C78" s="233" t="e">
        <f>MIDP!#REF!</f>
        <v>#REF!</v>
      </c>
    </row>
  </sheetData>
  <mergeCells count="2">
    <mergeCell ref="A1:C1"/>
    <mergeCell ref="A3:C3"/>
  </mergeCells>
  <printOptions horizontalCentered="1" verticalCentered="1"/>
  <pageMargins left="0.7" right="0.7" top="0.75" bottom="0.75" header="0.3" footer="0.3"/>
  <pageSetup paperSize="141"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716CB-29D9-4782-9311-A1C744EB600C}">
  <sheetPr>
    <pageSetUpPr fitToPage="1"/>
  </sheetPr>
  <dimension ref="A1:C78"/>
  <sheetViews>
    <sheetView zoomScale="80" zoomScaleNormal="80" workbookViewId="0">
      <selection activeCell="G47" sqref="G47"/>
    </sheetView>
  </sheetViews>
  <sheetFormatPr defaultColWidth="9.28515625" defaultRowHeight="12.75" x14ac:dyDescent="0.2"/>
  <cols>
    <col min="1" max="1" width="8.7109375" style="234" customWidth="1"/>
    <col min="2" max="2" width="15.7109375" style="229" customWidth="1"/>
    <col min="3" max="3" width="75.7109375" style="229" customWidth="1"/>
    <col min="4" max="16384" width="9.28515625" style="229"/>
  </cols>
  <sheetData>
    <row r="1" spans="1:3" ht="58.7" customHeight="1" x14ac:dyDescent="0.2">
      <c r="A1" s="305" t="s">
        <v>696</v>
      </c>
      <c r="B1" s="305"/>
      <c r="C1" s="305"/>
    </row>
    <row r="2" spans="1:3" s="231" customFormat="1" ht="24.4" customHeight="1" x14ac:dyDescent="0.2">
      <c r="A2" s="230" t="s">
        <v>697</v>
      </c>
      <c r="B2" s="230" t="s">
        <v>698</v>
      </c>
      <c r="C2" s="230" t="s">
        <v>699</v>
      </c>
    </row>
    <row r="3" spans="1:3" x14ac:dyDescent="0.2">
      <c r="A3" s="306" t="s">
        <v>703</v>
      </c>
      <c r="B3" s="307"/>
      <c r="C3" s="308"/>
    </row>
    <row r="4" spans="1:3" x14ac:dyDescent="0.2">
      <c r="A4" s="232">
        <v>1</v>
      </c>
      <c r="B4" s="233" t="e">
        <f>MIDP!#REF!</f>
        <v>#REF!</v>
      </c>
      <c r="C4" s="233" t="e">
        <f>MIDP!#REF!</f>
        <v>#REF!</v>
      </c>
    </row>
    <row r="5" spans="1:3" x14ac:dyDescent="0.2">
      <c r="A5" s="232">
        <f t="shared" ref="A5:A68" si="0">A4+1</f>
        <v>2</v>
      </c>
      <c r="B5" s="233" t="e">
        <f>MIDP!#REF!</f>
        <v>#REF!</v>
      </c>
      <c r="C5" s="233" t="e">
        <f>MIDP!#REF!</f>
        <v>#REF!</v>
      </c>
    </row>
    <row r="6" spans="1:3" x14ac:dyDescent="0.2">
      <c r="A6" s="232">
        <f t="shared" si="0"/>
        <v>3</v>
      </c>
      <c r="B6" s="233" t="e">
        <f>MIDP!#REF!</f>
        <v>#REF!</v>
      </c>
      <c r="C6" s="233" t="e">
        <f>MIDP!#REF!</f>
        <v>#REF!</v>
      </c>
    </row>
    <row r="7" spans="1:3" x14ac:dyDescent="0.2">
      <c r="A7" s="232">
        <f t="shared" si="0"/>
        <v>4</v>
      </c>
      <c r="B7" s="233" t="e">
        <f>MIDP!#REF!</f>
        <v>#REF!</v>
      </c>
      <c r="C7" s="233" t="e">
        <f>MIDP!#REF!</f>
        <v>#REF!</v>
      </c>
    </row>
    <row r="8" spans="1:3" x14ac:dyDescent="0.2">
      <c r="A8" s="232">
        <f t="shared" si="0"/>
        <v>5</v>
      </c>
      <c r="B8" s="233" t="e">
        <f>MIDP!#REF!</f>
        <v>#REF!</v>
      </c>
      <c r="C8" s="233" t="e">
        <f>MIDP!#REF!</f>
        <v>#REF!</v>
      </c>
    </row>
    <row r="9" spans="1:3" x14ac:dyDescent="0.2">
      <c r="A9" s="232">
        <f t="shared" si="0"/>
        <v>6</v>
      </c>
      <c r="B9" s="233" t="e">
        <f>MIDP!#REF!</f>
        <v>#REF!</v>
      </c>
      <c r="C9" s="233" t="e">
        <f>MIDP!#REF!</f>
        <v>#REF!</v>
      </c>
    </row>
    <row r="10" spans="1:3" x14ac:dyDescent="0.2">
      <c r="A10" s="232">
        <f t="shared" si="0"/>
        <v>7</v>
      </c>
      <c r="B10" s="233" t="e">
        <f>MIDP!#REF!</f>
        <v>#REF!</v>
      </c>
      <c r="C10" s="233" t="e">
        <f>MIDP!#REF!</f>
        <v>#REF!</v>
      </c>
    </row>
    <row r="11" spans="1:3" x14ac:dyDescent="0.2">
      <c r="A11" s="232">
        <f t="shared" si="0"/>
        <v>8</v>
      </c>
      <c r="B11" s="233" t="e">
        <f>MIDP!#REF!</f>
        <v>#REF!</v>
      </c>
      <c r="C11" s="233" t="e">
        <f>MIDP!#REF!</f>
        <v>#REF!</v>
      </c>
    </row>
    <row r="12" spans="1:3" x14ac:dyDescent="0.2">
      <c r="A12" s="232">
        <f t="shared" si="0"/>
        <v>9</v>
      </c>
      <c r="B12" s="233" t="e">
        <f>MIDP!#REF!</f>
        <v>#REF!</v>
      </c>
      <c r="C12" s="233" t="e">
        <f>MIDP!#REF!</f>
        <v>#REF!</v>
      </c>
    </row>
    <row r="13" spans="1:3" x14ac:dyDescent="0.2">
      <c r="A13" s="232">
        <f t="shared" si="0"/>
        <v>10</v>
      </c>
      <c r="B13" s="233" t="e">
        <f>MIDP!#REF!</f>
        <v>#REF!</v>
      </c>
      <c r="C13" s="233" t="e">
        <f>MIDP!#REF!</f>
        <v>#REF!</v>
      </c>
    </row>
    <row r="14" spans="1:3" x14ac:dyDescent="0.2">
      <c r="A14" s="232">
        <f t="shared" si="0"/>
        <v>11</v>
      </c>
      <c r="B14" s="233" t="e">
        <f>MIDP!#REF!</f>
        <v>#REF!</v>
      </c>
      <c r="C14" s="233" t="e">
        <f>MIDP!#REF!</f>
        <v>#REF!</v>
      </c>
    </row>
    <row r="15" spans="1:3" x14ac:dyDescent="0.2">
      <c r="A15" s="232">
        <f t="shared" si="0"/>
        <v>12</v>
      </c>
      <c r="B15" s="233" t="e">
        <f>MIDP!#REF!</f>
        <v>#REF!</v>
      </c>
      <c r="C15" s="233" t="e">
        <f>MIDP!#REF!</f>
        <v>#REF!</v>
      </c>
    </row>
    <row r="16" spans="1:3" x14ac:dyDescent="0.2">
      <c r="A16" s="232">
        <f t="shared" si="0"/>
        <v>13</v>
      </c>
      <c r="B16" s="233" t="e">
        <f>MIDP!#REF!</f>
        <v>#REF!</v>
      </c>
      <c r="C16" s="233" t="e">
        <f>MIDP!#REF!</f>
        <v>#REF!</v>
      </c>
    </row>
    <row r="17" spans="1:3" x14ac:dyDescent="0.2">
      <c r="A17" s="232">
        <f t="shared" si="0"/>
        <v>14</v>
      </c>
      <c r="B17" s="233" t="e">
        <f>MIDP!#REF!</f>
        <v>#REF!</v>
      </c>
      <c r="C17" s="233" t="e">
        <f>MIDP!#REF!</f>
        <v>#REF!</v>
      </c>
    </row>
    <row r="18" spans="1:3" x14ac:dyDescent="0.2">
      <c r="A18" s="232">
        <f t="shared" si="0"/>
        <v>15</v>
      </c>
      <c r="B18" s="233" t="e">
        <f>MIDP!#REF!</f>
        <v>#REF!</v>
      </c>
      <c r="C18" s="233" t="e">
        <f>MIDP!#REF!</f>
        <v>#REF!</v>
      </c>
    </row>
    <row r="19" spans="1:3" x14ac:dyDescent="0.2">
      <c r="A19" s="232">
        <f t="shared" si="0"/>
        <v>16</v>
      </c>
      <c r="B19" s="233" t="e">
        <f>MIDP!#REF!</f>
        <v>#REF!</v>
      </c>
      <c r="C19" s="233" t="e">
        <f>MIDP!#REF!</f>
        <v>#REF!</v>
      </c>
    </row>
    <row r="20" spans="1:3" x14ac:dyDescent="0.2">
      <c r="A20" s="232">
        <f t="shared" si="0"/>
        <v>17</v>
      </c>
      <c r="B20" s="233" t="e">
        <f>MIDP!#REF!</f>
        <v>#REF!</v>
      </c>
      <c r="C20" s="233" t="e">
        <f>MIDP!#REF!</f>
        <v>#REF!</v>
      </c>
    </row>
    <row r="21" spans="1:3" x14ac:dyDescent="0.2">
      <c r="A21" s="232">
        <f t="shared" si="0"/>
        <v>18</v>
      </c>
      <c r="B21" s="233" t="e">
        <f>MIDP!#REF!</f>
        <v>#REF!</v>
      </c>
      <c r="C21" s="233" t="e">
        <f>MIDP!#REF!</f>
        <v>#REF!</v>
      </c>
    </row>
    <row r="22" spans="1:3" x14ac:dyDescent="0.2">
      <c r="A22" s="232">
        <f t="shared" si="0"/>
        <v>19</v>
      </c>
      <c r="B22" s="233" t="e">
        <f>MIDP!#REF!</f>
        <v>#REF!</v>
      </c>
      <c r="C22" s="233" t="e">
        <f>MIDP!#REF!</f>
        <v>#REF!</v>
      </c>
    </row>
    <row r="23" spans="1:3" x14ac:dyDescent="0.2">
      <c r="A23" s="232">
        <f t="shared" si="0"/>
        <v>20</v>
      </c>
      <c r="B23" s="233" t="e">
        <f>MIDP!#REF!</f>
        <v>#REF!</v>
      </c>
      <c r="C23" s="233" t="e">
        <f>MIDP!#REF!</f>
        <v>#REF!</v>
      </c>
    </row>
    <row r="24" spans="1:3" x14ac:dyDescent="0.2">
      <c r="A24" s="232">
        <f t="shared" si="0"/>
        <v>21</v>
      </c>
      <c r="B24" s="233" t="e">
        <f>MIDP!#REF!</f>
        <v>#REF!</v>
      </c>
      <c r="C24" s="233" t="e">
        <f>MIDP!#REF!</f>
        <v>#REF!</v>
      </c>
    </row>
    <row r="25" spans="1:3" x14ac:dyDescent="0.2">
      <c r="A25" s="232">
        <f t="shared" si="0"/>
        <v>22</v>
      </c>
      <c r="B25" s="233" t="e">
        <f>MIDP!#REF!</f>
        <v>#REF!</v>
      </c>
      <c r="C25" s="233" t="e">
        <f>MIDP!#REF!</f>
        <v>#REF!</v>
      </c>
    </row>
    <row r="26" spans="1:3" x14ac:dyDescent="0.2">
      <c r="A26" s="232">
        <f t="shared" si="0"/>
        <v>23</v>
      </c>
      <c r="B26" s="233" t="e">
        <f>MIDP!#REF!</f>
        <v>#REF!</v>
      </c>
      <c r="C26" s="233" t="e">
        <f>MIDP!#REF!</f>
        <v>#REF!</v>
      </c>
    </row>
    <row r="27" spans="1:3" x14ac:dyDescent="0.2">
      <c r="A27" s="232">
        <f t="shared" si="0"/>
        <v>24</v>
      </c>
      <c r="B27" s="233" t="e">
        <f>MIDP!#REF!</f>
        <v>#REF!</v>
      </c>
      <c r="C27" s="233" t="e">
        <f>MIDP!#REF!</f>
        <v>#REF!</v>
      </c>
    </row>
    <row r="28" spans="1:3" x14ac:dyDescent="0.2">
      <c r="A28" s="232">
        <f t="shared" si="0"/>
        <v>25</v>
      </c>
      <c r="B28" s="233" t="e">
        <f>MIDP!#REF!</f>
        <v>#REF!</v>
      </c>
      <c r="C28" s="233" t="e">
        <f>MIDP!#REF!</f>
        <v>#REF!</v>
      </c>
    </row>
    <row r="29" spans="1:3" x14ac:dyDescent="0.2">
      <c r="A29" s="232">
        <f t="shared" si="0"/>
        <v>26</v>
      </c>
      <c r="B29" s="233" t="e">
        <f>MIDP!#REF!</f>
        <v>#REF!</v>
      </c>
      <c r="C29" s="233" t="e">
        <f>MIDP!#REF!</f>
        <v>#REF!</v>
      </c>
    </row>
    <row r="30" spans="1:3" x14ac:dyDescent="0.2">
      <c r="A30" s="232">
        <f t="shared" si="0"/>
        <v>27</v>
      </c>
      <c r="B30" s="233" t="e">
        <f>MIDP!#REF!</f>
        <v>#REF!</v>
      </c>
      <c r="C30" s="233" t="e">
        <f>MIDP!#REF!</f>
        <v>#REF!</v>
      </c>
    </row>
    <row r="31" spans="1:3" x14ac:dyDescent="0.2">
      <c r="A31" s="232">
        <f t="shared" si="0"/>
        <v>28</v>
      </c>
      <c r="B31" s="233" t="e">
        <f>MIDP!#REF!</f>
        <v>#REF!</v>
      </c>
      <c r="C31" s="233" t="e">
        <f>MIDP!#REF!</f>
        <v>#REF!</v>
      </c>
    </row>
    <row r="32" spans="1:3" x14ac:dyDescent="0.2">
      <c r="A32" s="232">
        <f t="shared" si="0"/>
        <v>29</v>
      </c>
      <c r="B32" s="233" t="e">
        <f>MIDP!#REF!</f>
        <v>#REF!</v>
      </c>
      <c r="C32" s="233" t="e">
        <f>MIDP!#REF!</f>
        <v>#REF!</v>
      </c>
    </row>
    <row r="33" spans="1:3" x14ac:dyDescent="0.2">
      <c r="A33" s="232">
        <f t="shared" si="0"/>
        <v>30</v>
      </c>
      <c r="B33" s="233" t="e">
        <f>MIDP!#REF!</f>
        <v>#REF!</v>
      </c>
      <c r="C33" s="233" t="e">
        <f>MIDP!#REF!</f>
        <v>#REF!</v>
      </c>
    </row>
    <row r="34" spans="1:3" x14ac:dyDescent="0.2">
      <c r="A34" s="232">
        <f t="shared" si="0"/>
        <v>31</v>
      </c>
      <c r="B34" s="233" t="e">
        <f>MIDP!#REF!</f>
        <v>#REF!</v>
      </c>
      <c r="C34" s="233" t="e">
        <f>MIDP!#REF!</f>
        <v>#REF!</v>
      </c>
    </row>
    <row r="35" spans="1:3" x14ac:dyDescent="0.2">
      <c r="A35" s="232">
        <f t="shared" si="0"/>
        <v>32</v>
      </c>
      <c r="B35" s="233" t="e">
        <f>MIDP!#REF!</f>
        <v>#REF!</v>
      </c>
      <c r="C35" s="233" t="e">
        <f>MIDP!#REF!</f>
        <v>#REF!</v>
      </c>
    </row>
    <row r="36" spans="1:3" x14ac:dyDescent="0.2">
      <c r="A36" s="232">
        <f t="shared" si="0"/>
        <v>33</v>
      </c>
      <c r="B36" s="233" t="e">
        <f>MIDP!#REF!</f>
        <v>#REF!</v>
      </c>
      <c r="C36" s="233" t="e">
        <f>MIDP!#REF!</f>
        <v>#REF!</v>
      </c>
    </row>
    <row r="37" spans="1:3" x14ac:dyDescent="0.2">
      <c r="A37" s="232">
        <f t="shared" si="0"/>
        <v>34</v>
      </c>
      <c r="B37" s="233" t="e">
        <f>MIDP!#REF!</f>
        <v>#REF!</v>
      </c>
      <c r="C37" s="233" t="e">
        <f>MIDP!#REF!</f>
        <v>#REF!</v>
      </c>
    </row>
    <row r="38" spans="1:3" x14ac:dyDescent="0.2">
      <c r="A38" s="232">
        <f t="shared" si="0"/>
        <v>35</v>
      </c>
      <c r="B38" s="233" t="e">
        <f>MIDP!#REF!</f>
        <v>#REF!</v>
      </c>
      <c r="C38" s="233" t="e">
        <f>MIDP!#REF!</f>
        <v>#REF!</v>
      </c>
    </row>
    <row r="39" spans="1:3" x14ac:dyDescent="0.2">
      <c r="A39" s="232">
        <f t="shared" si="0"/>
        <v>36</v>
      </c>
      <c r="B39" s="233" t="e">
        <f>MIDP!#REF!</f>
        <v>#REF!</v>
      </c>
      <c r="C39" s="233" t="e">
        <f>MIDP!#REF!</f>
        <v>#REF!</v>
      </c>
    </row>
    <row r="40" spans="1:3" x14ac:dyDescent="0.2">
      <c r="A40" s="232">
        <f t="shared" si="0"/>
        <v>37</v>
      </c>
      <c r="B40" s="233" t="e">
        <f>MIDP!#REF!</f>
        <v>#REF!</v>
      </c>
      <c r="C40" s="233" t="e">
        <f>MIDP!#REF!</f>
        <v>#REF!</v>
      </c>
    </row>
    <row r="41" spans="1:3" x14ac:dyDescent="0.2">
      <c r="A41" s="232">
        <f t="shared" si="0"/>
        <v>38</v>
      </c>
      <c r="B41" s="233" t="e">
        <f>MIDP!#REF!</f>
        <v>#REF!</v>
      </c>
      <c r="C41" s="233" t="e">
        <f>MIDP!#REF!</f>
        <v>#REF!</v>
      </c>
    </row>
    <row r="42" spans="1:3" x14ac:dyDescent="0.2">
      <c r="A42" s="232">
        <f t="shared" si="0"/>
        <v>39</v>
      </c>
      <c r="B42" s="233" t="e">
        <f>MIDP!#REF!</f>
        <v>#REF!</v>
      </c>
      <c r="C42" s="233" t="e">
        <f>MIDP!#REF!</f>
        <v>#REF!</v>
      </c>
    </row>
    <row r="43" spans="1:3" x14ac:dyDescent="0.2">
      <c r="A43" s="232">
        <f t="shared" si="0"/>
        <v>40</v>
      </c>
      <c r="B43" s="233" t="e">
        <f>MIDP!#REF!</f>
        <v>#REF!</v>
      </c>
      <c r="C43" s="233" t="e">
        <f>MIDP!#REF!</f>
        <v>#REF!</v>
      </c>
    </row>
    <row r="44" spans="1:3" x14ac:dyDescent="0.2">
      <c r="A44" s="232">
        <f t="shared" si="0"/>
        <v>41</v>
      </c>
      <c r="B44" s="233" t="e">
        <f>MIDP!#REF!</f>
        <v>#REF!</v>
      </c>
      <c r="C44" s="233" t="e">
        <f>MIDP!#REF!</f>
        <v>#REF!</v>
      </c>
    </row>
    <row r="45" spans="1:3" x14ac:dyDescent="0.2">
      <c r="A45" s="232">
        <f t="shared" si="0"/>
        <v>42</v>
      </c>
      <c r="B45" s="233" t="e">
        <f>MIDP!#REF!</f>
        <v>#REF!</v>
      </c>
      <c r="C45" s="233" t="e">
        <f>MIDP!#REF!</f>
        <v>#REF!</v>
      </c>
    </row>
    <row r="46" spans="1:3" x14ac:dyDescent="0.2">
      <c r="A46" s="232">
        <f t="shared" si="0"/>
        <v>43</v>
      </c>
      <c r="B46" s="233" t="e">
        <f>MIDP!#REF!</f>
        <v>#REF!</v>
      </c>
      <c r="C46" s="233" t="e">
        <f>MIDP!#REF!</f>
        <v>#REF!</v>
      </c>
    </row>
    <row r="47" spans="1:3" x14ac:dyDescent="0.2">
      <c r="A47" s="232">
        <f t="shared" si="0"/>
        <v>44</v>
      </c>
      <c r="B47" s="233" t="e">
        <f>MIDP!#REF!</f>
        <v>#REF!</v>
      </c>
      <c r="C47" s="233" t="e">
        <f>MIDP!#REF!</f>
        <v>#REF!</v>
      </c>
    </row>
    <row r="48" spans="1:3" x14ac:dyDescent="0.2">
      <c r="A48" s="232">
        <f t="shared" si="0"/>
        <v>45</v>
      </c>
      <c r="B48" s="233" t="e">
        <f>MIDP!#REF!</f>
        <v>#REF!</v>
      </c>
      <c r="C48" s="233" t="e">
        <f>MIDP!#REF!</f>
        <v>#REF!</v>
      </c>
    </row>
    <row r="49" spans="1:3" x14ac:dyDescent="0.2">
      <c r="A49" s="232">
        <f>A48+1</f>
        <v>46</v>
      </c>
      <c r="B49" s="233" t="e">
        <f>MIDP!#REF!</f>
        <v>#REF!</v>
      </c>
      <c r="C49" s="233" t="e">
        <f>MIDP!#REF!</f>
        <v>#REF!</v>
      </c>
    </row>
    <row r="50" spans="1:3" x14ac:dyDescent="0.2">
      <c r="A50" s="232">
        <f t="shared" si="0"/>
        <v>47</v>
      </c>
      <c r="B50" s="233" t="e">
        <f>MIDP!#REF!</f>
        <v>#REF!</v>
      </c>
      <c r="C50" s="233" t="e">
        <f>MIDP!#REF!</f>
        <v>#REF!</v>
      </c>
    </row>
    <row r="51" spans="1:3" x14ac:dyDescent="0.2">
      <c r="A51" s="232">
        <f t="shared" si="0"/>
        <v>48</v>
      </c>
      <c r="B51" s="233" t="e">
        <f>MIDP!#REF!</f>
        <v>#REF!</v>
      </c>
      <c r="C51" s="233" t="e">
        <f>MIDP!#REF!</f>
        <v>#REF!</v>
      </c>
    </row>
    <row r="52" spans="1:3" x14ac:dyDescent="0.2">
      <c r="A52" s="232">
        <f t="shared" si="0"/>
        <v>49</v>
      </c>
      <c r="B52" s="233" t="e">
        <f>MIDP!#REF!</f>
        <v>#REF!</v>
      </c>
      <c r="C52" s="233" t="e">
        <f>MIDP!#REF!</f>
        <v>#REF!</v>
      </c>
    </row>
    <row r="53" spans="1:3" x14ac:dyDescent="0.2">
      <c r="A53" s="232">
        <f t="shared" si="0"/>
        <v>50</v>
      </c>
      <c r="B53" s="233" t="e">
        <f>MIDP!#REF!</f>
        <v>#REF!</v>
      </c>
      <c r="C53" s="233" t="e">
        <f>MIDP!#REF!</f>
        <v>#REF!</v>
      </c>
    </row>
    <row r="54" spans="1:3" x14ac:dyDescent="0.2">
      <c r="A54" s="232">
        <f t="shared" si="0"/>
        <v>51</v>
      </c>
      <c r="B54" s="233" t="e">
        <f>MIDP!#REF!</f>
        <v>#REF!</v>
      </c>
      <c r="C54" s="233" t="e">
        <f>MIDP!#REF!</f>
        <v>#REF!</v>
      </c>
    </row>
    <row r="55" spans="1:3" x14ac:dyDescent="0.2">
      <c r="A55" s="232">
        <f t="shared" si="0"/>
        <v>52</v>
      </c>
      <c r="B55" s="233" t="e">
        <f>MIDP!#REF!</f>
        <v>#REF!</v>
      </c>
      <c r="C55" s="233" t="e">
        <f>MIDP!#REF!</f>
        <v>#REF!</v>
      </c>
    </row>
    <row r="56" spans="1:3" x14ac:dyDescent="0.2">
      <c r="A56" s="232">
        <f t="shared" si="0"/>
        <v>53</v>
      </c>
      <c r="B56" s="233" t="e">
        <f>MIDP!#REF!</f>
        <v>#REF!</v>
      </c>
      <c r="C56" s="233" t="e">
        <f>MIDP!#REF!</f>
        <v>#REF!</v>
      </c>
    </row>
    <row r="57" spans="1:3" x14ac:dyDescent="0.2">
      <c r="A57" s="232">
        <f t="shared" si="0"/>
        <v>54</v>
      </c>
      <c r="B57" s="233" t="e">
        <f>MIDP!#REF!</f>
        <v>#REF!</v>
      </c>
      <c r="C57" s="233" t="e">
        <f>MIDP!#REF!</f>
        <v>#REF!</v>
      </c>
    </row>
    <row r="58" spans="1:3" x14ac:dyDescent="0.2">
      <c r="A58" s="232">
        <f t="shared" si="0"/>
        <v>55</v>
      </c>
      <c r="B58" s="233" t="e">
        <f>MIDP!#REF!</f>
        <v>#REF!</v>
      </c>
      <c r="C58" s="233" t="e">
        <f>MIDP!#REF!</f>
        <v>#REF!</v>
      </c>
    </row>
    <row r="59" spans="1:3" x14ac:dyDescent="0.2">
      <c r="A59" s="232">
        <f t="shared" si="0"/>
        <v>56</v>
      </c>
      <c r="B59" s="233" t="e">
        <f>MIDP!#REF!</f>
        <v>#REF!</v>
      </c>
      <c r="C59" s="233" t="e">
        <f>MIDP!#REF!</f>
        <v>#REF!</v>
      </c>
    </row>
    <row r="60" spans="1:3" x14ac:dyDescent="0.2">
      <c r="A60" s="232">
        <f t="shared" si="0"/>
        <v>57</v>
      </c>
      <c r="B60" s="233" t="e">
        <f>MIDP!#REF!</f>
        <v>#REF!</v>
      </c>
      <c r="C60" s="233" t="e">
        <f>MIDP!#REF!</f>
        <v>#REF!</v>
      </c>
    </row>
    <row r="61" spans="1:3" x14ac:dyDescent="0.2">
      <c r="A61" s="232">
        <f t="shared" si="0"/>
        <v>58</v>
      </c>
      <c r="B61" s="233" t="e">
        <f>MIDP!#REF!</f>
        <v>#REF!</v>
      </c>
      <c r="C61" s="233" t="e">
        <f>MIDP!#REF!</f>
        <v>#REF!</v>
      </c>
    </row>
    <row r="62" spans="1:3" x14ac:dyDescent="0.2">
      <c r="A62" s="232">
        <f t="shared" si="0"/>
        <v>59</v>
      </c>
      <c r="B62" s="233" t="e">
        <f>MIDP!#REF!</f>
        <v>#REF!</v>
      </c>
      <c r="C62" s="233" t="e">
        <f>MIDP!#REF!</f>
        <v>#REF!</v>
      </c>
    </row>
    <row r="63" spans="1:3" x14ac:dyDescent="0.2">
      <c r="A63" s="232">
        <f t="shared" si="0"/>
        <v>60</v>
      </c>
      <c r="B63" s="233" t="e">
        <f>MIDP!#REF!</f>
        <v>#REF!</v>
      </c>
      <c r="C63" s="233" t="e">
        <f>MIDP!#REF!</f>
        <v>#REF!</v>
      </c>
    </row>
    <row r="64" spans="1:3" x14ac:dyDescent="0.2">
      <c r="A64" s="232">
        <f t="shared" si="0"/>
        <v>61</v>
      </c>
      <c r="B64" s="233" t="e">
        <f>MIDP!#REF!</f>
        <v>#REF!</v>
      </c>
      <c r="C64" s="233" t="e">
        <f>MIDP!#REF!</f>
        <v>#REF!</v>
      </c>
    </row>
    <row r="65" spans="1:3" x14ac:dyDescent="0.2">
      <c r="A65" s="232">
        <f t="shared" si="0"/>
        <v>62</v>
      </c>
      <c r="B65" s="233" t="e">
        <f>MIDP!#REF!</f>
        <v>#REF!</v>
      </c>
      <c r="C65" s="233" t="e">
        <f>MIDP!#REF!</f>
        <v>#REF!</v>
      </c>
    </row>
    <row r="66" spans="1:3" x14ac:dyDescent="0.2">
      <c r="A66" s="232">
        <f t="shared" si="0"/>
        <v>63</v>
      </c>
      <c r="B66" s="233" t="e">
        <f>MIDP!#REF!</f>
        <v>#REF!</v>
      </c>
      <c r="C66" s="233" t="e">
        <f>MIDP!#REF!</f>
        <v>#REF!</v>
      </c>
    </row>
    <row r="67" spans="1:3" x14ac:dyDescent="0.2">
      <c r="A67" s="232">
        <f t="shared" si="0"/>
        <v>64</v>
      </c>
      <c r="B67" s="233" t="e">
        <f>MIDP!#REF!</f>
        <v>#REF!</v>
      </c>
      <c r="C67" s="233" t="e">
        <f>MIDP!#REF!</f>
        <v>#REF!</v>
      </c>
    </row>
    <row r="68" spans="1:3" x14ac:dyDescent="0.2">
      <c r="A68" s="232">
        <f t="shared" si="0"/>
        <v>65</v>
      </c>
      <c r="B68" s="233" t="e">
        <f>MIDP!#REF!</f>
        <v>#REF!</v>
      </c>
      <c r="C68" s="233" t="e">
        <f>MIDP!#REF!</f>
        <v>#REF!</v>
      </c>
    </row>
    <row r="69" spans="1:3" x14ac:dyDescent="0.2">
      <c r="A69" s="232">
        <f t="shared" ref="A69:A78" si="1">A68+1</f>
        <v>66</v>
      </c>
      <c r="B69" s="233" t="e">
        <f>MIDP!#REF!</f>
        <v>#REF!</v>
      </c>
      <c r="C69" s="233" t="e">
        <f>MIDP!#REF!</f>
        <v>#REF!</v>
      </c>
    </row>
    <row r="70" spans="1:3" x14ac:dyDescent="0.2">
      <c r="A70" s="232">
        <f t="shared" si="1"/>
        <v>67</v>
      </c>
      <c r="B70" s="233" t="e">
        <f>MIDP!#REF!</f>
        <v>#REF!</v>
      </c>
      <c r="C70" s="233" t="e">
        <f>MIDP!#REF!</f>
        <v>#REF!</v>
      </c>
    </row>
    <row r="71" spans="1:3" x14ac:dyDescent="0.2">
      <c r="A71" s="232">
        <f t="shared" si="1"/>
        <v>68</v>
      </c>
      <c r="B71" s="233" t="e">
        <f>MIDP!#REF!</f>
        <v>#REF!</v>
      </c>
      <c r="C71" s="233" t="e">
        <f>MIDP!#REF!</f>
        <v>#REF!</v>
      </c>
    </row>
    <row r="72" spans="1:3" x14ac:dyDescent="0.2">
      <c r="A72" s="232">
        <f t="shared" si="1"/>
        <v>69</v>
      </c>
      <c r="B72" s="233" t="e">
        <f>MIDP!#REF!</f>
        <v>#REF!</v>
      </c>
      <c r="C72" s="233" t="e">
        <f>MIDP!#REF!</f>
        <v>#REF!</v>
      </c>
    </row>
    <row r="73" spans="1:3" x14ac:dyDescent="0.2">
      <c r="A73" s="232">
        <f t="shared" si="1"/>
        <v>70</v>
      </c>
      <c r="B73" s="233" t="e">
        <f>MIDP!#REF!</f>
        <v>#REF!</v>
      </c>
      <c r="C73" s="233" t="e">
        <f>MIDP!#REF!</f>
        <v>#REF!</v>
      </c>
    </row>
    <row r="74" spans="1:3" x14ac:dyDescent="0.2">
      <c r="A74" s="232">
        <f t="shared" si="1"/>
        <v>71</v>
      </c>
      <c r="B74" s="233" t="e">
        <f>MIDP!#REF!</f>
        <v>#REF!</v>
      </c>
      <c r="C74" s="233" t="e">
        <f>MIDP!#REF!</f>
        <v>#REF!</v>
      </c>
    </row>
    <row r="75" spans="1:3" x14ac:dyDescent="0.2">
      <c r="A75" s="232">
        <f t="shared" si="1"/>
        <v>72</v>
      </c>
      <c r="B75" s="233" t="e">
        <f>MIDP!#REF!</f>
        <v>#REF!</v>
      </c>
      <c r="C75" s="233" t="e">
        <f>MIDP!#REF!</f>
        <v>#REF!</v>
      </c>
    </row>
    <row r="76" spans="1:3" x14ac:dyDescent="0.2">
      <c r="A76" s="232">
        <f t="shared" si="1"/>
        <v>73</v>
      </c>
      <c r="B76" s="233" t="e">
        <f>MIDP!#REF!</f>
        <v>#REF!</v>
      </c>
      <c r="C76" s="233" t="e">
        <f>MIDP!#REF!</f>
        <v>#REF!</v>
      </c>
    </row>
    <row r="77" spans="1:3" x14ac:dyDescent="0.2">
      <c r="A77" s="232">
        <f t="shared" si="1"/>
        <v>74</v>
      </c>
      <c r="B77" s="233" t="e">
        <f>MIDP!#REF!</f>
        <v>#REF!</v>
      </c>
      <c r="C77" s="233" t="e">
        <f>MIDP!#REF!</f>
        <v>#REF!</v>
      </c>
    </row>
    <row r="78" spans="1:3" x14ac:dyDescent="0.2">
      <c r="A78" s="232">
        <f t="shared" si="1"/>
        <v>75</v>
      </c>
      <c r="B78" s="233" t="e">
        <f>MIDP!#REF!</f>
        <v>#REF!</v>
      </c>
      <c r="C78" s="233" t="e">
        <f>MIDP!#REF!</f>
        <v>#REF!</v>
      </c>
    </row>
  </sheetData>
  <mergeCells count="2">
    <mergeCell ref="A1:C1"/>
    <mergeCell ref="A3:C3"/>
  </mergeCells>
  <printOptions horizontalCentered="1" verticalCentered="1"/>
  <pageMargins left="0.7" right="0.7" top="0.75" bottom="0.75" header="0.3" footer="0.3"/>
  <pageSetup paperSize="141"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6648C-824E-42C7-93BE-CE97B449BCF6}">
  <dimension ref="E13:E73"/>
  <sheetViews>
    <sheetView workbookViewId="0">
      <selection activeCell="E63" sqref="E63:E73"/>
    </sheetView>
  </sheetViews>
  <sheetFormatPr defaultRowHeight="12.75" x14ac:dyDescent="0.2"/>
  <cols>
    <col min="5" max="5" width="22.85546875" customWidth="1"/>
  </cols>
  <sheetData>
    <row r="13" spans="5:5" ht="16.5" x14ac:dyDescent="0.2">
      <c r="E13" s="153" t="s">
        <v>552</v>
      </c>
    </row>
    <row r="14" spans="5:5" ht="16.5" x14ac:dyDescent="0.2">
      <c r="E14" s="154" t="s">
        <v>553</v>
      </c>
    </row>
    <row r="15" spans="5:5" ht="16.5" x14ac:dyDescent="0.2">
      <c r="E15" s="154" t="s">
        <v>554</v>
      </c>
    </row>
    <row r="16" spans="5:5" ht="16.5" x14ac:dyDescent="0.2">
      <c r="E16" s="154" t="s">
        <v>555</v>
      </c>
    </row>
    <row r="17" spans="5:5" ht="16.5" x14ac:dyDescent="0.2">
      <c r="E17" s="154" t="s">
        <v>556</v>
      </c>
    </row>
    <row r="18" spans="5:5" ht="16.5" x14ac:dyDescent="0.2">
      <c r="E18" s="154" t="s">
        <v>557</v>
      </c>
    </row>
    <row r="19" spans="5:5" ht="16.5" x14ac:dyDescent="0.2">
      <c r="E19" s="154" t="s">
        <v>558</v>
      </c>
    </row>
    <row r="20" spans="5:5" ht="16.5" x14ac:dyDescent="0.2">
      <c r="E20" s="154" t="s">
        <v>559</v>
      </c>
    </row>
    <row r="21" spans="5:5" ht="16.5" x14ac:dyDescent="0.2">
      <c r="E21" s="154" t="s">
        <v>560</v>
      </c>
    </row>
    <row r="22" spans="5:5" ht="16.5" x14ac:dyDescent="0.2">
      <c r="E22" s="154" t="s">
        <v>561</v>
      </c>
    </row>
    <row r="23" spans="5:5" ht="16.5" x14ac:dyDescent="0.25">
      <c r="E23" s="155" t="s">
        <v>562</v>
      </c>
    </row>
    <row r="25" spans="5:5" ht="16.5" x14ac:dyDescent="0.2">
      <c r="E25" s="154" t="s">
        <v>563</v>
      </c>
    </row>
    <row r="26" spans="5:5" ht="16.5" x14ac:dyDescent="0.2">
      <c r="E26" s="154" t="s">
        <v>564</v>
      </c>
    </row>
    <row r="27" spans="5:5" ht="16.5" x14ac:dyDescent="0.2">
      <c r="E27" s="154" t="s">
        <v>565</v>
      </c>
    </row>
    <row r="28" spans="5:5" ht="16.5" x14ac:dyDescent="0.2">
      <c r="E28" s="154" t="s">
        <v>566</v>
      </c>
    </row>
    <row r="29" spans="5:5" ht="16.5" x14ac:dyDescent="0.2">
      <c r="E29" s="154" t="s">
        <v>567</v>
      </c>
    </row>
    <row r="30" spans="5:5" ht="16.5" x14ac:dyDescent="0.2">
      <c r="E30" s="154" t="s">
        <v>568</v>
      </c>
    </row>
    <row r="31" spans="5:5" ht="16.5" x14ac:dyDescent="0.2">
      <c r="E31" s="154" t="s">
        <v>569</v>
      </c>
    </row>
    <row r="32" spans="5:5" ht="16.5" x14ac:dyDescent="0.2">
      <c r="E32" s="154" t="s">
        <v>570</v>
      </c>
    </row>
    <row r="33" spans="5:5" ht="16.5" x14ac:dyDescent="0.2">
      <c r="E33" s="154" t="s">
        <v>571</v>
      </c>
    </row>
    <row r="34" spans="5:5" ht="16.5" x14ac:dyDescent="0.2">
      <c r="E34" s="154" t="s">
        <v>572</v>
      </c>
    </row>
    <row r="35" spans="5:5" ht="16.5" x14ac:dyDescent="0.2">
      <c r="E35" s="154" t="s">
        <v>573</v>
      </c>
    </row>
    <row r="38" spans="5:5" ht="16.5" x14ac:dyDescent="0.2">
      <c r="E38" s="154" t="s">
        <v>574</v>
      </c>
    </row>
    <row r="39" spans="5:5" ht="16.5" x14ac:dyDescent="0.2">
      <c r="E39" s="154" t="s">
        <v>575</v>
      </c>
    </row>
    <row r="40" spans="5:5" ht="16.5" x14ac:dyDescent="0.2">
      <c r="E40" s="154" t="s">
        <v>576</v>
      </c>
    </row>
    <row r="41" spans="5:5" ht="16.5" x14ac:dyDescent="0.2">
      <c r="E41" s="154" t="s">
        <v>577</v>
      </c>
    </row>
    <row r="42" spans="5:5" ht="16.5" x14ac:dyDescent="0.2">
      <c r="E42" s="154" t="s">
        <v>578</v>
      </c>
    </row>
    <row r="43" spans="5:5" ht="16.5" x14ac:dyDescent="0.2">
      <c r="E43" s="154" t="s">
        <v>579</v>
      </c>
    </row>
    <row r="44" spans="5:5" ht="16.5" x14ac:dyDescent="0.2">
      <c r="E44" s="154" t="s">
        <v>580</v>
      </c>
    </row>
    <row r="45" spans="5:5" ht="16.5" x14ac:dyDescent="0.2">
      <c r="E45" s="154" t="s">
        <v>581</v>
      </c>
    </row>
    <row r="46" spans="5:5" ht="16.5" x14ac:dyDescent="0.2">
      <c r="E46" s="154" t="s">
        <v>582</v>
      </c>
    </row>
    <row r="47" spans="5:5" ht="16.5" x14ac:dyDescent="0.2">
      <c r="E47" s="154" t="s">
        <v>583</v>
      </c>
    </row>
    <row r="48" spans="5:5" ht="16.5" x14ac:dyDescent="0.2">
      <c r="E48" s="154" t="s">
        <v>584</v>
      </c>
    </row>
    <row r="51" spans="5:5" ht="16.5" x14ac:dyDescent="0.2">
      <c r="E51" s="154" t="s">
        <v>585</v>
      </c>
    </row>
    <row r="52" spans="5:5" ht="16.5" x14ac:dyDescent="0.2">
      <c r="E52" s="154" t="s">
        <v>586</v>
      </c>
    </row>
    <row r="53" spans="5:5" ht="16.5" x14ac:dyDescent="0.2">
      <c r="E53" s="154" t="s">
        <v>587</v>
      </c>
    </row>
    <row r="54" spans="5:5" ht="16.5" x14ac:dyDescent="0.2">
      <c r="E54" s="154" t="s">
        <v>588</v>
      </c>
    </row>
    <row r="55" spans="5:5" ht="16.5" x14ac:dyDescent="0.2">
      <c r="E55" s="154" t="s">
        <v>589</v>
      </c>
    </row>
    <row r="56" spans="5:5" ht="16.5" x14ac:dyDescent="0.2">
      <c r="E56" s="154" t="s">
        <v>590</v>
      </c>
    </row>
    <row r="57" spans="5:5" ht="16.5" x14ac:dyDescent="0.2">
      <c r="E57" s="154" t="s">
        <v>591</v>
      </c>
    </row>
    <row r="58" spans="5:5" ht="16.5" x14ac:dyDescent="0.2">
      <c r="E58" s="154" t="s">
        <v>592</v>
      </c>
    </row>
    <row r="59" spans="5:5" ht="16.5" x14ac:dyDescent="0.2">
      <c r="E59" s="154" t="s">
        <v>593</v>
      </c>
    </row>
    <row r="60" spans="5:5" ht="16.5" x14ac:dyDescent="0.2">
      <c r="E60" s="154" t="s">
        <v>594</v>
      </c>
    </row>
    <row r="61" spans="5:5" ht="16.5" x14ac:dyDescent="0.25">
      <c r="E61" s="155" t="s">
        <v>595</v>
      </c>
    </row>
    <row r="63" spans="5:5" ht="16.5" x14ac:dyDescent="0.2">
      <c r="E63" s="154" t="s">
        <v>596</v>
      </c>
    </row>
    <row r="64" spans="5:5" ht="16.5" x14ac:dyDescent="0.2">
      <c r="E64" s="154" t="s">
        <v>597</v>
      </c>
    </row>
    <row r="65" spans="5:5" ht="16.5" x14ac:dyDescent="0.2">
      <c r="E65" s="154" t="s">
        <v>598</v>
      </c>
    </row>
    <row r="66" spans="5:5" ht="16.5" x14ac:dyDescent="0.2">
      <c r="E66" s="154" t="s">
        <v>599</v>
      </c>
    </row>
    <row r="67" spans="5:5" ht="16.5" x14ac:dyDescent="0.2">
      <c r="E67" s="154" t="s">
        <v>600</v>
      </c>
    </row>
    <row r="68" spans="5:5" ht="16.5" x14ac:dyDescent="0.2">
      <c r="E68" s="154" t="s">
        <v>601</v>
      </c>
    </row>
    <row r="69" spans="5:5" ht="16.5" x14ac:dyDescent="0.2">
      <c r="E69" s="154" t="s">
        <v>602</v>
      </c>
    </row>
    <row r="70" spans="5:5" ht="16.5" x14ac:dyDescent="0.2">
      <c r="E70" s="154" t="s">
        <v>603</v>
      </c>
    </row>
    <row r="71" spans="5:5" ht="16.5" x14ac:dyDescent="0.2">
      <c r="E71" s="154" t="s">
        <v>604</v>
      </c>
    </row>
    <row r="72" spans="5:5" ht="16.5" x14ac:dyDescent="0.2">
      <c r="E72" s="154" t="s">
        <v>605</v>
      </c>
    </row>
    <row r="73" spans="5:5" ht="16.5" x14ac:dyDescent="0.2">
      <c r="E73" s="154" t="s">
        <v>606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opLeftCell="A28" zoomScale="115" zoomScaleNormal="115" workbookViewId="0">
      <selection activeCell="B2" sqref="B2:V2"/>
    </sheetView>
  </sheetViews>
  <sheetFormatPr defaultColWidth="12.5703125" defaultRowHeight="15" customHeight="1" x14ac:dyDescent="0.2"/>
  <cols>
    <col min="1" max="3" width="2.42578125" customWidth="1"/>
    <col min="4" max="4" width="41.28515625" customWidth="1"/>
    <col min="5" max="7" width="5.7109375" customWidth="1"/>
    <col min="8" max="8" width="10.140625" customWidth="1"/>
    <col min="9" max="9" width="11.28515625" customWidth="1"/>
    <col min="10" max="10" width="13.42578125" customWidth="1"/>
    <col min="11" max="13" width="6" customWidth="1"/>
    <col min="14" max="14" width="10.28515625" customWidth="1"/>
    <col min="15" max="15" width="10.7109375" customWidth="1"/>
    <col min="16" max="16" width="13.42578125" customWidth="1"/>
    <col min="17" max="26" width="8.85546875" customWidth="1"/>
  </cols>
  <sheetData>
    <row r="1" spans="1:26" ht="12.75" customHeight="1" x14ac:dyDescent="0.2">
      <c r="A1" s="325" t="s">
        <v>92</v>
      </c>
      <c r="B1" s="323"/>
      <c r="C1" s="323"/>
      <c r="D1" s="323"/>
      <c r="E1" s="323"/>
      <c r="F1" s="323"/>
      <c r="G1" s="323"/>
      <c r="H1" s="323"/>
      <c r="I1" s="323"/>
      <c r="J1" s="323"/>
      <c r="K1" s="323"/>
      <c r="L1" s="323"/>
      <c r="M1" s="323"/>
      <c r="N1" s="323"/>
      <c r="O1" s="323"/>
      <c r="P1" s="317"/>
      <c r="Q1" s="25"/>
      <c r="R1" s="25"/>
      <c r="S1" s="25"/>
      <c r="T1" s="25"/>
      <c r="U1" s="25"/>
      <c r="V1" s="25"/>
      <c r="W1" s="25"/>
      <c r="X1" s="25"/>
      <c r="Y1" s="25"/>
      <c r="Z1" s="25"/>
    </row>
    <row r="2" spans="1:26" ht="90" customHeight="1" x14ac:dyDescent="0.2">
      <c r="A2" s="326" t="s">
        <v>98</v>
      </c>
      <c r="B2" s="327"/>
      <c r="C2" s="327"/>
      <c r="D2" s="327"/>
      <c r="E2" s="327"/>
      <c r="F2" s="327"/>
      <c r="G2" s="327"/>
      <c r="H2" s="327"/>
      <c r="I2" s="327"/>
      <c r="J2" s="327"/>
      <c r="K2" s="327"/>
      <c r="L2" s="327"/>
      <c r="M2" s="327"/>
      <c r="N2" s="327"/>
      <c r="O2" s="327"/>
      <c r="P2" s="328"/>
      <c r="Q2" s="25"/>
      <c r="R2" s="25"/>
      <c r="S2" s="25"/>
      <c r="T2" s="25"/>
      <c r="U2" s="25"/>
      <c r="V2" s="25"/>
      <c r="W2" s="25"/>
      <c r="X2" s="25"/>
      <c r="Y2" s="25"/>
      <c r="Z2" s="25"/>
    </row>
    <row r="3" spans="1:26" ht="12.75" customHeight="1" x14ac:dyDescent="0.2">
      <c r="A3" s="329"/>
      <c r="B3" s="330"/>
      <c r="C3" s="330"/>
      <c r="D3" s="331"/>
      <c r="E3" s="332" t="s">
        <v>266</v>
      </c>
      <c r="F3" s="333"/>
      <c r="G3" s="333"/>
      <c r="H3" s="333"/>
      <c r="I3" s="333"/>
      <c r="J3" s="334"/>
      <c r="K3" s="332" t="s">
        <v>266</v>
      </c>
      <c r="L3" s="333"/>
      <c r="M3" s="333"/>
      <c r="N3" s="333"/>
      <c r="O3" s="333"/>
      <c r="P3" s="334"/>
      <c r="Q3" s="26"/>
      <c r="R3" s="26"/>
      <c r="S3" s="26"/>
      <c r="T3" s="26"/>
      <c r="U3" s="26"/>
      <c r="V3" s="26"/>
      <c r="W3" s="26"/>
      <c r="X3" s="26"/>
      <c r="Y3" s="26"/>
      <c r="Z3" s="26"/>
    </row>
    <row r="4" spans="1:26" ht="12.75" customHeight="1" x14ac:dyDescent="0.2">
      <c r="A4" s="324" t="s">
        <v>264</v>
      </c>
      <c r="B4" s="323"/>
      <c r="C4" s="323"/>
      <c r="D4" s="317"/>
      <c r="E4" s="27" t="s">
        <v>99</v>
      </c>
      <c r="F4" s="27" t="s">
        <v>100</v>
      </c>
      <c r="G4" s="27" t="s">
        <v>101</v>
      </c>
      <c r="H4" s="28" t="s">
        <v>269</v>
      </c>
      <c r="I4" s="28" t="s">
        <v>267</v>
      </c>
      <c r="J4" s="41" t="s">
        <v>268</v>
      </c>
      <c r="K4" s="27" t="s">
        <v>102</v>
      </c>
      <c r="L4" s="27" t="s">
        <v>103</v>
      </c>
      <c r="M4" s="27" t="s">
        <v>104</v>
      </c>
      <c r="N4" s="28" t="s">
        <v>269</v>
      </c>
      <c r="O4" s="28" t="s">
        <v>267</v>
      </c>
      <c r="P4" s="41" t="s">
        <v>268</v>
      </c>
      <c r="Q4" s="26"/>
      <c r="R4" s="26"/>
      <c r="S4" s="26"/>
      <c r="T4" s="26"/>
      <c r="U4" s="26"/>
      <c r="V4" s="26"/>
      <c r="W4" s="26"/>
      <c r="X4" s="26"/>
      <c r="Y4" s="26"/>
      <c r="Z4" s="26"/>
    </row>
    <row r="5" spans="1:26" ht="12.75" customHeight="1" x14ac:dyDescent="0.2">
      <c r="A5" s="29" t="s">
        <v>105</v>
      </c>
      <c r="B5" s="322" t="s">
        <v>45</v>
      </c>
      <c r="C5" s="323"/>
      <c r="D5" s="317"/>
      <c r="E5" s="30"/>
      <c r="F5" s="30"/>
      <c r="G5" s="30"/>
      <c r="H5" s="31"/>
      <c r="I5" s="31"/>
      <c r="J5" s="30"/>
      <c r="K5" s="30"/>
      <c r="L5" s="30"/>
      <c r="M5" s="30"/>
      <c r="N5" s="30"/>
      <c r="O5" s="30"/>
      <c r="P5" s="30"/>
      <c r="Q5" s="25"/>
      <c r="R5" s="25"/>
      <c r="S5" s="25"/>
      <c r="T5" s="25"/>
      <c r="U5" s="25"/>
      <c r="V5" s="25"/>
      <c r="W5" s="25"/>
      <c r="X5" s="25"/>
      <c r="Y5" s="25"/>
      <c r="Z5" s="25"/>
    </row>
    <row r="6" spans="1:26" ht="12.75" customHeight="1" x14ac:dyDescent="0.2">
      <c r="A6" s="32" t="s">
        <v>12</v>
      </c>
      <c r="B6" s="33">
        <v>1</v>
      </c>
      <c r="C6" s="321" t="s">
        <v>106</v>
      </c>
      <c r="D6" s="317"/>
      <c r="E6" s="34"/>
      <c r="F6" s="34"/>
      <c r="G6" s="34"/>
      <c r="H6" s="35"/>
      <c r="I6" s="35"/>
      <c r="J6" s="34"/>
      <c r="K6" s="34"/>
      <c r="L6" s="34"/>
      <c r="M6" s="34"/>
      <c r="N6" s="34"/>
      <c r="O6" s="34"/>
      <c r="P6" s="34"/>
      <c r="Q6" s="25"/>
      <c r="R6" s="25"/>
      <c r="S6" s="25"/>
      <c r="T6" s="25"/>
      <c r="U6" s="25"/>
      <c r="V6" s="25"/>
      <c r="W6" s="25"/>
      <c r="X6" s="25"/>
      <c r="Y6" s="25"/>
      <c r="Z6" s="25"/>
    </row>
    <row r="7" spans="1:26" ht="12.75" customHeight="1" x14ac:dyDescent="0.2">
      <c r="A7" s="32" t="s">
        <v>12</v>
      </c>
      <c r="B7" s="36">
        <v>1</v>
      </c>
      <c r="C7" s="15" t="s">
        <v>12</v>
      </c>
      <c r="D7" s="15" t="s">
        <v>107</v>
      </c>
      <c r="E7" s="34"/>
      <c r="F7" s="34"/>
      <c r="G7" s="34"/>
      <c r="H7" s="35"/>
      <c r="I7" s="35"/>
      <c r="J7" s="34"/>
      <c r="K7" s="34"/>
      <c r="L7" s="34"/>
      <c r="M7" s="34"/>
      <c r="N7" s="34"/>
      <c r="O7" s="34"/>
      <c r="P7" s="34"/>
      <c r="Q7" s="25"/>
      <c r="R7" s="25"/>
      <c r="S7" s="25"/>
      <c r="T7" s="25"/>
      <c r="U7" s="25"/>
      <c r="V7" s="25"/>
      <c r="W7" s="25"/>
      <c r="X7" s="25"/>
      <c r="Y7" s="25"/>
      <c r="Z7" s="25"/>
    </row>
    <row r="8" spans="1:26" ht="12.75" customHeight="1" x14ac:dyDescent="0.2">
      <c r="A8" s="32" t="s">
        <v>12</v>
      </c>
      <c r="B8" s="36">
        <v>1</v>
      </c>
      <c r="C8" s="15" t="s">
        <v>16</v>
      </c>
      <c r="D8" s="15" t="s">
        <v>108</v>
      </c>
      <c r="E8" s="34"/>
      <c r="F8" s="34"/>
      <c r="G8" s="34"/>
      <c r="H8" s="35"/>
      <c r="I8" s="35"/>
      <c r="J8" s="34"/>
      <c r="K8" s="34"/>
      <c r="L8" s="34"/>
      <c r="M8" s="34"/>
      <c r="N8" s="34"/>
      <c r="O8" s="34"/>
      <c r="P8" s="34"/>
      <c r="Q8" s="25"/>
      <c r="R8" s="25"/>
      <c r="S8" s="25"/>
      <c r="T8" s="25"/>
      <c r="U8" s="25"/>
      <c r="V8" s="25"/>
      <c r="W8" s="25"/>
      <c r="X8" s="25"/>
      <c r="Y8" s="25"/>
      <c r="Z8" s="25"/>
    </row>
    <row r="9" spans="1:26" ht="12.75" customHeight="1" x14ac:dyDescent="0.2">
      <c r="A9" s="32" t="s">
        <v>12</v>
      </c>
      <c r="B9" s="36">
        <v>1</v>
      </c>
      <c r="C9" s="15" t="s">
        <v>19</v>
      </c>
      <c r="D9" s="15" t="s">
        <v>109</v>
      </c>
      <c r="E9" s="34"/>
      <c r="F9" s="34"/>
      <c r="G9" s="34"/>
      <c r="H9" s="35"/>
      <c r="I9" s="35"/>
      <c r="J9" s="34"/>
      <c r="K9" s="34"/>
      <c r="L9" s="34"/>
      <c r="M9" s="34"/>
      <c r="N9" s="34"/>
      <c r="O9" s="34"/>
      <c r="P9" s="34"/>
      <c r="Q9" s="25"/>
      <c r="R9" s="25"/>
      <c r="S9" s="25"/>
      <c r="T9" s="25"/>
      <c r="U9" s="25"/>
      <c r="V9" s="25"/>
      <c r="W9" s="25"/>
      <c r="X9" s="25"/>
      <c r="Y9" s="25"/>
      <c r="Z9" s="25"/>
    </row>
    <row r="10" spans="1:26" ht="12.75" customHeight="1" x14ac:dyDescent="0.2">
      <c r="A10" s="32" t="s">
        <v>12</v>
      </c>
      <c r="B10" s="36">
        <v>1</v>
      </c>
      <c r="C10" s="15" t="s">
        <v>22</v>
      </c>
      <c r="D10" s="15" t="s">
        <v>110</v>
      </c>
      <c r="E10" s="34"/>
      <c r="F10" s="34"/>
      <c r="G10" s="34"/>
      <c r="H10" s="35"/>
      <c r="I10" s="35"/>
      <c r="J10" s="34"/>
      <c r="K10" s="34"/>
      <c r="L10" s="34"/>
      <c r="M10" s="34"/>
      <c r="N10" s="34"/>
      <c r="O10" s="34"/>
      <c r="P10" s="34"/>
      <c r="Q10" s="25"/>
      <c r="R10" s="25"/>
      <c r="S10" s="25"/>
      <c r="T10" s="25"/>
      <c r="U10" s="25"/>
      <c r="V10" s="25"/>
      <c r="W10" s="25"/>
      <c r="X10" s="25"/>
      <c r="Y10" s="25"/>
      <c r="Z10" s="25"/>
    </row>
    <row r="11" spans="1:26" ht="12.75" customHeight="1" x14ac:dyDescent="0.2">
      <c r="A11" s="32" t="s">
        <v>12</v>
      </c>
      <c r="B11" s="33">
        <v>2</v>
      </c>
      <c r="C11" s="321" t="s">
        <v>111</v>
      </c>
      <c r="D11" s="317"/>
      <c r="E11" s="34"/>
      <c r="F11" s="34"/>
      <c r="G11" s="34"/>
      <c r="H11" s="35"/>
      <c r="I11" s="35"/>
      <c r="J11" s="34"/>
      <c r="K11" s="34"/>
      <c r="L11" s="34"/>
      <c r="M11" s="34"/>
      <c r="N11" s="34"/>
      <c r="O11" s="34"/>
      <c r="P11" s="34"/>
      <c r="Q11" s="25"/>
      <c r="R11" s="25"/>
      <c r="S11" s="25"/>
      <c r="T11" s="25"/>
      <c r="U11" s="25"/>
      <c r="V11" s="25"/>
      <c r="W11" s="25"/>
      <c r="X11" s="25"/>
      <c r="Y11" s="25"/>
      <c r="Z11" s="25"/>
    </row>
    <row r="12" spans="1:26" ht="12.75" customHeight="1" x14ac:dyDescent="0.2">
      <c r="A12" s="32" t="s">
        <v>12</v>
      </c>
      <c r="B12" s="36">
        <v>2</v>
      </c>
      <c r="C12" s="37" t="s">
        <v>12</v>
      </c>
      <c r="D12" s="15" t="s">
        <v>81</v>
      </c>
      <c r="E12" s="34"/>
      <c r="F12" s="34"/>
      <c r="G12" s="34"/>
      <c r="H12" s="35"/>
      <c r="I12" s="35"/>
      <c r="J12" s="34"/>
      <c r="K12" s="34"/>
      <c r="L12" s="34"/>
      <c r="M12" s="34"/>
      <c r="N12" s="34"/>
      <c r="O12" s="34"/>
      <c r="P12" s="34"/>
      <c r="Q12" s="25"/>
      <c r="R12" s="25"/>
      <c r="S12" s="25"/>
      <c r="T12" s="25"/>
      <c r="U12" s="25"/>
      <c r="V12" s="25"/>
      <c r="W12" s="25"/>
      <c r="X12" s="25"/>
      <c r="Y12" s="25"/>
      <c r="Z12" s="25"/>
    </row>
    <row r="13" spans="1:26" ht="12.75" customHeight="1" x14ac:dyDescent="0.2">
      <c r="A13" s="32" t="s">
        <v>12</v>
      </c>
      <c r="B13" s="36">
        <v>2</v>
      </c>
      <c r="C13" s="37" t="s">
        <v>16</v>
      </c>
      <c r="D13" s="15" t="s">
        <v>265</v>
      </c>
      <c r="E13" s="34"/>
      <c r="F13" s="34"/>
      <c r="G13" s="34"/>
      <c r="H13" s="35"/>
      <c r="I13" s="35"/>
      <c r="J13" s="34"/>
      <c r="K13" s="34"/>
      <c r="L13" s="34"/>
      <c r="M13" s="34"/>
      <c r="N13" s="34"/>
      <c r="O13" s="34"/>
      <c r="P13" s="34"/>
      <c r="Q13" s="25"/>
      <c r="R13" s="25"/>
      <c r="S13" s="25"/>
      <c r="T13" s="25"/>
      <c r="U13" s="25"/>
      <c r="V13" s="25"/>
      <c r="W13" s="25"/>
      <c r="X13" s="25"/>
      <c r="Y13" s="25"/>
      <c r="Z13" s="25"/>
    </row>
    <row r="14" spans="1:26" ht="12.75" customHeight="1" x14ac:dyDescent="0.2">
      <c r="A14" s="32" t="s">
        <v>12</v>
      </c>
      <c r="B14" s="36">
        <v>2</v>
      </c>
      <c r="C14" s="37" t="s">
        <v>19</v>
      </c>
      <c r="D14" s="15" t="s">
        <v>112</v>
      </c>
      <c r="E14" s="34"/>
      <c r="F14" s="34"/>
      <c r="G14" s="34"/>
      <c r="H14" s="35"/>
      <c r="I14" s="35"/>
      <c r="J14" s="34"/>
      <c r="K14" s="34"/>
      <c r="L14" s="34"/>
      <c r="M14" s="34"/>
      <c r="N14" s="34"/>
      <c r="O14" s="34"/>
      <c r="P14" s="34"/>
      <c r="Q14" s="25"/>
      <c r="R14" s="25"/>
      <c r="S14" s="25"/>
      <c r="T14" s="25"/>
      <c r="U14" s="25"/>
      <c r="V14" s="25"/>
      <c r="W14" s="25"/>
      <c r="X14" s="25"/>
      <c r="Y14" s="25"/>
      <c r="Z14" s="25"/>
    </row>
    <row r="15" spans="1:26" ht="12.75" customHeight="1" x14ac:dyDescent="0.2">
      <c r="A15" s="32" t="s">
        <v>12</v>
      </c>
      <c r="B15" s="33">
        <v>3</v>
      </c>
      <c r="C15" s="321" t="s">
        <v>113</v>
      </c>
      <c r="D15" s="317"/>
      <c r="E15" s="34"/>
      <c r="F15" s="34"/>
      <c r="G15" s="34"/>
      <c r="H15" s="35"/>
      <c r="I15" s="35"/>
      <c r="J15" s="34"/>
      <c r="K15" s="34"/>
      <c r="L15" s="34"/>
      <c r="M15" s="34"/>
      <c r="N15" s="34"/>
      <c r="O15" s="34"/>
      <c r="P15" s="34"/>
      <c r="Q15" s="25"/>
      <c r="R15" s="25"/>
      <c r="S15" s="25"/>
      <c r="T15" s="25"/>
      <c r="U15" s="25"/>
      <c r="V15" s="25"/>
      <c r="W15" s="25"/>
      <c r="X15" s="25"/>
      <c r="Y15" s="25"/>
      <c r="Z15" s="25"/>
    </row>
    <row r="16" spans="1:26" ht="12.75" customHeight="1" x14ac:dyDescent="0.2">
      <c r="A16" s="32" t="s">
        <v>12</v>
      </c>
      <c r="B16" s="36">
        <v>3</v>
      </c>
      <c r="C16" s="37" t="s">
        <v>12</v>
      </c>
      <c r="D16" s="15" t="s">
        <v>114</v>
      </c>
      <c r="E16" s="34"/>
      <c r="F16" s="34"/>
      <c r="G16" s="34"/>
      <c r="H16" s="35"/>
      <c r="I16" s="35"/>
      <c r="J16" s="34"/>
      <c r="K16" s="34"/>
      <c r="L16" s="34"/>
      <c r="M16" s="34"/>
      <c r="N16" s="34"/>
      <c r="O16" s="34"/>
      <c r="P16" s="34"/>
      <c r="Q16" s="25"/>
      <c r="R16" s="25"/>
      <c r="S16" s="25"/>
      <c r="T16" s="25"/>
      <c r="U16" s="25"/>
      <c r="V16" s="25"/>
      <c r="W16" s="25"/>
      <c r="X16" s="25"/>
      <c r="Y16" s="25"/>
      <c r="Z16" s="25"/>
    </row>
    <row r="17" spans="1:26" ht="12.75" customHeight="1" x14ac:dyDescent="0.2">
      <c r="A17" s="32" t="s">
        <v>12</v>
      </c>
      <c r="B17" s="36">
        <v>3</v>
      </c>
      <c r="C17" s="37" t="s">
        <v>16</v>
      </c>
      <c r="D17" s="15" t="s">
        <v>115</v>
      </c>
      <c r="E17" s="34"/>
      <c r="F17" s="34"/>
      <c r="G17" s="34"/>
      <c r="H17" s="35"/>
      <c r="I17" s="35"/>
      <c r="J17" s="34"/>
      <c r="K17" s="34"/>
      <c r="L17" s="34"/>
      <c r="M17" s="34"/>
      <c r="N17" s="34"/>
      <c r="O17" s="34"/>
      <c r="P17" s="34"/>
      <c r="Q17" s="25"/>
      <c r="R17" s="25"/>
      <c r="S17" s="25"/>
      <c r="T17" s="25"/>
      <c r="U17" s="25"/>
      <c r="V17" s="25"/>
      <c r="W17" s="25"/>
      <c r="X17" s="25"/>
      <c r="Y17" s="25"/>
      <c r="Z17" s="25"/>
    </row>
    <row r="18" spans="1:26" ht="12.75" customHeight="1" x14ac:dyDescent="0.2">
      <c r="A18" s="38" t="s">
        <v>116</v>
      </c>
      <c r="B18" s="322" t="s">
        <v>117</v>
      </c>
      <c r="C18" s="323"/>
      <c r="D18" s="317"/>
      <c r="E18" s="30"/>
      <c r="F18" s="30"/>
      <c r="G18" s="30"/>
      <c r="H18" s="31"/>
      <c r="I18" s="31"/>
      <c r="J18" s="30"/>
      <c r="K18" s="30"/>
      <c r="L18" s="30"/>
      <c r="M18" s="30"/>
      <c r="N18" s="30"/>
      <c r="O18" s="30"/>
      <c r="P18" s="30"/>
      <c r="Q18" s="25"/>
      <c r="R18" s="25"/>
      <c r="S18" s="25"/>
      <c r="T18" s="25"/>
      <c r="U18" s="25"/>
      <c r="V18" s="25"/>
      <c r="W18" s="25"/>
      <c r="X18" s="25"/>
      <c r="Y18" s="25"/>
      <c r="Z18" s="25"/>
    </row>
    <row r="19" spans="1:26" ht="12.75" customHeight="1" x14ac:dyDescent="0.2">
      <c r="A19" s="32" t="s">
        <v>16</v>
      </c>
      <c r="B19" s="33">
        <v>1</v>
      </c>
      <c r="C19" s="321" t="s">
        <v>118</v>
      </c>
      <c r="D19" s="317"/>
      <c r="E19" s="34"/>
      <c r="F19" s="34"/>
      <c r="G19" s="34"/>
      <c r="H19" s="35"/>
      <c r="I19" s="35"/>
      <c r="J19" s="34"/>
      <c r="K19" s="34"/>
      <c r="L19" s="34"/>
      <c r="M19" s="34"/>
      <c r="N19" s="34"/>
      <c r="O19" s="34"/>
      <c r="P19" s="34"/>
      <c r="Q19" s="25"/>
      <c r="R19" s="25"/>
      <c r="S19" s="25"/>
      <c r="T19" s="25"/>
      <c r="U19" s="25"/>
      <c r="V19" s="25"/>
      <c r="W19" s="25"/>
      <c r="X19" s="25"/>
      <c r="Y19" s="25"/>
      <c r="Z19" s="25"/>
    </row>
    <row r="20" spans="1:26" ht="12.75" customHeight="1" x14ac:dyDescent="0.2">
      <c r="A20" s="32" t="s">
        <v>16</v>
      </c>
      <c r="B20" s="36">
        <v>1</v>
      </c>
      <c r="C20" s="37" t="s">
        <v>12</v>
      </c>
      <c r="D20" s="37" t="s">
        <v>119</v>
      </c>
      <c r="E20" s="34"/>
      <c r="F20" s="34"/>
      <c r="G20" s="34"/>
      <c r="H20" s="35"/>
      <c r="I20" s="35"/>
      <c r="J20" s="34"/>
      <c r="K20" s="34"/>
      <c r="L20" s="34"/>
      <c r="M20" s="34"/>
      <c r="N20" s="34"/>
      <c r="O20" s="34"/>
      <c r="P20" s="34"/>
      <c r="Q20" s="25"/>
      <c r="R20" s="25"/>
      <c r="S20" s="25"/>
      <c r="T20" s="25"/>
      <c r="U20" s="25"/>
      <c r="V20" s="25"/>
      <c r="W20" s="25"/>
      <c r="X20" s="25"/>
      <c r="Y20" s="25"/>
      <c r="Z20" s="25"/>
    </row>
    <row r="21" spans="1:26" ht="12.75" customHeight="1" x14ac:dyDescent="0.2">
      <c r="A21" s="32" t="s">
        <v>16</v>
      </c>
      <c r="B21" s="36">
        <v>1</v>
      </c>
      <c r="C21" s="37" t="s">
        <v>12</v>
      </c>
      <c r="D21" s="37" t="s">
        <v>120</v>
      </c>
      <c r="E21" s="34"/>
      <c r="F21" s="34"/>
      <c r="G21" s="34"/>
      <c r="H21" s="35"/>
      <c r="I21" s="35"/>
      <c r="J21" s="34"/>
      <c r="K21" s="34"/>
      <c r="L21" s="34"/>
      <c r="M21" s="34"/>
      <c r="N21" s="34"/>
      <c r="O21" s="34"/>
      <c r="P21" s="34"/>
      <c r="Q21" s="25"/>
      <c r="R21" s="25"/>
      <c r="S21" s="25"/>
      <c r="T21" s="25"/>
      <c r="U21" s="25"/>
      <c r="V21" s="25"/>
      <c r="W21" s="25"/>
      <c r="X21" s="25"/>
      <c r="Y21" s="25"/>
      <c r="Z21" s="25"/>
    </row>
    <row r="22" spans="1:26" ht="12.75" customHeight="1" x14ac:dyDescent="0.2">
      <c r="A22" s="32" t="s">
        <v>16</v>
      </c>
      <c r="B22" s="33">
        <v>2</v>
      </c>
      <c r="C22" s="321" t="s">
        <v>121</v>
      </c>
      <c r="D22" s="317"/>
      <c r="E22" s="34"/>
      <c r="F22" s="34"/>
      <c r="G22" s="34"/>
      <c r="H22" s="35"/>
      <c r="I22" s="35"/>
      <c r="J22" s="34"/>
      <c r="K22" s="34"/>
      <c r="L22" s="34"/>
      <c r="M22" s="34"/>
      <c r="N22" s="34"/>
      <c r="O22" s="34"/>
      <c r="P22" s="34"/>
      <c r="Q22" s="25"/>
      <c r="R22" s="25"/>
      <c r="S22" s="25"/>
      <c r="T22" s="25"/>
      <c r="U22" s="25"/>
      <c r="V22" s="25"/>
      <c r="W22" s="25"/>
      <c r="X22" s="25"/>
      <c r="Y22" s="25"/>
      <c r="Z22" s="25"/>
    </row>
    <row r="23" spans="1:26" ht="12.75" customHeight="1" x14ac:dyDescent="0.2">
      <c r="A23" s="32" t="s">
        <v>16</v>
      </c>
      <c r="B23" s="36">
        <v>2</v>
      </c>
      <c r="C23" s="37" t="s">
        <v>12</v>
      </c>
      <c r="D23" s="37" t="s">
        <v>122</v>
      </c>
      <c r="E23" s="34"/>
      <c r="F23" s="34"/>
      <c r="G23" s="34"/>
      <c r="H23" s="35"/>
      <c r="I23" s="35"/>
      <c r="J23" s="34"/>
      <c r="K23" s="34"/>
      <c r="L23" s="34"/>
      <c r="M23" s="34"/>
      <c r="N23" s="34"/>
      <c r="O23" s="34"/>
      <c r="P23" s="34"/>
      <c r="Q23" s="25"/>
      <c r="R23" s="25"/>
      <c r="S23" s="25"/>
      <c r="T23" s="25"/>
      <c r="U23" s="25"/>
      <c r="V23" s="25"/>
      <c r="W23" s="25"/>
      <c r="X23" s="25"/>
      <c r="Y23" s="25"/>
      <c r="Z23" s="25"/>
    </row>
    <row r="24" spans="1:26" ht="12.75" customHeight="1" x14ac:dyDescent="0.2">
      <c r="A24" s="32" t="s">
        <v>16</v>
      </c>
      <c r="B24" s="33">
        <v>3</v>
      </c>
      <c r="C24" s="321" t="s">
        <v>123</v>
      </c>
      <c r="D24" s="317"/>
      <c r="E24" s="34"/>
      <c r="F24" s="34"/>
      <c r="G24" s="34"/>
      <c r="H24" s="35"/>
      <c r="I24" s="35"/>
      <c r="J24" s="34"/>
      <c r="K24" s="34"/>
      <c r="L24" s="34"/>
      <c r="M24" s="34"/>
      <c r="N24" s="34"/>
      <c r="O24" s="34"/>
      <c r="P24" s="34"/>
      <c r="Q24" s="25"/>
      <c r="R24" s="25"/>
      <c r="S24" s="25"/>
      <c r="T24" s="25"/>
      <c r="U24" s="25"/>
      <c r="V24" s="25"/>
      <c r="W24" s="25"/>
      <c r="X24" s="25"/>
      <c r="Y24" s="25"/>
      <c r="Z24" s="25"/>
    </row>
    <row r="25" spans="1:26" ht="12.75" customHeight="1" x14ac:dyDescent="0.2">
      <c r="A25" s="32" t="s">
        <v>16</v>
      </c>
      <c r="B25" s="36">
        <v>3</v>
      </c>
      <c r="C25" s="37" t="s">
        <v>12</v>
      </c>
      <c r="D25" s="37" t="s">
        <v>124</v>
      </c>
      <c r="E25" s="34"/>
      <c r="F25" s="34"/>
      <c r="G25" s="34"/>
      <c r="H25" s="35"/>
      <c r="I25" s="35"/>
      <c r="J25" s="34"/>
      <c r="K25" s="34"/>
      <c r="L25" s="34"/>
      <c r="M25" s="34"/>
      <c r="N25" s="34"/>
      <c r="O25" s="34"/>
      <c r="P25" s="34"/>
      <c r="Q25" s="25"/>
      <c r="R25" s="25"/>
      <c r="S25" s="25"/>
      <c r="T25" s="25"/>
      <c r="U25" s="25"/>
      <c r="V25" s="25"/>
      <c r="W25" s="25"/>
      <c r="X25" s="25"/>
      <c r="Y25" s="25"/>
      <c r="Z25" s="25"/>
    </row>
    <row r="26" spans="1:26" ht="12.75" customHeight="1" x14ac:dyDescent="0.2">
      <c r="A26" s="32" t="s">
        <v>16</v>
      </c>
      <c r="B26" s="36">
        <v>3</v>
      </c>
      <c r="C26" s="37" t="s">
        <v>16</v>
      </c>
      <c r="D26" s="37" t="s">
        <v>125</v>
      </c>
      <c r="E26" s="34"/>
      <c r="F26" s="34"/>
      <c r="G26" s="34"/>
      <c r="H26" s="35"/>
      <c r="I26" s="35"/>
      <c r="J26" s="34"/>
      <c r="K26" s="34"/>
      <c r="L26" s="34"/>
      <c r="M26" s="34"/>
      <c r="N26" s="34"/>
      <c r="O26" s="34"/>
      <c r="P26" s="34"/>
      <c r="Q26" s="25"/>
      <c r="R26" s="25"/>
      <c r="S26" s="25"/>
      <c r="T26" s="25"/>
      <c r="U26" s="25"/>
      <c r="V26" s="25"/>
      <c r="W26" s="25"/>
      <c r="X26" s="25"/>
      <c r="Y26" s="25"/>
      <c r="Z26" s="25"/>
    </row>
    <row r="27" spans="1:26" ht="12.75" customHeight="1" x14ac:dyDescent="0.2">
      <c r="A27" s="32" t="s">
        <v>16</v>
      </c>
      <c r="B27" s="36">
        <v>3</v>
      </c>
      <c r="C27" s="37" t="s">
        <v>16</v>
      </c>
      <c r="D27" s="37" t="s">
        <v>126</v>
      </c>
      <c r="E27" s="34"/>
      <c r="F27" s="34"/>
      <c r="G27" s="34"/>
      <c r="H27" s="35"/>
      <c r="I27" s="35"/>
      <c r="J27" s="34"/>
      <c r="K27" s="34"/>
      <c r="L27" s="34"/>
      <c r="M27" s="34"/>
      <c r="N27" s="34"/>
      <c r="O27" s="34"/>
      <c r="P27" s="34"/>
      <c r="Q27" s="25"/>
      <c r="R27" s="25"/>
      <c r="S27" s="25"/>
      <c r="T27" s="25"/>
      <c r="U27" s="25"/>
      <c r="V27" s="25"/>
      <c r="W27" s="25"/>
      <c r="X27" s="25"/>
      <c r="Y27" s="25"/>
      <c r="Z27" s="25"/>
    </row>
    <row r="28" spans="1:26" ht="12.75" customHeight="1" x14ac:dyDescent="0.2">
      <c r="A28" s="32" t="s">
        <v>16</v>
      </c>
      <c r="B28" s="33">
        <v>4</v>
      </c>
      <c r="C28" s="321" t="s">
        <v>127</v>
      </c>
      <c r="D28" s="317"/>
      <c r="E28" s="34"/>
      <c r="F28" s="34"/>
      <c r="G28" s="34"/>
      <c r="H28" s="35"/>
      <c r="I28" s="35"/>
      <c r="J28" s="34"/>
      <c r="K28" s="34"/>
      <c r="L28" s="34"/>
      <c r="M28" s="34"/>
      <c r="N28" s="34"/>
      <c r="O28" s="34"/>
      <c r="P28" s="34"/>
      <c r="Q28" s="25"/>
      <c r="R28" s="25"/>
      <c r="S28" s="25"/>
      <c r="T28" s="25"/>
      <c r="U28" s="25"/>
      <c r="V28" s="25"/>
      <c r="W28" s="25"/>
      <c r="X28" s="25"/>
      <c r="Y28" s="25"/>
      <c r="Z28" s="25"/>
    </row>
    <row r="29" spans="1:26" ht="12.75" customHeight="1" x14ac:dyDescent="0.2">
      <c r="A29" s="32" t="s">
        <v>16</v>
      </c>
      <c r="B29" s="36">
        <v>4</v>
      </c>
      <c r="C29" s="15" t="s">
        <v>12</v>
      </c>
      <c r="D29" s="15" t="s">
        <v>128</v>
      </c>
      <c r="E29" s="34"/>
      <c r="F29" s="34"/>
      <c r="G29" s="34"/>
      <c r="H29" s="35"/>
      <c r="I29" s="35"/>
      <c r="J29" s="34"/>
      <c r="K29" s="34"/>
      <c r="L29" s="34"/>
      <c r="M29" s="34"/>
      <c r="N29" s="34"/>
      <c r="O29" s="34"/>
      <c r="P29" s="34"/>
      <c r="Q29" s="25"/>
      <c r="R29" s="25"/>
      <c r="S29" s="25"/>
      <c r="T29" s="25"/>
      <c r="U29" s="25"/>
      <c r="V29" s="25"/>
      <c r="W29" s="25"/>
      <c r="X29" s="25"/>
      <c r="Y29" s="25"/>
      <c r="Z29" s="25"/>
    </row>
    <row r="30" spans="1:26" ht="12.75" customHeight="1" x14ac:dyDescent="0.2">
      <c r="A30" s="32" t="s">
        <v>16</v>
      </c>
      <c r="B30" s="36">
        <v>4</v>
      </c>
      <c r="C30" s="15" t="s">
        <v>16</v>
      </c>
      <c r="D30" s="15" t="s">
        <v>129</v>
      </c>
      <c r="E30" s="34"/>
      <c r="F30" s="34"/>
      <c r="G30" s="34"/>
      <c r="H30" s="35"/>
      <c r="I30" s="35"/>
      <c r="J30" s="34"/>
      <c r="K30" s="34"/>
      <c r="L30" s="34"/>
      <c r="M30" s="34"/>
      <c r="N30" s="34"/>
      <c r="O30" s="34"/>
      <c r="P30" s="34"/>
      <c r="Q30" s="25"/>
      <c r="R30" s="25"/>
      <c r="S30" s="25"/>
      <c r="T30" s="25"/>
      <c r="U30" s="25"/>
      <c r="V30" s="25"/>
      <c r="W30" s="25"/>
      <c r="X30" s="25"/>
      <c r="Y30" s="25"/>
      <c r="Z30" s="25"/>
    </row>
    <row r="31" spans="1:26" ht="12.75" customHeight="1" x14ac:dyDescent="0.2">
      <c r="A31" s="32" t="s">
        <v>16</v>
      </c>
      <c r="B31" s="36">
        <v>4</v>
      </c>
      <c r="C31" s="15" t="s">
        <v>19</v>
      </c>
      <c r="D31" s="15" t="s">
        <v>130</v>
      </c>
      <c r="E31" s="34"/>
      <c r="F31" s="34"/>
      <c r="G31" s="34"/>
      <c r="H31" s="35"/>
      <c r="I31" s="35"/>
      <c r="J31" s="34"/>
      <c r="K31" s="34"/>
      <c r="L31" s="34"/>
      <c r="M31" s="34"/>
      <c r="N31" s="34"/>
      <c r="O31" s="34"/>
      <c r="P31" s="34"/>
      <c r="Q31" s="25"/>
      <c r="R31" s="25"/>
      <c r="S31" s="25"/>
      <c r="T31" s="25"/>
      <c r="U31" s="25"/>
      <c r="V31" s="25"/>
      <c r="W31" s="25"/>
      <c r="X31" s="25"/>
      <c r="Y31" s="25"/>
      <c r="Z31" s="25"/>
    </row>
    <row r="32" spans="1:26" ht="12.75" customHeight="1" x14ac:dyDescent="0.2">
      <c r="A32" s="32" t="s">
        <v>16</v>
      </c>
      <c r="B32" s="36">
        <v>4</v>
      </c>
      <c r="C32" s="15" t="s">
        <v>22</v>
      </c>
      <c r="D32" s="15" t="s">
        <v>131</v>
      </c>
      <c r="E32" s="34"/>
      <c r="F32" s="34"/>
      <c r="G32" s="34"/>
      <c r="H32" s="35"/>
      <c r="I32" s="35"/>
      <c r="J32" s="34"/>
      <c r="K32" s="34"/>
      <c r="L32" s="34"/>
      <c r="M32" s="34"/>
      <c r="N32" s="34"/>
      <c r="O32" s="34"/>
      <c r="P32" s="34"/>
      <c r="Q32" s="25"/>
      <c r="R32" s="25"/>
      <c r="S32" s="25"/>
      <c r="T32" s="25"/>
      <c r="U32" s="25"/>
      <c r="V32" s="25"/>
      <c r="W32" s="25"/>
      <c r="X32" s="25"/>
      <c r="Y32" s="25"/>
      <c r="Z32" s="25"/>
    </row>
    <row r="33" spans="1:26" ht="12.75" customHeight="1" x14ac:dyDescent="0.2">
      <c r="A33" s="32" t="s">
        <v>16</v>
      </c>
      <c r="B33" s="33">
        <v>5</v>
      </c>
      <c r="C33" s="321" t="s">
        <v>132</v>
      </c>
      <c r="D33" s="317"/>
      <c r="E33" s="34"/>
      <c r="F33" s="34"/>
      <c r="G33" s="34"/>
      <c r="H33" s="35"/>
      <c r="I33" s="35"/>
      <c r="J33" s="34"/>
      <c r="K33" s="34"/>
      <c r="L33" s="34"/>
      <c r="M33" s="34"/>
      <c r="N33" s="34"/>
      <c r="O33" s="34"/>
      <c r="P33" s="34"/>
      <c r="Q33" s="25"/>
      <c r="R33" s="25"/>
      <c r="S33" s="25"/>
      <c r="T33" s="25"/>
      <c r="U33" s="25"/>
      <c r="V33" s="25"/>
      <c r="W33" s="25"/>
      <c r="X33" s="25"/>
      <c r="Y33" s="25"/>
      <c r="Z33" s="25"/>
    </row>
    <row r="34" spans="1:26" ht="12.75" customHeight="1" x14ac:dyDescent="0.2">
      <c r="A34" s="32" t="s">
        <v>16</v>
      </c>
      <c r="B34" s="36">
        <v>5</v>
      </c>
      <c r="C34" s="15" t="s">
        <v>12</v>
      </c>
      <c r="D34" s="15" t="s">
        <v>133</v>
      </c>
      <c r="E34" s="34"/>
      <c r="F34" s="34"/>
      <c r="G34" s="34"/>
      <c r="H34" s="35"/>
      <c r="I34" s="35"/>
      <c r="J34" s="34"/>
      <c r="K34" s="34"/>
      <c r="L34" s="34"/>
      <c r="M34" s="34"/>
      <c r="N34" s="34"/>
      <c r="O34" s="34"/>
      <c r="P34" s="34"/>
      <c r="Q34" s="25"/>
      <c r="R34" s="25"/>
      <c r="S34" s="25"/>
      <c r="T34" s="25"/>
      <c r="U34" s="25"/>
      <c r="V34" s="25"/>
      <c r="W34" s="25"/>
      <c r="X34" s="25"/>
      <c r="Y34" s="25"/>
      <c r="Z34" s="25"/>
    </row>
    <row r="35" spans="1:26" ht="12.75" customHeight="1" x14ac:dyDescent="0.2">
      <c r="A35" s="32" t="s">
        <v>16</v>
      </c>
      <c r="B35" s="36">
        <v>5</v>
      </c>
      <c r="C35" s="15" t="s">
        <v>16</v>
      </c>
      <c r="D35" s="15" t="s">
        <v>134</v>
      </c>
      <c r="E35" s="34"/>
      <c r="F35" s="34"/>
      <c r="G35" s="34"/>
      <c r="H35" s="35"/>
      <c r="I35" s="35"/>
      <c r="J35" s="34"/>
      <c r="K35" s="34"/>
      <c r="L35" s="34"/>
      <c r="M35" s="34"/>
      <c r="N35" s="34"/>
      <c r="O35" s="34"/>
      <c r="P35" s="34"/>
      <c r="Q35" s="25"/>
      <c r="R35" s="25"/>
      <c r="S35" s="25"/>
      <c r="T35" s="25"/>
      <c r="U35" s="25"/>
      <c r="V35" s="25"/>
      <c r="W35" s="25"/>
      <c r="X35" s="25"/>
      <c r="Y35" s="25"/>
      <c r="Z35" s="25"/>
    </row>
    <row r="36" spans="1:26" ht="12.75" customHeight="1" x14ac:dyDescent="0.2">
      <c r="A36" s="32" t="s">
        <v>16</v>
      </c>
      <c r="B36" s="36">
        <v>5</v>
      </c>
      <c r="C36" s="15" t="s">
        <v>19</v>
      </c>
      <c r="D36" s="15" t="s">
        <v>135</v>
      </c>
      <c r="E36" s="34"/>
      <c r="F36" s="34"/>
      <c r="G36" s="34"/>
      <c r="H36" s="35"/>
      <c r="I36" s="35"/>
      <c r="J36" s="34"/>
      <c r="K36" s="34"/>
      <c r="L36" s="34"/>
      <c r="M36" s="34"/>
      <c r="N36" s="34"/>
      <c r="O36" s="34"/>
      <c r="P36" s="34"/>
      <c r="Q36" s="25"/>
      <c r="R36" s="25"/>
      <c r="S36" s="25"/>
      <c r="T36" s="25"/>
      <c r="U36" s="25"/>
      <c r="V36" s="25"/>
      <c r="W36" s="25"/>
      <c r="X36" s="25"/>
      <c r="Y36" s="25"/>
      <c r="Z36" s="25"/>
    </row>
    <row r="37" spans="1:26" ht="12.75" customHeight="1" x14ac:dyDescent="0.2">
      <c r="A37" s="32" t="s">
        <v>16</v>
      </c>
      <c r="B37" s="36">
        <v>5</v>
      </c>
      <c r="C37" s="15" t="s">
        <v>22</v>
      </c>
      <c r="D37" s="15" t="s">
        <v>136</v>
      </c>
      <c r="E37" s="34"/>
      <c r="F37" s="34"/>
      <c r="G37" s="34"/>
      <c r="H37" s="35"/>
      <c r="I37" s="35"/>
      <c r="J37" s="34"/>
      <c r="K37" s="34"/>
      <c r="L37" s="34"/>
      <c r="M37" s="34"/>
      <c r="N37" s="34"/>
      <c r="O37" s="34"/>
      <c r="P37" s="34"/>
      <c r="Q37" s="25"/>
      <c r="R37" s="25"/>
      <c r="S37" s="25"/>
      <c r="T37" s="25"/>
      <c r="U37" s="25"/>
      <c r="V37" s="25"/>
      <c r="W37" s="25"/>
      <c r="X37" s="25"/>
      <c r="Y37" s="25"/>
      <c r="Z37" s="25"/>
    </row>
    <row r="38" spans="1:26" ht="12.75" customHeight="1" x14ac:dyDescent="0.2">
      <c r="A38" s="32" t="s">
        <v>16</v>
      </c>
      <c r="B38" s="33">
        <v>6</v>
      </c>
      <c r="C38" s="321" t="s">
        <v>137</v>
      </c>
      <c r="D38" s="317"/>
      <c r="E38" s="34"/>
      <c r="F38" s="34"/>
      <c r="G38" s="34"/>
      <c r="H38" s="35"/>
      <c r="I38" s="35"/>
      <c r="J38" s="34"/>
      <c r="K38" s="34"/>
      <c r="L38" s="34"/>
      <c r="M38" s="34"/>
      <c r="N38" s="34"/>
      <c r="O38" s="34"/>
      <c r="P38" s="34"/>
      <c r="Q38" s="25"/>
      <c r="R38" s="25"/>
      <c r="S38" s="25"/>
      <c r="T38" s="25"/>
      <c r="U38" s="25"/>
      <c r="V38" s="25"/>
      <c r="W38" s="25"/>
      <c r="X38" s="25"/>
      <c r="Y38" s="25"/>
      <c r="Z38" s="25"/>
    </row>
    <row r="39" spans="1:26" ht="12.75" customHeight="1" x14ac:dyDescent="0.2">
      <c r="A39" s="32" t="s">
        <v>16</v>
      </c>
      <c r="B39" s="36">
        <v>6</v>
      </c>
      <c r="C39" s="15" t="s">
        <v>12</v>
      </c>
      <c r="D39" s="15" t="s">
        <v>138</v>
      </c>
      <c r="E39" s="34"/>
      <c r="F39" s="34"/>
      <c r="G39" s="34"/>
      <c r="H39" s="35"/>
      <c r="I39" s="35"/>
      <c r="J39" s="34"/>
      <c r="K39" s="34"/>
      <c r="L39" s="34"/>
      <c r="M39" s="34"/>
      <c r="N39" s="34"/>
      <c r="O39" s="34"/>
      <c r="P39" s="34"/>
      <c r="Q39" s="25"/>
      <c r="R39" s="25"/>
      <c r="S39" s="25"/>
      <c r="T39" s="25"/>
      <c r="U39" s="25"/>
      <c r="V39" s="25"/>
      <c r="W39" s="25"/>
      <c r="X39" s="25"/>
      <c r="Y39" s="25"/>
      <c r="Z39" s="25"/>
    </row>
    <row r="40" spans="1:26" ht="12.75" customHeight="1" x14ac:dyDescent="0.2">
      <c r="A40" s="32" t="s">
        <v>16</v>
      </c>
      <c r="B40" s="36">
        <v>6</v>
      </c>
      <c r="C40" s="15" t="s">
        <v>16</v>
      </c>
      <c r="D40" s="15" t="s">
        <v>139</v>
      </c>
      <c r="E40" s="34"/>
      <c r="F40" s="34"/>
      <c r="G40" s="34"/>
      <c r="H40" s="35"/>
      <c r="I40" s="35"/>
      <c r="J40" s="34"/>
      <c r="K40" s="34"/>
      <c r="L40" s="34"/>
      <c r="M40" s="34"/>
      <c r="N40" s="34"/>
      <c r="O40" s="34"/>
      <c r="P40" s="34"/>
      <c r="Q40" s="25"/>
      <c r="R40" s="25"/>
      <c r="S40" s="25"/>
      <c r="T40" s="25"/>
      <c r="U40" s="25"/>
      <c r="V40" s="25"/>
      <c r="W40" s="25"/>
      <c r="X40" s="25"/>
      <c r="Y40" s="25"/>
      <c r="Z40" s="25"/>
    </row>
    <row r="41" spans="1:26" ht="12.75" customHeight="1" x14ac:dyDescent="0.2">
      <c r="A41" s="32" t="s">
        <v>16</v>
      </c>
      <c r="B41" s="36">
        <v>6</v>
      </c>
      <c r="C41" s="15" t="s">
        <v>19</v>
      </c>
      <c r="D41" s="15" t="s">
        <v>140</v>
      </c>
      <c r="E41" s="34"/>
      <c r="F41" s="34"/>
      <c r="G41" s="34"/>
      <c r="H41" s="35"/>
      <c r="I41" s="35"/>
      <c r="J41" s="34"/>
      <c r="K41" s="34"/>
      <c r="L41" s="34"/>
      <c r="M41" s="34"/>
      <c r="N41" s="34"/>
      <c r="O41" s="34"/>
      <c r="P41" s="34"/>
      <c r="Q41" s="25"/>
      <c r="R41" s="25"/>
      <c r="S41" s="25"/>
      <c r="T41" s="25"/>
      <c r="U41" s="25"/>
      <c r="V41" s="25"/>
      <c r="W41" s="25"/>
      <c r="X41" s="25"/>
      <c r="Y41" s="25"/>
      <c r="Z41" s="25"/>
    </row>
    <row r="42" spans="1:26" ht="12.75" customHeight="1" x14ac:dyDescent="0.2">
      <c r="A42" s="32" t="s">
        <v>16</v>
      </c>
      <c r="B42" s="36">
        <v>6</v>
      </c>
      <c r="C42" s="15" t="s">
        <v>22</v>
      </c>
      <c r="D42" s="15" t="s">
        <v>141</v>
      </c>
      <c r="E42" s="34"/>
      <c r="F42" s="34"/>
      <c r="G42" s="34"/>
      <c r="H42" s="35"/>
      <c r="I42" s="35"/>
      <c r="J42" s="34"/>
      <c r="K42" s="34"/>
      <c r="L42" s="34"/>
      <c r="M42" s="34"/>
      <c r="N42" s="34"/>
      <c r="O42" s="34"/>
      <c r="P42" s="34"/>
      <c r="Q42" s="25"/>
      <c r="R42" s="25"/>
      <c r="S42" s="25"/>
      <c r="T42" s="25"/>
      <c r="U42" s="25"/>
      <c r="V42" s="25"/>
      <c r="W42" s="25"/>
      <c r="X42" s="25"/>
      <c r="Y42" s="25"/>
      <c r="Z42" s="25"/>
    </row>
    <row r="43" spans="1:26" ht="12.75" customHeight="1" x14ac:dyDescent="0.2">
      <c r="A43" s="32" t="s">
        <v>16</v>
      </c>
      <c r="B43" s="36">
        <v>6</v>
      </c>
      <c r="C43" s="15" t="s">
        <v>23</v>
      </c>
      <c r="D43" s="15" t="s">
        <v>142</v>
      </c>
      <c r="E43" s="34"/>
      <c r="F43" s="34"/>
      <c r="G43" s="34"/>
      <c r="H43" s="35"/>
      <c r="I43" s="35"/>
      <c r="J43" s="34"/>
      <c r="K43" s="34"/>
      <c r="L43" s="34"/>
      <c r="M43" s="34"/>
      <c r="N43" s="34"/>
      <c r="O43" s="34"/>
      <c r="P43" s="34"/>
      <c r="Q43" s="25"/>
      <c r="R43" s="25"/>
      <c r="S43" s="25"/>
      <c r="T43" s="25"/>
      <c r="U43" s="25"/>
      <c r="V43" s="25"/>
      <c r="W43" s="25"/>
      <c r="X43" s="25"/>
      <c r="Y43" s="25"/>
      <c r="Z43" s="25"/>
    </row>
    <row r="44" spans="1:26" ht="12.75" customHeight="1" x14ac:dyDescent="0.2">
      <c r="A44" s="32" t="s">
        <v>16</v>
      </c>
      <c r="B44" s="36">
        <v>6</v>
      </c>
      <c r="C44" s="15" t="s">
        <v>25</v>
      </c>
      <c r="D44" s="15" t="s">
        <v>143</v>
      </c>
      <c r="E44" s="34"/>
      <c r="F44" s="34"/>
      <c r="G44" s="34"/>
      <c r="H44" s="35"/>
      <c r="I44" s="35"/>
      <c r="J44" s="34"/>
      <c r="K44" s="34"/>
      <c r="L44" s="34"/>
      <c r="M44" s="34"/>
      <c r="N44" s="34"/>
      <c r="O44" s="34"/>
      <c r="P44" s="34"/>
      <c r="Q44" s="25"/>
      <c r="R44" s="25"/>
      <c r="S44" s="25"/>
      <c r="T44" s="25"/>
      <c r="U44" s="25"/>
      <c r="V44" s="25"/>
      <c r="W44" s="25"/>
      <c r="X44" s="25"/>
      <c r="Y44" s="25"/>
      <c r="Z44" s="25"/>
    </row>
    <row r="45" spans="1:26" ht="12.75" customHeight="1" x14ac:dyDescent="0.2">
      <c r="A45" s="32" t="s">
        <v>16</v>
      </c>
      <c r="B45" s="36">
        <v>6</v>
      </c>
      <c r="C45" s="15" t="s">
        <v>26</v>
      </c>
      <c r="D45" s="15" t="s">
        <v>144</v>
      </c>
      <c r="E45" s="34"/>
      <c r="F45" s="34"/>
      <c r="G45" s="34"/>
      <c r="H45" s="35"/>
      <c r="I45" s="35"/>
      <c r="J45" s="34"/>
      <c r="K45" s="34"/>
      <c r="L45" s="34"/>
      <c r="M45" s="34"/>
      <c r="N45" s="34"/>
      <c r="O45" s="34"/>
      <c r="P45" s="34"/>
      <c r="Q45" s="25"/>
      <c r="R45" s="25"/>
      <c r="S45" s="25"/>
      <c r="T45" s="25"/>
      <c r="U45" s="25"/>
      <c r="V45" s="25"/>
      <c r="W45" s="25"/>
      <c r="X45" s="25"/>
      <c r="Y45" s="25"/>
      <c r="Z45" s="25"/>
    </row>
    <row r="46" spans="1:26" ht="12.75" customHeight="1" x14ac:dyDescent="0.2">
      <c r="A46" s="32" t="s">
        <v>16</v>
      </c>
      <c r="B46" s="33">
        <v>7</v>
      </c>
      <c r="C46" s="321" t="s">
        <v>145</v>
      </c>
      <c r="D46" s="317"/>
      <c r="E46" s="34"/>
      <c r="F46" s="34"/>
      <c r="G46" s="34"/>
      <c r="H46" s="35"/>
      <c r="I46" s="35"/>
      <c r="J46" s="34"/>
      <c r="K46" s="34"/>
      <c r="L46" s="34"/>
      <c r="M46" s="34"/>
      <c r="N46" s="34"/>
      <c r="O46" s="34"/>
      <c r="P46" s="34"/>
      <c r="Q46" s="25"/>
      <c r="R46" s="25"/>
      <c r="S46" s="25"/>
      <c r="T46" s="25"/>
      <c r="U46" s="25"/>
      <c r="V46" s="25"/>
      <c r="W46" s="25"/>
      <c r="X46" s="25"/>
      <c r="Y46" s="25"/>
      <c r="Z46" s="25"/>
    </row>
    <row r="47" spans="1:26" ht="12.75" customHeight="1" x14ac:dyDescent="0.2">
      <c r="A47" s="32" t="s">
        <v>16</v>
      </c>
      <c r="B47" s="36">
        <v>5</v>
      </c>
      <c r="C47" s="15" t="s">
        <v>12</v>
      </c>
      <c r="D47" s="15" t="s">
        <v>146</v>
      </c>
      <c r="E47" s="34"/>
      <c r="F47" s="34"/>
      <c r="G47" s="34"/>
      <c r="H47" s="35"/>
      <c r="I47" s="35"/>
      <c r="J47" s="34"/>
      <c r="K47" s="34"/>
      <c r="L47" s="34"/>
      <c r="M47" s="34"/>
      <c r="N47" s="34"/>
      <c r="O47" s="34"/>
      <c r="P47" s="34"/>
      <c r="Q47" s="25"/>
      <c r="R47" s="25"/>
      <c r="S47" s="25"/>
      <c r="T47" s="25"/>
      <c r="U47" s="25"/>
      <c r="V47" s="25"/>
      <c r="W47" s="25"/>
      <c r="X47" s="25"/>
      <c r="Y47" s="25"/>
      <c r="Z47" s="25"/>
    </row>
    <row r="48" spans="1:26" ht="12.75" customHeight="1" x14ac:dyDescent="0.2">
      <c r="A48" s="32" t="s">
        <v>16</v>
      </c>
      <c r="B48" s="36">
        <v>5</v>
      </c>
      <c r="C48" s="15" t="s">
        <v>16</v>
      </c>
      <c r="D48" s="15" t="s">
        <v>147</v>
      </c>
      <c r="E48" s="34"/>
      <c r="F48" s="34"/>
      <c r="G48" s="34"/>
      <c r="H48" s="35"/>
      <c r="I48" s="35"/>
      <c r="J48" s="34"/>
      <c r="K48" s="34"/>
      <c r="L48" s="34"/>
      <c r="M48" s="34"/>
      <c r="N48" s="34"/>
      <c r="O48" s="34"/>
      <c r="P48" s="34"/>
      <c r="Q48" s="25"/>
      <c r="R48" s="25"/>
      <c r="S48" s="25"/>
      <c r="T48" s="25"/>
      <c r="U48" s="25"/>
      <c r="V48" s="25"/>
      <c r="W48" s="25"/>
      <c r="X48" s="25"/>
      <c r="Y48" s="25"/>
      <c r="Z48" s="25"/>
    </row>
    <row r="49" spans="1:26" ht="12.75" customHeight="1" x14ac:dyDescent="0.2">
      <c r="A49" s="38" t="s">
        <v>148</v>
      </c>
      <c r="B49" s="322" t="s">
        <v>149</v>
      </c>
      <c r="C49" s="323"/>
      <c r="D49" s="317"/>
      <c r="E49" s="30"/>
      <c r="F49" s="30"/>
      <c r="G49" s="30"/>
      <c r="H49" s="31"/>
      <c r="I49" s="31"/>
      <c r="J49" s="30"/>
      <c r="K49" s="30"/>
      <c r="L49" s="30"/>
      <c r="M49" s="30"/>
      <c r="N49" s="30"/>
      <c r="O49" s="30"/>
      <c r="P49" s="30"/>
      <c r="Q49" s="25"/>
      <c r="R49" s="25"/>
      <c r="S49" s="25"/>
      <c r="T49" s="25"/>
      <c r="U49" s="25"/>
      <c r="V49" s="25"/>
      <c r="W49" s="25"/>
      <c r="X49" s="25"/>
      <c r="Y49" s="25"/>
      <c r="Z49" s="25"/>
    </row>
    <row r="50" spans="1:26" ht="12.75" customHeight="1" x14ac:dyDescent="0.2">
      <c r="A50" s="32" t="s">
        <v>19</v>
      </c>
      <c r="B50" s="33">
        <v>1</v>
      </c>
      <c r="C50" s="321" t="s">
        <v>150</v>
      </c>
      <c r="D50" s="317"/>
      <c r="E50" s="34"/>
      <c r="F50" s="34"/>
      <c r="G50" s="34"/>
      <c r="H50" s="35"/>
      <c r="I50" s="35"/>
      <c r="J50" s="34"/>
      <c r="K50" s="34"/>
      <c r="L50" s="34"/>
      <c r="M50" s="34"/>
      <c r="N50" s="34"/>
      <c r="O50" s="34"/>
      <c r="P50" s="34"/>
      <c r="Q50" s="25"/>
      <c r="R50" s="25"/>
      <c r="S50" s="25"/>
      <c r="T50" s="25"/>
      <c r="U50" s="25"/>
      <c r="V50" s="25"/>
      <c r="W50" s="25"/>
      <c r="X50" s="25"/>
      <c r="Y50" s="25"/>
      <c r="Z50" s="25"/>
    </row>
    <row r="51" spans="1:26" ht="12.75" customHeight="1" x14ac:dyDescent="0.2">
      <c r="A51" s="32" t="s">
        <v>19</v>
      </c>
      <c r="B51" s="36">
        <v>1</v>
      </c>
      <c r="C51" s="37" t="s">
        <v>12</v>
      </c>
      <c r="D51" s="37" t="s">
        <v>151</v>
      </c>
      <c r="E51" s="34"/>
      <c r="F51" s="34"/>
      <c r="G51" s="34"/>
      <c r="H51" s="35"/>
      <c r="I51" s="35"/>
      <c r="J51" s="34"/>
      <c r="K51" s="34"/>
      <c r="L51" s="34"/>
      <c r="M51" s="34"/>
      <c r="N51" s="34"/>
      <c r="O51" s="34"/>
      <c r="P51" s="34"/>
      <c r="Q51" s="25"/>
      <c r="R51" s="25"/>
      <c r="S51" s="25"/>
      <c r="T51" s="25"/>
      <c r="U51" s="25"/>
      <c r="V51" s="25"/>
      <c r="W51" s="25"/>
      <c r="X51" s="25"/>
      <c r="Y51" s="25"/>
      <c r="Z51" s="25"/>
    </row>
    <row r="52" spans="1:26" ht="12.75" customHeight="1" x14ac:dyDescent="0.2">
      <c r="A52" s="32" t="s">
        <v>19</v>
      </c>
      <c r="B52" s="36">
        <v>1</v>
      </c>
      <c r="C52" s="37" t="s">
        <v>16</v>
      </c>
      <c r="D52" s="37" t="s">
        <v>152</v>
      </c>
      <c r="E52" s="34"/>
      <c r="F52" s="34"/>
      <c r="G52" s="34"/>
      <c r="H52" s="35"/>
      <c r="I52" s="35"/>
      <c r="J52" s="34"/>
      <c r="K52" s="34"/>
      <c r="L52" s="34"/>
      <c r="M52" s="34"/>
      <c r="N52" s="34"/>
      <c r="O52" s="34"/>
      <c r="P52" s="34"/>
      <c r="Q52" s="25"/>
      <c r="R52" s="25"/>
      <c r="S52" s="25"/>
      <c r="T52" s="25"/>
      <c r="U52" s="25"/>
      <c r="V52" s="25"/>
      <c r="W52" s="25"/>
      <c r="X52" s="25"/>
      <c r="Y52" s="25"/>
      <c r="Z52" s="25"/>
    </row>
    <row r="53" spans="1:26" ht="12.75" customHeight="1" x14ac:dyDescent="0.2">
      <c r="A53" s="32" t="s">
        <v>19</v>
      </c>
      <c r="B53" s="36">
        <v>1</v>
      </c>
      <c r="C53" s="37" t="s">
        <v>19</v>
      </c>
      <c r="D53" s="37" t="s">
        <v>153</v>
      </c>
      <c r="E53" s="34"/>
      <c r="F53" s="34"/>
      <c r="G53" s="34"/>
      <c r="H53" s="35"/>
      <c r="I53" s="35"/>
      <c r="J53" s="34"/>
      <c r="K53" s="34"/>
      <c r="L53" s="34"/>
      <c r="M53" s="34"/>
      <c r="N53" s="34"/>
      <c r="O53" s="34"/>
      <c r="P53" s="34"/>
      <c r="Q53" s="25"/>
      <c r="R53" s="25"/>
      <c r="S53" s="25"/>
      <c r="T53" s="25"/>
      <c r="U53" s="25"/>
      <c r="V53" s="25"/>
      <c r="W53" s="25"/>
      <c r="X53" s="25"/>
      <c r="Y53" s="25"/>
      <c r="Z53" s="25"/>
    </row>
    <row r="54" spans="1:26" ht="12.75" customHeight="1" x14ac:dyDescent="0.2">
      <c r="A54" s="32" t="s">
        <v>19</v>
      </c>
      <c r="B54" s="33">
        <v>2</v>
      </c>
      <c r="C54" s="316" t="s">
        <v>154</v>
      </c>
      <c r="D54" s="317"/>
      <c r="E54" s="34"/>
      <c r="F54" s="34"/>
      <c r="G54" s="34"/>
      <c r="H54" s="35"/>
      <c r="I54" s="35"/>
      <c r="J54" s="34"/>
      <c r="K54" s="34"/>
      <c r="L54" s="34"/>
      <c r="M54" s="34"/>
      <c r="N54" s="34"/>
      <c r="O54" s="34"/>
      <c r="P54" s="34"/>
      <c r="Q54" s="25"/>
      <c r="R54" s="25"/>
      <c r="S54" s="25"/>
      <c r="T54" s="25"/>
      <c r="U54" s="25"/>
      <c r="V54" s="25"/>
      <c r="W54" s="25"/>
      <c r="X54" s="25"/>
      <c r="Y54" s="25"/>
      <c r="Z54" s="25"/>
    </row>
    <row r="55" spans="1:26" ht="12.75" customHeight="1" x14ac:dyDescent="0.2">
      <c r="A55" s="32" t="s">
        <v>19</v>
      </c>
      <c r="B55" s="36">
        <v>2</v>
      </c>
      <c r="C55" s="37" t="s">
        <v>12</v>
      </c>
      <c r="D55" s="37" t="s">
        <v>155</v>
      </c>
      <c r="E55" s="34"/>
      <c r="F55" s="34"/>
      <c r="G55" s="34"/>
      <c r="H55" s="35"/>
      <c r="I55" s="35"/>
      <c r="J55" s="34"/>
      <c r="K55" s="34"/>
      <c r="L55" s="34"/>
      <c r="M55" s="34"/>
      <c r="N55" s="34"/>
      <c r="O55" s="34"/>
      <c r="P55" s="34"/>
      <c r="Q55" s="25"/>
      <c r="R55" s="25"/>
      <c r="S55" s="25"/>
      <c r="T55" s="25"/>
      <c r="U55" s="25"/>
      <c r="V55" s="25"/>
      <c r="W55" s="25"/>
      <c r="X55" s="25"/>
      <c r="Y55" s="25"/>
      <c r="Z55" s="25"/>
    </row>
    <row r="56" spans="1:26" ht="12.75" customHeight="1" x14ac:dyDescent="0.2">
      <c r="A56" s="32" t="s">
        <v>19</v>
      </c>
      <c r="B56" s="36">
        <v>2</v>
      </c>
      <c r="C56" s="37" t="s">
        <v>16</v>
      </c>
      <c r="D56" s="37" t="s">
        <v>156</v>
      </c>
      <c r="E56" s="34"/>
      <c r="F56" s="34"/>
      <c r="G56" s="34"/>
      <c r="H56" s="35"/>
      <c r="I56" s="35"/>
      <c r="J56" s="34"/>
      <c r="K56" s="34"/>
      <c r="L56" s="34"/>
      <c r="M56" s="34"/>
      <c r="N56" s="34"/>
      <c r="O56" s="34"/>
      <c r="P56" s="34"/>
      <c r="Q56" s="25"/>
      <c r="R56" s="25"/>
      <c r="S56" s="25"/>
      <c r="T56" s="25"/>
      <c r="U56" s="25"/>
      <c r="V56" s="25"/>
      <c r="W56" s="25"/>
      <c r="X56" s="25"/>
      <c r="Y56" s="25"/>
      <c r="Z56" s="25"/>
    </row>
    <row r="57" spans="1:26" ht="12.75" customHeight="1" x14ac:dyDescent="0.2">
      <c r="A57" s="32" t="s">
        <v>19</v>
      </c>
      <c r="B57" s="36">
        <v>2</v>
      </c>
      <c r="C57" s="37" t="s">
        <v>19</v>
      </c>
      <c r="D57" s="37" t="s">
        <v>157</v>
      </c>
      <c r="E57" s="34"/>
      <c r="F57" s="34"/>
      <c r="G57" s="34"/>
      <c r="H57" s="35"/>
      <c r="I57" s="35"/>
      <c r="J57" s="34"/>
      <c r="K57" s="34"/>
      <c r="L57" s="34"/>
      <c r="M57" s="34"/>
      <c r="N57" s="34"/>
      <c r="O57" s="34"/>
      <c r="P57" s="34"/>
      <c r="Q57" s="25"/>
      <c r="R57" s="25"/>
      <c r="S57" s="25"/>
      <c r="T57" s="25"/>
      <c r="U57" s="25"/>
      <c r="V57" s="25"/>
      <c r="W57" s="25"/>
      <c r="X57" s="25"/>
      <c r="Y57" s="25"/>
      <c r="Z57" s="25"/>
    </row>
    <row r="58" spans="1:26" ht="12.75" customHeight="1" x14ac:dyDescent="0.2">
      <c r="A58" s="32" t="s">
        <v>19</v>
      </c>
      <c r="B58" s="36">
        <v>2</v>
      </c>
      <c r="C58" s="37" t="s">
        <v>22</v>
      </c>
      <c r="D58" s="37" t="s">
        <v>158</v>
      </c>
      <c r="E58" s="34"/>
      <c r="F58" s="34"/>
      <c r="G58" s="34"/>
      <c r="H58" s="35"/>
      <c r="I58" s="35"/>
      <c r="J58" s="34"/>
      <c r="K58" s="34"/>
      <c r="L58" s="34"/>
      <c r="M58" s="34"/>
      <c r="N58" s="34"/>
      <c r="O58" s="34"/>
      <c r="P58" s="34"/>
      <c r="Q58" s="25"/>
      <c r="R58" s="25"/>
      <c r="S58" s="25"/>
      <c r="T58" s="25"/>
      <c r="U58" s="25"/>
      <c r="V58" s="25"/>
      <c r="W58" s="25"/>
      <c r="X58" s="25"/>
      <c r="Y58" s="25"/>
      <c r="Z58" s="25"/>
    </row>
    <row r="59" spans="1:26" ht="12.75" customHeight="1" x14ac:dyDescent="0.2">
      <c r="A59" s="32" t="s">
        <v>19</v>
      </c>
      <c r="B59" s="36">
        <v>2</v>
      </c>
      <c r="C59" s="37" t="s">
        <v>23</v>
      </c>
      <c r="D59" s="37" t="s">
        <v>159</v>
      </c>
      <c r="E59" s="34"/>
      <c r="F59" s="34"/>
      <c r="G59" s="34"/>
      <c r="H59" s="35"/>
      <c r="I59" s="35"/>
      <c r="J59" s="34"/>
      <c r="K59" s="34"/>
      <c r="L59" s="34"/>
      <c r="M59" s="34"/>
      <c r="N59" s="34"/>
      <c r="O59" s="34"/>
      <c r="P59" s="34"/>
      <c r="Q59" s="25"/>
      <c r="R59" s="25"/>
      <c r="S59" s="25"/>
      <c r="T59" s="25"/>
      <c r="U59" s="25"/>
      <c r="V59" s="25"/>
      <c r="W59" s="25"/>
      <c r="X59" s="25"/>
      <c r="Y59" s="25"/>
      <c r="Z59" s="25"/>
    </row>
    <row r="60" spans="1:26" ht="12.75" customHeight="1" x14ac:dyDescent="0.2">
      <c r="A60" s="32" t="s">
        <v>19</v>
      </c>
      <c r="B60" s="33">
        <v>3</v>
      </c>
      <c r="C60" s="316" t="s">
        <v>160</v>
      </c>
      <c r="D60" s="317"/>
      <c r="E60" s="34"/>
      <c r="F60" s="34"/>
      <c r="G60" s="34"/>
      <c r="H60" s="35"/>
      <c r="I60" s="35"/>
      <c r="J60" s="34"/>
      <c r="K60" s="34"/>
      <c r="L60" s="34"/>
      <c r="M60" s="34"/>
      <c r="N60" s="34"/>
      <c r="O60" s="34"/>
      <c r="P60" s="34"/>
      <c r="Q60" s="25"/>
      <c r="R60" s="25"/>
      <c r="S60" s="25"/>
      <c r="T60" s="25"/>
      <c r="U60" s="25"/>
      <c r="V60" s="25"/>
      <c r="W60" s="25"/>
      <c r="X60" s="25"/>
      <c r="Y60" s="25"/>
      <c r="Z60" s="25"/>
    </row>
    <row r="61" spans="1:26" ht="12.75" customHeight="1" x14ac:dyDescent="0.2">
      <c r="A61" s="32" t="s">
        <v>19</v>
      </c>
      <c r="B61" s="36">
        <v>3</v>
      </c>
      <c r="C61" s="37" t="s">
        <v>12</v>
      </c>
      <c r="D61" s="37" t="s">
        <v>161</v>
      </c>
      <c r="E61" s="34"/>
      <c r="F61" s="34"/>
      <c r="G61" s="34"/>
      <c r="H61" s="35"/>
      <c r="I61" s="35"/>
      <c r="J61" s="34"/>
      <c r="K61" s="34"/>
      <c r="L61" s="34"/>
      <c r="M61" s="34"/>
      <c r="N61" s="34"/>
      <c r="O61" s="34"/>
      <c r="P61" s="34"/>
      <c r="Q61" s="25"/>
      <c r="R61" s="25"/>
      <c r="S61" s="25"/>
      <c r="T61" s="25"/>
      <c r="U61" s="25"/>
      <c r="V61" s="25"/>
      <c r="W61" s="25"/>
      <c r="X61" s="25"/>
      <c r="Y61" s="25"/>
      <c r="Z61" s="25"/>
    </row>
    <row r="62" spans="1:26" ht="12.75" customHeight="1" x14ac:dyDescent="0.2">
      <c r="A62" s="32" t="s">
        <v>19</v>
      </c>
      <c r="B62" s="36">
        <v>3</v>
      </c>
      <c r="C62" s="37" t="s">
        <v>16</v>
      </c>
      <c r="D62" s="37" t="s">
        <v>162</v>
      </c>
      <c r="E62" s="34"/>
      <c r="F62" s="34"/>
      <c r="G62" s="34"/>
      <c r="H62" s="35"/>
      <c r="I62" s="35"/>
      <c r="J62" s="34"/>
      <c r="K62" s="34"/>
      <c r="L62" s="34"/>
      <c r="M62" s="34"/>
      <c r="N62" s="34"/>
      <c r="O62" s="34"/>
      <c r="P62" s="34"/>
      <c r="Q62" s="25"/>
      <c r="R62" s="25"/>
      <c r="S62" s="25"/>
      <c r="T62" s="25"/>
      <c r="U62" s="25"/>
      <c r="V62" s="25"/>
      <c r="W62" s="25"/>
      <c r="X62" s="25"/>
      <c r="Y62" s="25"/>
      <c r="Z62" s="25"/>
    </row>
    <row r="63" spans="1:26" ht="12.75" customHeight="1" x14ac:dyDescent="0.2">
      <c r="A63" s="32" t="s">
        <v>19</v>
      </c>
      <c r="B63" s="33">
        <v>4</v>
      </c>
      <c r="C63" s="316" t="s">
        <v>163</v>
      </c>
      <c r="D63" s="317"/>
      <c r="E63" s="34"/>
      <c r="F63" s="34"/>
      <c r="G63" s="34"/>
      <c r="H63" s="35"/>
      <c r="I63" s="35"/>
      <c r="J63" s="34"/>
      <c r="K63" s="34"/>
      <c r="L63" s="34"/>
      <c r="M63" s="34"/>
      <c r="N63" s="34"/>
      <c r="O63" s="34"/>
      <c r="P63" s="34"/>
      <c r="Q63" s="25"/>
      <c r="R63" s="25"/>
      <c r="S63" s="25"/>
      <c r="T63" s="25"/>
      <c r="U63" s="25"/>
      <c r="V63" s="25"/>
      <c r="W63" s="25"/>
      <c r="X63" s="25"/>
      <c r="Y63" s="25"/>
      <c r="Z63" s="25"/>
    </row>
    <row r="64" spans="1:26" ht="12.75" customHeight="1" x14ac:dyDescent="0.2">
      <c r="A64" s="32" t="s">
        <v>19</v>
      </c>
      <c r="B64" s="36">
        <v>4</v>
      </c>
      <c r="C64" s="37" t="s">
        <v>12</v>
      </c>
      <c r="D64" s="37" t="s">
        <v>164</v>
      </c>
      <c r="E64" s="34"/>
      <c r="F64" s="34"/>
      <c r="G64" s="34"/>
      <c r="H64" s="35"/>
      <c r="I64" s="35"/>
      <c r="J64" s="34"/>
      <c r="K64" s="34"/>
      <c r="L64" s="34"/>
      <c r="M64" s="34"/>
      <c r="N64" s="34"/>
      <c r="O64" s="34"/>
      <c r="P64" s="34"/>
      <c r="Q64" s="25"/>
      <c r="R64" s="25"/>
      <c r="S64" s="25"/>
      <c r="T64" s="25"/>
      <c r="U64" s="25"/>
      <c r="V64" s="25"/>
      <c r="W64" s="25"/>
      <c r="X64" s="25"/>
      <c r="Y64" s="25"/>
      <c r="Z64" s="25"/>
    </row>
    <row r="65" spans="1:26" ht="12.75" customHeight="1" x14ac:dyDescent="0.2">
      <c r="A65" s="32" t="s">
        <v>19</v>
      </c>
      <c r="B65" s="36">
        <v>4</v>
      </c>
      <c r="C65" s="37" t="s">
        <v>16</v>
      </c>
      <c r="D65" s="37" t="s">
        <v>165</v>
      </c>
      <c r="E65" s="34"/>
      <c r="F65" s="34"/>
      <c r="G65" s="34"/>
      <c r="H65" s="35"/>
      <c r="I65" s="35"/>
      <c r="J65" s="34"/>
      <c r="K65" s="34"/>
      <c r="L65" s="34"/>
      <c r="M65" s="34"/>
      <c r="N65" s="34"/>
      <c r="O65" s="34"/>
      <c r="P65" s="34"/>
      <c r="Q65" s="25"/>
      <c r="R65" s="25"/>
      <c r="S65" s="25"/>
      <c r="T65" s="25"/>
      <c r="U65" s="25"/>
      <c r="V65" s="25"/>
      <c r="W65" s="25"/>
      <c r="X65" s="25"/>
      <c r="Y65" s="25"/>
      <c r="Z65" s="25"/>
    </row>
    <row r="66" spans="1:26" ht="12.75" customHeight="1" x14ac:dyDescent="0.2">
      <c r="A66" s="32" t="s">
        <v>19</v>
      </c>
      <c r="B66" s="36">
        <v>4</v>
      </c>
      <c r="C66" s="37" t="s">
        <v>19</v>
      </c>
      <c r="D66" s="37" t="s">
        <v>166</v>
      </c>
      <c r="E66" s="34"/>
      <c r="F66" s="34"/>
      <c r="G66" s="34"/>
      <c r="H66" s="35"/>
      <c r="I66" s="35"/>
      <c r="J66" s="34"/>
      <c r="K66" s="34"/>
      <c r="L66" s="34"/>
      <c r="M66" s="34"/>
      <c r="N66" s="34"/>
      <c r="O66" s="34"/>
      <c r="P66" s="34"/>
      <c r="Q66" s="25"/>
      <c r="R66" s="25"/>
      <c r="S66" s="25"/>
      <c r="T66" s="25"/>
      <c r="U66" s="25"/>
      <c r="V66" s="25"/>
      <c r="W66" s="25"/>
      <c r="X66" s="25"/>
      <c r="Y66" s="25"/>
      <c r="Z66" s="25"/>
    </row>
    <row r="67" spans="1:26" ht="12.75" customHeight="1" x14ac:dyDescent="0.2">
      <c r="A67" s="32" t="s">
        <v>19</v>
      </c>
      <c r="B67" s="36">
        <v>4</v>
      </c>
      <c r="C67" s="37" t="s">
        <v>22</v>
      </c>
      <c r="D67" s="37" t="s">
        <v>167</v>
      </c>
      <c r="E67" s="34"/>
      <c r="F67" s="34"/>
      <c r="G67" s="34"/>
      <c r="H67" s="35"/>
      <c r="I67" s="35"/>
      <c r="J67" s="34"/>
      <c r="K67" s="34"/>
      <c r="L67" s="34"/>
      <c r="M67" s="34"/>
      <c r="N67" s="34"/>
      <c r="O67" s="34"/>
      <c r="P67" s="34"/>
      <c r="Q67" s="25"/>
      <c r="R67" s="25"/>
      <c r="S67" s="25"/>
      <c r="T67" s="25"/>
      <c r="U67" s="25"/>
      <c r="V67" s="25"/>
      <c r="W67" s="25"/>
      <c r="X67" s="25"/>
      <c r="Y67" s="25"/>
      <c r="Z67" s="25"/>
    </row>
    <row r="68" spans="1:26" ht="12.75" customHeight="1" x14ac:dyDescent="0.2">
      <c r="A68" s="32" t="s">
        <v>19</v>
      </c>
      <c r="B68" s="36">
        <v>4</v>
      </c>
      <c r="C68" s="37" t="s">
        <v>23</v>
      </c>
      <c r="D68" s="37" t="s">
        <v>168</v>
      </c>
      <c r="E68" s="34"/>
      <c r="F68" s="34"/>
      <c r="G68" s="34"/>
      <c r="H68" s="35"/>
      <c r="I68" s="35"/>
      <c r="J68" s="34"/>
      <c r="K68" s="34"/>
      <c r="L68" s="34"/>
      <c r="M68" s="34"/>
      <c r="N68" s="34"/>
      <c r="O68" s="34"/>
      <c r="P68" s="34"/>
      <c r="Q68" s="25"/>
      <c r="R68" s="25"/>
      <c r="S68" s="25"/>
      <c r="T68" s="25"/>
      <c r="U68" s="25"/>
      <c r="V68" s="25"/>
      <c r="W68" s="25"/>
      <c r="X68" s="25"/>
      <c r="Y68" s="25"/>
      <c r="Z68" s="25"/>
    </row>
    <row r="69" spans="1:26" ht="12.75" customHeight="1" x14ac:dyDescent="0.2">
      <c r="A69" s="32" t="s">
        <v>19</v>
      </c>
      <c r="B69" s="33">
        <v>5</v>
      </c>
      <c r="C69" s="321" t="s">
        <v>169</v>
      </c>
      <c r="D69" s="317"/>
      <c r="E69" s="34"/>
      <c r="F69" s="34"/>
      <c r="G69" s="34"/>
      <c r="H69" s="35"/>
      <c r="I69" s="35"/>
      <c r="J69" s="34"/>
      <c r="K69" s="34"/>
      <c r="L69" s="34"/>
      <c r="M69" s="34"/>
      <c r="N69" s="34"/>
      <c r="O69" s="34"/>
      <c r="P69" s="34"/>
      <c r="Q69" s="25"/>
      <c r="R69" s="25"/>
      <c r="S69" s="25"/>
      <c r="T69" s="25"/>
      <c r="U69" s="25"/>
      <c r="V69" s="25"/>
      <c r="W69" s="25"/>
      <c r="X69" s="25"/>
      <c r="Y69" s="25"/>
      <c r="Z69" s="25"/>
    </row>
    <row r="70" spans="1:26" ht="12.75" customHeight="1" x14ac:dyDescent="0.2">
      <c r="A70" s="32" t="s">
        <v>19</v>
      </c>
      <c r="B70" s="36">
        <v>5</v>
      </c>
      <c r="C70" s="37" t="s">
        <v>12</v>
      </c>
      <c r="D70" s="37" t="s">
        <v>170</v>
      </c>
      <c r="E70" s="34"/>
      <c r="F70" s="34"/>
      <c r="G70" s="34"/>
      <c r="H70" s="35"/>
      <c r="I70" s="35"/>
      <c r="J70" s="34"/>
      <c r="K70" s="34"/>
      <c r="L70" s="34"/>
      <c r="M70" s="34"/>
      <c r="N70" s="34"/>
      <c r="O70" s="34"/>
      <c r="P70" s="34"/>
      <c r="Q70" s="25"/>
      <c r="R70" s="25"/>
      <c r="S70" s="25"/>
      <c r="T70" s="25"/>
      <c r="U70" s="25"/>
      <c r="V70" s="25"/>
      <c r="W70" s="25"/>
      <c r="X70" s="25"/>
      <c r="Y70" s="25"/>
      <c r="Z70" s="25"/>
    </row>
    <row r="71" spans="1:26" ht="12.75" customHeight="1" x14ac:dyDescent="0.2">
      <c r="A71" s="32" t="s">
        <v>19</v>
      </c>
      <c r="B71" s="36">
        <v>5</v>
      </c>
      <c r="C71" s="37" t="s">
        <v>16</v>
      </c>
      <c r="D71" s="37" t="s">
        <v>152</v>
      </c>
      <c r="E71" s="34"/>
      <c r="F71" s="34"/>
      <c r="G71" s="34"/>
      <c r="H71" s="35"/>
      <c r="I71" s="35"/>
      <c r="J71" s="34"/>
      <c r="K71" s="34"/>
      <c r="L71" s="34"/>
      <c r="M71" s="34"/>
      <c r="N71" s="34"/>
      <c r="O71" s="34"/>
      <c r="P71" s="34"/>
      <c r="Q71" s="25"/>
      <c r="R71" s="25"/>
      <c r="S71" s="25"/>
      <c r="T71" s="25"/>
      <c r="U71" s="25"/>
      <c r="V71" s="25"/>
      <c r="W71" s="25"/>
      <c r="X71" s="25"/>
      <c r="Y71" s="25"/>
      <c r="Z71" s="25"/>
    </row>
    <row r="72" spans="1:26" ht="12.75" customHeight="1" x14ac:dyDescent="0.2">
      <c r="A72" s="32" t="s">
        <v>19</v>
      </c>
      <c r="B72" s="36">
        <v>5</v>
      </c>
      <c r="C72" s="37" t="s">
        <v>19</v>
      </c>
      <c r="D72" s="37" t="s">
        <v>171</v>
      </c>
      <c r="E72" s="34"/>
      <c r="F72" s="34"/>
      <c r="G72" s="34"/>
      <c r="H72" s="35"/>
      <c r="I72" s="35"/>
      <c r="J72" s="34"/>
      <c r="K72" s="34"/>
      <c r="L72" s="34"/>
      <c r="M72" s="34"/>
      <c r="N72" s="34"/>
      <c r="O72" s="34"/>
      <c r="P72" s="34"/>
      <c r="Q72" s="25"/>
      <c r="R72" s="25"/>
      <c r="S72" s="25"/>
      <c r="T72" s="25"/>
      <c r="U72" s="25"/>
      <c r="V72" s="25"/>
      <c r="W72" s="25"/>
      <c r="X72" s="25"/>
      <c r="Y72" s="25"/>
      <c r="Z72" s="25"/>
    </row>
    <row r="73" spans="1:26" ht="12.75" customHeight="1" x14ac:dyDescent="0.2">
      <c r="A73" s="38" t="s">
        <v>172</v>
      </c>
      <c r="B73" s="336" t="s">
        <v>173</v>
      </c>
      <c r="C73" s="323"/>
      <c r="D73" s="317"/>
      <c r="E73" s="30"/>
      <c r="F73" s="30"/>
      <c r="G73" s="30"/>
      <c r="H73" s="31"/>
      <c r="I73" s="31"/>
      <c r="J73" s="30"/>
      <c r="K73" s="30"/>
      <c r="L73" s="30"/>
      <c r="M73" s="30"/>
      <c r="N73" s="30"/>
      <c r="O73" s="30"/>
      <c r="P73" s="30"/>
      <c r="Q73" s="25"/>
      <c r="R73" s="25"/>
      <c r="S73" s="25"/>
      <c r="T73" s="25"/>
      <c r="U73" s="25"/>
      <c r="V73" s="25"/>
      <c r="W73" s="25"/>
      <c r="X73" s="25"/>
      <c r="Y73" s="25"/>
      <c r="Z73" s="25"/>
    </row>
    <row r="74" spans="1:26" ht="12.75" customHeight="1" x14ac:dyDescent="0.2">
      <c r="A74" s="32" t="s">
        <v>22</v>
      </c>
      <c r="B74" s="33">
        <v>1</v>
      </c>
      <c r="C74" s="316" t="s">
        <v>174</v>
      </c>
      <c r="D74" s="317"/>
      <c r="E74" s="34"/>
      <c r="F74" s="34"/>
      <c r="G74" s="34"/>
      <c r="H74" s="35"/>
      <c r="I74" s="35"/>
      <c r="J74" s="34"/>
      <c r="K74" s="34"/>
      <c r="L74" s="34"/>
      <c r="M74" s="34"/>
      <c r="N74" s="34"/>
      <c r="O74" s="34"/>
      <c r="P74" s="34"/>
      <c r="Q74" s="25"/>
      <c r="R74" s="25"/>
      <c r="S74" s="25"/>
      <c r="T74" s="25"/>
      <c r="U74" s="25"/>
      <c r="V74" s="25"/>
      <c r="W74" s="25"/>
      <c r="X74" s="25"/>
      <c r="Y74" s="25"/>
      <c r="Z74" s="25"/>
    </row>
    <row r="75" spans="1:26" ht="12.75" customHeight="1" x14ac:dyDescent="0.2">
      <c r="A75" s="32" t="s">
        <v>22</v>
      </c>
      <c r="B75" s="36">
        <v>1</v>
      </c>
      <c r="C75" s="37" t="s">
        <v>12</v>
      </c>
      <c r="D75" s="37" t="s">
        <v>175</v>
      </c>
      <c r="E75" s="34"/>
      <c r="F75" s="34"/>
      <c r="G75" s="34"/>
      <c r="H75" s="35"/>
      <c r="I75" s="35"/>
      <c r="J75" s="34"/>
      <c r="K75" s="34"/>
      <c r="L75" s="34"/>
      <c r="M75" s="34"/>
      <c r="N75" s="34"/>
      <c r="O75" s="34"/>
      <c r="P75" s="34"/>
      <c r="Q75" s="25"/>
      <c r="R75" s="25"/>
      <c r="S75" s="25"/>
      <c r="T75" s="25"/>
      <c r="U75" s="25"/>
      <c r="V75" s="25"/>
      <c r="W75" s="25"/>
      <c r="X75" s="25"/>
      <c r="Y75" s="25"/>
      <c r="Z75" s="25"/>
    </row>
    <row r="76" spans="1:26" ht="12.75" customHeight="1" x14ac:dyDescent="0.2">
      <c r="A76" s="32" t="s">
        <v>22</v>
      </c>
      <c r="B76" s="36">
        <v>1</v>
      </c>
      <c r="C76" s="37" t="s">
        <v>16</v>
      </c>
      <c r="D76" s="37" t="s">
        <v>176</v>
      </c>
      <c r="E76" s="34"/>
      <c r="F76" s="34"/>
      <c r="G76" s="34"/>
      <c r="H76" s="35"/>
      <c r="I76" s="35"/>
      <c r="J76" s="34"/>
      <c r="K76" s="34"/>
      <c r="L76" s="34"/>
      <c r="M76" s="34"/>
      <c r="N76" s="34"/>
      <c r="O76" s="34"/>
      <c r="P76" s="34"/>
      <c r="Q76" s="25"/>
      <c r="R76" s="25"/>
      <c r="S76" s="25"/>
      <c r="T76" s="25"/>
      <c r="U76" s="25"/>
      <c r="V76" s="25"/>
      <c r="W76" s="25"/>
      <c r="X76" s="25"/>
      <c r="Y76" s="25"/>
      <c r="Z76" s="25"/>
    </row>
    <row r="77" spans="1:26" ht="12.75" customHeight="1" x14ac:dyDescent="0.2">
      <c r="A77" s="32" t="s">
        <v>22</v>
      </c>
      <c r="B77" s="33">
        <v>2</v>
      </c>
      <c r="C77" s="316" t="s">
        <v>177</v>
      </c>
      <c r="D77" s="317"/>
      <c r="E77" s="34"/>
      <c r="F77" s="34"/>
      <c r="G77" s="34"/>
      <c r="H77" s="35"/>
      <c r="I77" s="35"/>
      <c r="J77" s="34"/>
      <c r="K77" s="34"/>
      <c r="L77" s="34"/>
      <c r="M77" s="34"/>
      <c r="N77" s="34"/>
      <c r="O77" s="34"/>
      <c r="P77" s="34"/>
      <c r="Q77" s="25"/>
      <c r="R77" s="25"/>
      <c r="S77" s="25"/>
      <c r="T77" s="25"/>
      <c r="U77" s="25"/>
      <c r="V77" s="25"/>
      <c r="W77" s="25"/>
      <c r="X77" s="25"/>
      <c r="Y77" s="25"/>
      <c r="Z77" s="25"/>
    </row>
    <row r="78" spans="1:26" ht="12.75" customHeight="1" x14ac:dyDescent="0.2">
      <c r="A78" s="32" t="s">
        <v>22</v>
      </c>
      <c r="B78" s="36">
        <v>2</v>
      </c>
      <c r="C78" s="37" t="s">
        <v>12</v>
      </c>
      <c r="D78" s="37" t="s">
        <v>178</v>
      </c>
      <c r="E78" s="34"/>
      <c r="F78" s="34"/>
      <c r="G78" s="34"/>
      <c r="H78" s="35"/>
      <c r="I78" s="35"/>
      <c r="J78" s="34"/>
      <c r="K78" s="34"/>
      <c r="L78" s="34"/>
      <c r="M78" s="34"/>
      <c r="N78" s="34"/>
      <c r="O78" s="34"/>
      <c r="P78" s="34"/>
      <c r="Q78" s="25"/>
      <c r="R78" s="25"/>
      <c r="S78" s="25"/>
      <c r="T78" s="25"/>
      <c r="U78" s="25"/>
      <c r="V78" s="25"/>
      <c r="W78" s="25"/>
      <c r="X78" s="25"/>
      <c r="Y78" s="25"/>
      <c r="Z78" s="25"/>
    </row>
    <row r="79" spans="1:26" ht="12.75" customHeight="1" x14ac:dyDescent="0.2">
      <c r="A79" s="32" t="s">
        <v>22</v>
      </c>
      <c r="B79" s="36">
        <v>2</v>
      </c>
      <c r="C79" s="37" t="s">
        <v>16</v>
      </c>
      <c r="D79" s="37" t="s">
        <v>179</v>
      </c>
      <c r="E79" s="34"/>
      <c r="F79" s="34"/>
      <c r="G79" s="34"/>
      <c r="H79" s="35"/>
      <c r="I79" s="35"/>
      <c r="J79" s="34"/>
      <c r="K79" s="34"/>
      <c r="L79" s="34"/>
      <c r="M79" s="34"/>
      <c r="N79" s="34"/>
      <c r="O79" s="34"/>
      <c r="P79" s="34"/>
      <c r="Q79" s="25"/>
      <c r="R79" s="25"/>
      <c r="S79" s="25"/>
      <c r="T79" s="25"/>
      <c r="U79" s="25"/>
      <c r="V79" s="25"/>
      <c r="W79" s="25"/>
      <c r="X79" s="25"/>
      <c r="Y79" s="25"/>
      <c r="Z79" s="25"/>
    </row>
    <row r="80" spans="1:26" ht="12.75" customHeight="1" x14ac:dyDescent="0.2">
      <c r="A80" s="32" t="s">
        <v>22</v>
      </c>
      <c r="B80" s="46">
        <v>2</v>
      </c>
      <c r="C80" s="47" t="s">
        <v>19</v>
      </c>
      <c r="D80" s="47" t="s">
        <v>180</v>
      </c>
      <c r="E80" s="34"/>
      <c r="F80" s="34"/>
      <c r="G80" s="34"/>
      <c r="H80" s="35"/>
      <c r="I80" s="35"/>
      <c r="J80" s="34"/>
      <c r="K80" s="34"/>
      <c r="L80" s="34"/>
      <c r="M80" s="34"/>
      <c r="N80" s="34"/>
      <c r="O80" s="34"/>
      <c r="P80" s="34"/>
      <c r="Q80" s="25"/>
      <c r="R80" s="25"/>
      <c r="S80" s="25"/>
      <c r="T80" s="25"/>
      <c r="U80" s="25"/>
      <c r="V80" s="25"/>
      <c r="W80" s="25"/>
      <c r="X80" s="25"/>
      <c r="Y80" s="25"/>
      <c r="Z80" s="25"/>
    </row>
    <row r="81" spans="1:26" ht="12.75" customHeight="1" x14ac:dyDescent="0.2">
      <c r="A81" s="42" t="s">
        <v>22</v>
      </c>
      <c r="B81" s="48">
        <v>2</v>
      </c>
      <c r="C81" s="49" t="s">
        <v>22</v>
      </c>
      <c r="D81" s="49" t="s">
        <v>181</v>
      </c>
      <c r="E81" s="44"/>
      <c r="F81" s="34"/>
      <c r="G81" s="34"/>
      <c r="H81" s="35"/>
      <c r="I81" s="35"/>
      <c r="J81" s="34"/>
      <c r="K81" s="34"/>
      <c r="L81" s="34"/>
      <c r="M81" s="34"/>
      <c r="N81" s="34"/>
      <c r="O81" s="34"/>
      <c r="P81" s="34"/>
      <c r="Q81" s="25"/>
      <c r="R81" s="25"/>
      <c r="S81" s="25"/>
      <c r="T81" s="25"/>
      <c r="U81" s="25"/>
      <c r="V81" s="25"/>
      <c r="W81" s="25"/>
      <c r="X81" s="25"/>
      <c r="Y81" s="25"/>
      <c r="Z81" s="25"/>
    </row>
    <row r="82" spans="1:26" ht="12.75" customHeight="1" x14ac:dyDescent="0.2">
      <c r="A82" s="42" t="s">
        <v>22</v>
      </c>
      <c r="B82" s="48">
        <v>2</v>
      </c>
      <c r="C82" s="49" t="s">
        <v>23</v>
      </c>
      <c r="D82" s="49" t="s">
        <v>182</v>
      </c>
      <c r="E82" s="44"/>
      <c r="F82" s="34"/>
      <c r="G82" s="34"/>
      <c r="H82" s="35"/>
      <c r="I82" s="35"/>
      <c r="J82" s="34"/>
      <c r="K82" s="34"/>
      <c r="L82" s="34"/>
      <c r="M82" s="34"/>
      <c r="N82" s="34"/>
      <c r="O82" s="34"/>
      <c r="P82" s="34"/>
      <c r="Q82" s="25"/>
      <c r="R82" s="25"/>
      <c r="S82" s="25"/>
      <c r="T82" s="25"/>
      <c r="U82" s="25"/>
      <c r="V82" s="25"/>
      <c r="W82" s="25"/>
      <c r="X82" s="25"/>
      <c r="Y82" s="25"/>
      <c r="Z82" s="25"/>
    </row>
    <row r="83" spans="1:26" ht="12.75" customHeight="1" x14ac:dyDescent="0.2">
      <c r="A83" s="42" t="s">
        <v>22</v>
      </c>
      <c r="B83" s="48">
        <v>2</v>
      </c>
      <c r="C83" s="49" t="s">
        <v>25</v>
      </c>
      <c r="D83" s="49" t="s">
        <v>183</v>
      </c>
      <c r="E83" s="44"/>
      <c r="F83" s="34"/>
      <c r="G83" s="34"/>
      <c r="H83" s="35"/>
      <c r="I83" s="35"/>
      <c r="J83" s="34"/>
      <c r="K83" s="34"/>
      <c r="L83" s="34"/>
      <c r="M83" s="34"/>
      <c r="N83" s="34"/>
      <c r="O83" s="34"/>
      <c r="P83" s="34"/>
      <c r="Q83" s="25"/>
      <c r="R83" s="25"/>
      <c r="S83" s="25"/>
      <c r="T83" s="25"/>
      <c r="U83" s="25"/>
      <c r="V83" s="25"/>
      <c r="W83" s="25"/>
      <c r="X83" s="25"/>
      <c r="Y83" s="25"/>
      <c r="Z83" s="25"/>
    </row>
    <row r="84" spans="1:26" ht="12.75" customHeight="1" x14ac:dyDescent="0.2">
      <c r="A84" s="42" t="s">
        <v>22</v>
      </c>
      <c r="B84" s="48">
        <v>2</v>
      </c>
      <c r="C84" s="49" t="s">
        <v>26</v>
      </c>
      <c r="D84" s="49" t="s">
        <v>184</v>
      </c>
      <c r="E84" s="44"/>
      <c r="F84" s="34"/>
      <c r="G84" s="34"/>
      <c r="H84" s="35"/>
      <c r="I84" s="35"/>
      <c r="J84" s="34"/>
      <c r="K84" s="34"/>
      <c r="L84" s="34"/>
      <c r="M84" s="34"/>
      <c r="N84" s="34"/>
      <c r="O84" s="34"/>
      <c r="P84" s="34"/>
      <c r="Q84" s="25"/>
      <c r="R84" s="25"/>
      <c r="S84" s="25"/>
      <c r="T84" s="25"/>
      <c r="U84" s="25"/>
      <c r="V84" s="25"/>
      <c r="W84" s="25"/>
      <c r="X84" s="25"/>
      <c r="Y84" s="25"/>
      <c r="Z84" s="25"/>
    </row>
    <row r="85" spans="1:26" ht="12.75" customHeight="1" x14ac:dyDescent="0.2">
      <c r="A85" s="42" t="s">
        <v>22</v>
      </c>
      <c r="B85" s="50">
        <v>3</v>
      </c>
      <c r="C85" s="318" t="s">
        <v>185</v>
      </c>
      <c r="D85" s="319"/>
      <c r="E85" s="44"/>
      <c r="F85" s="34"/>
      <c r="G85" s="34"/>
      <c r="H85" s="35"/>
      <c r="I85" s="35"/>
      <c r="J85" s="34"/>
      <c r="K85" s="34"/>
      <c r="L85" s="34"/>
      <c r="M85" s="34"/>
      <c r="N85" s="34"/>
      <c r="O85" s="34"/>
      <c r="P85" s="34"/>
      <c r="Q85" s="25"/>
      <c r="R85" s="25"/>
      <c r="S85" s="25"/>
      <c r="T85" s="25"/>
      <c r="U85" s="25"/>
      <c r="V85" s="25"/>
      <c r="W85" s="25"/>
      <c r="X85" s="25"/>
      <c r="Y85" s="25"/>
      <c r="Z85" s="25"/>
    </row>
    <row r="86" spans="1:26" ht="12.75" customHeight="1" x14ac:dyDescent="0.2">
      <c r="A86" s="42" t="s">
        <v>22</v>
      </c>
      <c r="B86" s="48">
        <v>3</v>
      </c>
      <c r="C86" s="49" t="s">
        <v>12</v>
      </c>
      <c r="D86" s="49" t="s">
        <v>186</v>
      </c>
      <c r="E86" s="44"/>
      <c r="F86" s="34"/>
      <c r="G86" s="34"/>
      <c r="H86" s="35"/>
      <c r="I86" s="35"/>
      <c r="J86" s="34"/>
      <c r="K86" s="34"/>
      <c r="L86" s="34"/>
      <c r="M86" s="34"/>
      <c r="N86" s="34"/>
      <c r="O86" s="34"/>
      <c r="P86" s="34"/>
      <c r="Q86" s="25"/>
      <c r="R86" s="25"/>
      <c r="S86" s="25"/>
      <c r="T86" s="25"/>
      <c r="U86" s="25"/>
      <c r="V86" s="25"/>
      <c r="W86" s="25"/>
      <c r="X86" s="25"/>
      <c r="Y86" s="25"/>
      <c r="Z86" s="25"/>
    </row>
    <row r="87" spans="1:26" ht="12.75" customHeight="1" x14ac:dyDescent="0.2">
      <c r="A87" s="42" t="s">
        <v>22</v>
      </c>
      <c r="B87" s="48">
        <v>3</v>
      </c>
      <c r="C87" s="49" t="s">
        <v>16</v>
      </c>
      <c r="D87" s="49" t="s">
        <v>187</v>
      </c>
      <c r="E87" s="44"/>
      <c r="F87" s="34"/>
      <c r="G87" s="34"/>
      <c r="H87" s="35"/>
      <c r="I87" s="35"/>
      <c r="J87" s="34"/>
      <c r="K87" s="34"/>
      <c r="L87" s="34"/>
      <c r="M87" s="34"/>
      <c r="N87" s="34"/>
      <c r="O87" s="34"/>
      <c r="P87" s="34"/>
      <c r="Q87" s="25"/>
      <c r="R87" s="25"/>
      <c r="S87" s="25"/>
      <c r="T87" s="25"/>
      <c r="U87" s="25"/>
      <c r="V87" s="25"/>
      <c r="W87" s="25"/>
      <c r="X87" s="25"/>
      <c r="Y87" s="25"/>
      <c r="Z87" s="25"/>
    </row>
    <row r="88" spans="1:26" ht="12.75" customHeight="1" x14ac:dyDescent="0.2">
      <c r="A88" s="42" t="s">
        <v>22</v>
      </c>
      <c r="B88" s="48">
        <v>3</v>
      </c>
      <c r="C88" s="49" t="s">
        <v>12</v>
      </c>
      <c r="D88" s="49" t="s">
        <v>188</v>
      </c>
      <c r="E88" s="44"/>
      <c r="F88" s="34"/>
      <c r="G88" s="34"/>
      <c r="H88" s="35"/>
      <c r="I88" s="35"/>
      <c r="J88" s="34"/>
      <c r="K88" s="34"/>
      <c r="L88" s="34"/>
      <c r="M88" s="34"/>
      <c r="N88" s="34"/>
      <c r="O88" s="34"/>
      <c r="P88" s="34"/>
      <c r="Q88" s="25"/>
      <c r="R88" s="25"/>
      <c r="S88" s="25"/>
      <c r="T88" s="25"/>
      <c r="U88" s="25"/>
      <c r="V88" s="25"/>
      <c r="W88" s="25"/>
      <c r="X88" s="25"/>
      <c r="Y88" s="25"/>
      <c r="Z88" s="25"/>
    </row>
    <row r="89" spans="1:26" ht="12.75" customHeight="1" x14ac:dyDescent="0.2">
      <c r="A89" s="42" t="s">
        <v>22</v>
      </c>
      <c r="B89" s="48">
        <v>3</v>
      </c>
      <c r="C89" s="49" t="s">
        <v>16</v>
      </c>
      <c r="D89" s="49" t="s">
        <v>189</v>
      </c>
      <c r="E89" s="44"/>
      <c r="F89" s="34"/>
      <c r="G89" s="34"/>
      <c r="H89" s="35"/>
      <c r="I89" s="35"/>
      <c r="J89" s="34"/>
      <c r="K89" s="34"/>
      <c r="L89" s="34"/>
      <c r="M89" s="34"/>
      <c r="N89" s="34"/>
      <c r="O89" s="34"/>
      <c r="P89" s="34"/>
      <c r="Q89" s="25"/>
      <c r="R89" s="25"/>
      <c r="S89" s="25"/>
      <c r="T89" s="25"/>
      <c r="U89" s="25"/>
      <c r="V89" s="25"/>
      <c r="W89" s="25"/>
      <c r="X89" s="25"/>
      <c r="Y89" s="25"/>
      <c r="Z89" s="25"/>
    </row>
    <row r="90" spans="1:26" ht="12.75" customHeight="1" x14ac:dyDescent="0.2">
      <c r="A90" s="43" t="s">
        <v>190</v>
      </c>
      <c r="B90" s="320" t="s">
        <v>191</v>
      </c>
      <c r="C90" s="319"/>
      <c r="D90" s="319"/>
      <c r="E90" s="45"/>
      <c r="F90" s="30"/>
      <c r="G90" s="30"/>
      <c r="H90" s="31"/>
      <c r="I90" s="31"/>
      <c r="J90" s="30"/>
      <c r="K90" s="30"/>
      <c r="L90" s="30"/>
      <c r="M90" s="30"/>
      <c r="N90" s="30"/>
      <c r="O90" s="30"/>
      <c r="P90" s="30"/>
      <c r="Q90" s="25"/>
      <c r="R90" s="25"/>
      <c r="S90" s="25"/>
      <c r="T90" s="25"/>
      <c r="U90" s="25"/>
      <c r="V90" s="25"/>
      <c r="W90" s="25"/>
      <c r="X90" s="25"/>
      <c r="Y90" s="25"/>
      <c r="Z90" s="25"/>
    </row>
    <row r="91" spans="1:26" ht="12.75" customHeight="1" x14ac:dyDescent="0.2">
      <c r="A91" s="42" t="s">
        <v>23</v>
      </c>
      <c r="B91" s="50">
        <v>1</v>
      </c>
      <c r="C91" s="318" t="s">
        <v>192</v>
      </c>
      <c r="D91" s="319"/>
      <c r="E91" s="44"/>
      <c r="F91" s="34"/>
      <c r="G91" s="34"/>
      <c r="H91" s="35"/>
      <c r="I91" s="35"/>
      <c r="J91" s="34"/>
      <c r="K91" s="34"/>
      <c r="L91" s="34"/>
      <c r="M91" s="34"/>
      <c r="N91" s="34"/>
      <c r="O91" s="34"/>
      <c r="P91" s="34"/>
      <c r="Q91" s="25"/>
      <c r="R91" s="25"/>
      <c r="S91" s="25"/>
      <c r="T91" s="25"/>
      <c r="U91" s="25"/>
      <c r="V91" s="25"/>
      <c r="W91" s="25"/>
      <c r="X91" s="25"/>
      <c r="Y91" s="25"/>
      <c r="Z91" s="25"/>
    </row>
    <row r="92" spans="1:26" ht="12.75" customHeight="1" x14ac:dyDescent="0.2">
      <c r="A92" s="42" t="s">
        <v>23</v>
      </c>
      <c r="B92" s="48">
        <v>1</v>
      </c>
      <c r="C92" s="49" t="s">
        <v>12</v>
      </c>
      <c r="D92" s="49" t="s">
        <v>193</v>
      </c>
      <c r="E92" s="44"/>
      <c r="F92" s="34"/>
      <c r="G92" s="34"/>
      <c r="H92" s="35"/>
      <c r="I92" s="35"/>
      <c r="J92" s="34"/>
      <c r="K92" s="34"/>
      <c r="L92" s="34"/>
      <c r="M92" s="34"/>
      <c r="N92" s="34"/>
      <c r="O92" s="34"/>
      <c r="P92" s="34"/>
      <c r="Q92" s="25"/>
      <c r="R92" s="25"/>
      <c r="S92" s="25"/>
      <c r="T92" s="25"/>
      <c r="U92" s="25"/>
      <c r="V92" s="25"/>
      <c r="W92" s="25"/>
      <c r="X92" s="25"/>
      <c r="Y92" s="25"/>
      <c r="Z92" s="25"/>
    </row>
    <row r="93" spans="1:26" ht="12.75" customHeight="1" x14ac:dyDescent="0.2">
      <c r="A93" s="42" t="s">
        <v>23</v>
      </c>
      <c r="B93" s="50">
        <v>2</v>
      </c>
      <c r="C93" s="318" t="s">
        <v>381</v>
      </c>
      <c r="D93" s="319"/>
      <c r="E93" s="44"/>
      <c r="F93" s="34"/>
      <c r="G93" s="34"/>
      <c r="H93" s="35"/>
      <c r="I93" s="35"/>
      <c r="J93" s="34"/>
      <c r="K93" s="34"/>
      <c r="L93" s="34"/>
      <c r="M93" s="34"/>
      <c r="N93" s="34"/>
      <c r="O93" s="34"/>
      <c r="P93" s="34"/>
      <c r="Q93" s="25"/>
      <c r="R93" s="25"/>
      <c r="S93" s="25"/>
      <c r="T93" s="25"/>
      <c r="U93" s="25"/>
      <c r="V93" s="25"/>
      <c r="W93" s="25"/>
      <c r="X93" s="25"/>
      <c r="Y93" s="25"/>
      <c r="Z93" s="25"/>
    </row>
    <row r="94" spans="1:26" ht="12.75" customHeight="1" x14ac:dyDescent="0.2">
      <c r="A94" s="42" t="s">
        <v>23</v>
      </c>
      <c r="B94" s="48">
        <v>2</v>
      </c>
      <c r="C94" s="49" t="s">
        <v>12</v>
      </c>
      <c r="D94" s="49" t="s">
        <v>194</v>
      </c>
      <c r="E94" s="44"/>
      <c r="F94" s="34"/>
      <c r="G94" s="34"/>
      <c r="H94" s="35"/>
      <c r="I94" s="35"/>
      <c r="J94" s="34"/>
      <c r="K94" s="34"/>
      <c r="L94" s="34"/>
      <c r="M94" s="34"/>
      <c r="N94" s="34"/>
      <c r="O94" s="34"/>
      <c r="P94" s="34"/>
      <c r="Q94" s="25"/>
      <c r="R94" s="25"/>
      <c r="S94" s="25"/>
      <c r="T94" s="25"/>
      <c r="U94" s="25"/>
      <c r="V94" s="25"/>
      <c r="W94" s="25"/>
      <c r="X94" s="25"/>
      <c r="Y94" s="25"/>
      <c r="Z94" s="25"/>
    </row>
    <row r="95" spans="1:26" ht="12.75" customHeight="1" x14ac:dyDescent="0.2">
      <c r="A95" s="42" t="s">
        <v>23</v>
      </c>
      <c r="B95" s="48">
        <v>2</v>
      </c>
      <c r="C95" s="49" t="s">
        <v>16</v>
      </c>
      <c r="D95" s="49" t="s">
        <v>195</v>
      </c>
      <c r="E95" s="44"/>
      <c r="F95" s="34"/>
      <c r="G95" s="34"/>
      <c r="H95" s="35"/>
      <c r="I95" s="35"/>
      <c r="J95" s="34"/>
      <c r="K95" s="34"/>
      <c r="L95" s="34"/>
      <c r="M95" s="34"/>
      <c r="N95" s="34"/>
      <c r="O95" s="34"/>
      <c r="P95" s="34"/>
      <c r="Q95" s="25"/>
      <c r="R95" s="25"/>
      <c r="S95" s="25"/>
      <c r="T95" s="25"/>
      <c r="U95" s="25"/>
      <c r="V95" s="25"/>
      <c r="W95" s="25"/>
      <c r="X95" s="25"/>
      <c r="Y95" s="25"/>
      <c r="Z95" s="25"/>
    </row>
    <row r="96" spans="1:26" ht="12.75" customHeight="1" x14ac:dyDescent="0.2">
      <c r="A96" s="42" t="s">
        <v>23</v>
      </c>
      <c r="B96" s="48">
        <v>2</v>
      </c>
      <c r="C96" s="49" t="s">
        <v>19</v>
      </c>
      <c r="D96" s="49" t="s">
        <v>196</v>
      </c>
      <c r="E96" s="44"/>
      <c r="F96" s="34"/>
      <c r="G96" s="34"/>
      <c r="H96" s="35"/>
      <c r="I96" s="35"/>
      <c r="J96" s="34"/>
      <c r="K96" s="34"/>
      <c r="L96" s="34"/>
      <c r="M96" s="34"/>
      <c r="N96" s="34"/>
      <c r="O96" s="34"/>
      <c r="P96" s="34"/>
      <c r="Q96" s="25"/>
      <c r="R96" s="25"/>
      <c r="S96" s="25"/>
      <c r="T96" s="25"/>
      <c r="U96" s="25"/>
      <c r="V96" s="25"/>
      <c r="W96" s="25"/>
      <c r="X96" s="25"/>
      <c r="Y96" s="25"/>
      <c r="Z96" s="25"/>
    </row>
    <row r="97" spans="1:26" ht="12.75" customHeight="1" x14ac:dyDescent="0.2">
      <c r="A97" s="42" t="s">
        <v>23</v>
      </c>
      <c r="B97" s="50">
        <v>3</v>
      </c>
      <c r="C97" s="318" t="s">
        <v>197</v>
      </c>
      <c r="D97" s="319"/>
      <c r="E97" s="44"/>
      <c r="F97" s="34"/>
      <c r="G97" s="34"/>
      <c r="H97" s="35"/>
      <c r="I97" s="35"/>
      <c r="J97" s="34"/>
      <c r="K97" s="34"/>
      <c r="L97" s="34"/>
      <c r="M97" s="34"/>
      <c r="N97" s="34"/>
      <c r="O97" s="34"/>
      <c r="P97" s="34"/>
      <c r="Q97" s="25"/>
      <c r="R97" s="25"/>
      <c r="S97" s="25"/>
      <c r="T97" s="25"/>
      <c r="U97" s="25"/>
      <c r="V97" s="25"/>
      <c r="W97" s="25"/>
      <c r="X97" s="25"/>
      <c r="Y97" s="25"/>
      <c r="Z97" s="25"/>
    </row>
    <row r="98" spans="1:26" ht="12.75" customHeight="1" x14ac:dyDescent="0.2">
      <c r="A98" s="42" t="s">
        <v>23</v>
      </c>
      <c r="B98" s="48">
        <v>3</v>
      </c>
      <c r="C98" s="49" t="s">
        <v>12</v>
      </c>
      <c r="D98" s="49" t="s">
        <v>198</v>
      </c>
      <c r="E98" s="44"/>
      <c r="F98" s="34"/>
      <c r="G98" s="34"/>
      <c r="H98" s="35"/>
      <c r="I98" s="35"/>
      <c r="J98" s="34"/>
      <c r="K98" s="34"/>
      <c r="L98" s="34"/>
      <c r="M98" s="34"/>
      <c r="N98" s="34"/>
      <c r="O98" s="34"/>
      <c r="P98" s="34"/>
      <c r="Q98" s="25"/>
      <c r="R98" s="25"/>
      <c r="S98" s="25"/>
      <c r="T98" s="25"/>
      <c r="U98" s="25"/>
      <c r="V98" s="25"/>
      <c r="W98" s="25"/>
      <c r="X98" s="25"/>
      <c r="Y98" s="25"/>
      <c r="Z98" s="25"/>
    </row>
    <row r="99" spans="1:26" ht="12.75" customHeight="1" x14ac:dyDescent="0.2">
      <c r="A99" s="42" t="s">
        <v>23</v>
      </c>
      <c r="B99" s="50">
        <v>4</v>
      </c>
      <c r="C99" s="318" t="s">
        <v>199</v>
      </c>
      <c r="D99" s="319"/>
      <c r="E99" s="44"/>
      <c r="F99" s="34"/>
      <c r="G99" s="34"/>
      <c r="H99" s="35"/>
      <c r="I99" s="35"/>
      <c r="J99" s="34"/>
      <c r="K99" s="34"/>
      <c r="L99" s="34"/>
      <c r="M99" s="34"/>
      <c r="N99" s="34"/>
      <c r="O99" s="34"/>
      <c r="P99" s="34"/>
      <c r="Q99" s="25"/>
      <c r="R99" s="25"/>
      <c r="S99" s="25"/>
      <c r="T99" s="25"/>
      <c r="U99" s="25"/>
      <c r="V99" s="25"/>
      <c r="W99" s="25"/>
      <c r="X99" s="25"/>
      <c r="Y99" s="25"/>
      <c r="Z99" s="25"/>
    </row>
    <row r="100" spans="1:26" ht="12.75" customHeight="1" x14ac:dyDescent="0.2">
      <c r="A100" s="42" t="s">
        <v>23</v>
      </c>
      <c r="B100" s="48">
        <v>4</v>
      </c>
      <c r="C100" s="49" t="s">
        <v>12</v>
      </c>
      <c r="D100" s="49" t="s">
        <v>200</v>
      </c>
      <c r="E100" s="44"/>
      <c r="F100" s="34"/>
      <c r="G100" s="34"/>
      <c r="H100" s="35"/>
      <c r="I100" s="35"/>
      <c r="J100" s="34"/>
      <c r="K100" s="34"/>
      <c r="L100" s="34"/>
      <c r="M100" s="34"/>
      <c r="N100" s="34"/>
      <c r="O100" s="34"/>
      <c r="P100" s="34"/>
      <c r="Q100" s="25"/>
      <c r="R100" s="25"/>
      <c r="S100" s="25"/>
      <c r="T100" s="25"/>
      <c r="U100" s="25"/>
      <c r="V100" s="25"/>
      <c r="W100" s="25"/>
      <c r="X100" s="25"/>
      <c r="Y100" s="25"/>
      <c r="Z100" s="25"/>
    </row>
    <row r="101" spans="1:26" ht="12.75" customHeight="1" x14ac:dyDescent="0.2">
      <c r="A101" s="42" t="s">
        <v>23</v>
      </c>
      <c r="B101" s="50">
        <v>5</v>
      </c>
      <c r="C101" s="318" t="s">
        <v>201</v>
      </c>
      <c r="D101" s="319"/>
      <c r="E101" s="44"/>
      <c r="F101" s="34"/>
      <c r="G101" s="34"/>
      <c r="H101" s="35"/>
      <c r="I101" s="35"/>
      <c r="J101" s="34"/>
      <c r="K101" s="34"/>
      <c r="L101" s="34"/>
      <c r="M101" s="34"/>
      <c r="N101" s="34"/>
      <c r="O101" s="34"/>
      <c r="P101" s="34"/>
      <c r="Q101" s="25"/>
      <c r="R101" s="25"/>
      <c r="S101" s="25"/>
      <c r="T101" s="25"/>
      <c r="U101" s="25"/>
      <c r="V101" s="25"/>
      <c r="W101" s="25"/>
      <c r="X101" s="25"/>
      <c r="Y101" s="25"/>
      <c r="Z101" s="25"/>
    </row>
    <row r="102" spans="1:26" ht="12.75" customHeight="1" x14ac:dyDescent="0.2">
      <c r="A102" s="42" t="s">
        <v>23</v>
      </c>
      <c r="B102" s="48">
        <v>5</v>
      </c>
      <c r="C102" s="49" t="s">
        <v>12</v>
      </c>
      <c r="D102" s="49" t="s">
        <v>202</v>
      </c>
      <c r="E102" s="44"/>
      <c r="F102" s="34"/>
      <c r="G102" s="34"/>
      <c r="H102" s="35"/>
      <c r="I102" s="35"/>
      <c r="J102" s="34"/>
      <c r="K102" s="34"/>
      <c r="L102" s="34"/>
      <c r="M102" s="34"/>
      <c r="N102" s="34"/>
      <c r="O102" s="34"/>
      <c r="P102" s="34"/>
      <c r="Q102" s="25"/>
      <c r="R102" s="25"/>
      <c r="S102" s="25"/>
      <c r="T102" s="25"/>
      <c r="U102" s="25"/>
      <c r="V102" s="25"/>
      <c r="W102" s="25"/>
      <c r="X102" s="25"/>
      <c r="Y102" s="25"/>
      <c r="Z102" s="25"/>
    </row>
    <row r="103" spans="1:26" ht="12.75" customHeight="1" x14ac:dyDescent="0.2">
      <c r="A103" s="42" t="s">
        <v>23</v>
      </c>
      <c r="B103" s="48">
        <v>5</v>
      </c>
      <c r="C103" s="49" t="s">
        <v>16</v>
      </c>
      <c r="D103" s="49" t="s">
        <v>203</v>
      </c>
      <c r="E103" s="44"/>
      <c r="F103" s="34"/>
      <c r="G103" s="34"/>
      <c r="H103" s="35"/>
      <c r="I103" s="35"/>
      <c r="J103" s="34"/>
      <c r="K103" s="34"/>
      <c r="L103" s="34"/>
      <c r="M103" s="34"/>
      <c r="N103" s="34"/>
      <c r="O103" s="34"/>
      <c r="P103" s="34"/>
      <c r="Q103" s="25"/>
      <c r="R103" s="25"/>
      <c r="S103" s="25"/>
      <c r="T103" s="25"/>
      <c r="U103" s="25"/>
      <c r="V103" s="25"/>
      <c r="W103" s="25"/>
      <c r="X103" s="25"/>
      <c r="Y103" s="25"/>
      <c r="Z103" s="25"/>
    </row>
    <row r="104" spans="1:26" ht="12.75" customHeight="1" x14ac:dyDescent="0.2">
      <c r="A104" s="42" t="s">
        <v>23</v>
      </c>
      <c r="B104" s="48">
        <v>5</v>
      </c>
      <c r="C104" s="49" t="s">
        <v>19</v>
      </c>
      <c r="D104" s="49" t="s">
        <v>204</v>
      </c>
      <c r="E104" s="44"/>
      <c r="F104" s="34"/>
      <c r="G104" s="34"/>
      <c r="H104" s="35"/>
      <c r="I104" s="35"/>
      <c r="J104" s="34"/>
      <c r="K104" s="34"/>
      <c r="L104" s="34"/>
      <c r="M104" s="34"/>
      <c r="N104" s="34"/>
      <c r="O104" s="34"/>
      <c r="P104" s="34"/>
      <c r="Q104" s="25"/>
      <c r="R104" s="25"/>
      <c r="S104" s="25"/>
      <c r="T104" s="25"/>
      <c r="U104" s="25"/>
      <c r="V104" s="25"/>
      <c r="W104" s="25"/>
      <c r="X104" s="25"/>
      <c r="Y104" s="25"/>
      <c r="Z104" s="25"/>
    </row>
    <row r="105" spans="1:26" ht="12.75" customHeight="1" x14ac:dyDescent="0.2">
      <c r="A105" s="43" t="s">
        <v>205</v>
      </c>
      <c r="B105" s="320" t="s">
        <v>206</v>
      </c>
      <c r="C105" s="319"/>
      <c r="D105" s="319"/>
      <c r="E105" s="45"/>
      <c r="F105" s="30"/>
      <c r="G105" s="30"/>
      <c r="H105" s="31"/>
      <c r="I105" s="31"/>
      <c r="J105" s="30"/>
      <c r="K105" s="30"/>
      <c r="L105" s="30"/>
      <c r="M105" s="30"/>
      <c r="N105" s="30"/>
      <c r="O105" s="30"/>
      <c r="P105" s="30"/>
      <c r="Q105" s="25"/>
      <c r="R105" s="25"/>
      <c r="S105" s="25"/>
      <c r="T105" s="25"/>
      <c r="U105" s="25"/>
      <c r="V105" s="25"/>
      <c r="W105" s="25"/>
      <c r="X105" s="25"/>
      <c r="Y105" s="25"/>
      <c r="Z105" s="25"/>
    </row>
    <row r="106" spans="1:26" ht="12.75" customHeight="1" x14ac:dyDescent="0.2">
      <c r="A106" s="42" t="s">
        <v>25</v>
      </c>
      <c r="B106" s="50">
        <v>1</v>
      </c>
      <c r="C106" s="318" t="s">
        <v>207</v>
      </c>
      <c r="D106" s="319"/>
      <c r="E106" s="44"/>
      <c r="F106" s="34"/>
      <c r="G106" s="34"/>
      <c r="H106" s="35"/>
      <c r="I106" s="35"/>
      <c r="J106" s="34"/>
      <c r="K106" s="34"/>
      <c r="L106" s="34"/>
      <c r="M106" s="34"/>
      <c r="N106" s="34"/>
      <c r="O106" s="34"/>
      <c r="P106" s="34"/>
      <c r="Q106" s="25"/>
      <c r="R106" s="25"/>
      <c r="S106" s="25"/>
      <c r="T106" s="25"/>
      <c r="U106" s="25"/>
      <c r="V106" s="25"/>
      <c r="W106" s="25"/>
      <c r="X106" s="25"/>
      <c r="Y106" s="25"/>
      <c r="Z106" s="25"/>
    </row>
    <row r="107" spans="1:26" ht="12.75" customHeight="1" x14ac:dyDescent="0.2">
      <c r="A107" s="42" t="s">
        <v>25</v>
      </c>
      <c r="B107" s="48">
        <v>1</v>
      </c>
      <c r="C107" s="49" t="s">
        <v>12</v>
      </c>
      <c r="D107" s="49" t="s">
        <v>208</v>
      </c>
      <c r="E107" s="44"/>
      <c r="F107" s="34"/>
      <c r="G107" s="34"/>
      <c r="H107" s="35"/>
      <c r="I107" s="35"/>
      <c r="J107" s="34"/>
      <c r="K107" s="34"/>
      <c r="L107" s="34"/>
      <c r="M107" s="34"/>
      <c r="N107" s="34"/>
      <c r="O107" s="34"/>
      <c r="P107" s="34"/>
      <c r="Q107" s="25"/>
      <c r="R107" s="25"/>
      <c r="S107" s="25"/>
      <c r="T107" s="25"/>
      <c r="U107" s="25"/>
      <c r="V107" s="25"/>
      <c r="W107" s="25"/>
      <c r="X107" s="25"/>
      <c r="Y107" s="25"/>
      <c r="Z107" s="25"/>
    </row>
    <row r="108" spans="1:26" ht="12.75" customHeight="1" x14ac:dyDescent="0.2">
      <c r="A108" s="42" t="s">
        <v>25</v>
      </c>
      <c r="B108" s="48">
        <v>1</v>
      </c>
      <c r="C108" s="49" t="s">
        <v>16</v>
      </c>
      <c r="D108" s="49" t="s">
        <v>209</v>
      </c>
      <c r="E108" s="44"/>
      <c r="F108" s="34"/>
      <c r="G108" s="34"/>
      <c r="H108" s="35"/>
      <c r="I108" s="35"/>
      <c r="J108" s="34"/>
      <c r="K108" s="34"/>
      <c r="L108" s="34"/>
      <c r="M108" s="34"/>
      <c r="N108" s="34"/>
      <c r="O108" s="34"/>
      <c r="P108" s="34"/>
      <c r="Q108" s="25"/>
      <c r="R108" s="25"/>
      <c r="S108" s="25"/>
      <c r="T108" s="25"/>
      <c r="U108" s="25"/>
      <c r="V108" s="25"/>
      <c r="W108" s="25"/>
      <c r="X108" s="25"/>
      <c r="Y108" s="25"/>
      <c r="Z108" s="25"/>
    </row>
    <row r="109" spans="1:26" ht="12.75" customHeight="1" x14ac:dyDescent="0.2">
      <c r="A109" s="42" t="s">
        <v>25</v>
      </c>
      <c r="B109" s="48">
        <v>1</v>
      </c>
      <c r="C109" s="49" t="s">
        <v>19</v>
      </c>
      <c r="D109" s="49" t="s">
        <v>210</v>
      </c>
      <c r="E109" s="44"/>
      <c r="F109" s="34"/>
      <c r="G109" s="34"/>
      <c r="H109" s="35"/>
      <c r="I109" s="35"/>
      <c r="J109" s="34"/>
      <c r="K109" s="34"/>
      <c r="L109" s="34"/>
      <c r="M109" s="34"/>
      <c r="N109" s="34"/>
      <c r="O109" s="34"/>
      <c r="P109" s="34"/>
      <c r="Q109" s="25"/>
      <c r="R109" s="25"/>
      <c r="S109" s="25"/>
      <c r="T109" s="25"/>
      <c r="U109" s="25"/>
      <c r="V109" s="25"/>
      <c r="W109" s="25"/>
      <c r="X109" s="25"/>
      <c r="Y109" s="25"/>
      <c r="Z109" s="25"/>
    </row>
    <row r="110" spans="1:26" ht="12.75" customHeight="1" x14ac:dyDescent="0.2">
      <c r="A110" s="42" t="s">
        <v>25</v>
      </c>
      <c r="B110" s="48">
        <v>1</v>
      </c>
      <c r="C110" s="49" t="s">
        <v>22</v>
      </c>
      <c r="D110" s="49" t="s">
        <v>211</v>
      </c>
      <c r="E110" s="44"/>
      <c r="F110" s="34"/>
      <c r="G110" s="34"/>
      <c r="H110" s="35"/>
      <c r="I110" s="35"/>
      <c r="J110" s="34"/>
      <c r="K110" s="34"/>
      <c r="L110" s="34"/>
      <c r="M110" s="34"/>
      <c r="N110" s="34"/>
      <c r="O110" s="34"/>
      <c r="P110" s="34"/>
      <c r="Q110" s="25"/>
      <c r="R110" s="25"/>
      <c r="S110" s="25"/>
      <c r="T110" s="25"/>
      <c r="U110" s="25"/>
      <c r="V110" s="25"/>
      <c r="W110" s="25"/>
      <c r="X110" s="25"/>
      <c r="Y110" s="25"/>
      <c r="Z110" s="25"/>
    </row>
    <row r="111" spans="1:26" ht="12.75" customHeight="1" x14ac:dyDescent="0.2">
      <c r="A111" s="42" t="s">
        <v>25</v>
      </c>
      <c r="B111" s="48">
        <v>1</v>
      </c>
      <c r="C111" s="49" t="s">
        <v>23</v>
      </c>
      <c r="D111" s="49" t="s">
        <v>212</v>
      </c>
      <c r="E111" s="44"/>
      <c r="F111" s="34"/>
      <c r="G111" s="34"/>
      <c r="H111" s="35"/>
      <c r="I111" s="35"/>
      <c r="J111" s="34"/>
      <c r="K111" s="34"/>
      <c r="L111" s="34"/>
      <c r="M111" s="34"/>
      <c r="N111" s="34"/>
      <c r="O111" s="34"/>
      <c r="P111" s="34"/>
      <c r="Q111" s="25"/>
      <c r="R111" s="25"/>
      <c r="S111" s="25"/>
      <c r="T111" s="25"/>
      <c r="U111" s="25"/>
      <c r="V111" s="25"/>
      <c r="W111" s="25"/>
      <c r="X111" s="25"/>
      <c r="Y111" s="25"/>
      <c r="Z111" s="25"/>
    </row>
    <row r="112" spans="1:26" ht="12.75" customHeight="1" x14ac:dyDescent="0.2">
      <c r="A112" s="42" t="s">
        <v>25</v>
      </c>
      <c r="B112" s="48">
        <v>1</v>
      </c>
      <c r="C112" s="49" t="s">
        <v>25</v>
      </c>
      <c r="D112" s="49" t="s">
        <v>213</v>
      </c>
      <c r="E112" s="44"/>
      <c r="F112" s="34"/>
      <c r="G112" s="34"/>
      <c r="H112" s="35"/>
      <c r="I112" s="35"/>
      <c r="J112" s="34"/>
      <c r="K112" s="34"/>
      <c r="L112" s="34"/>
      <c r="M112" s="34"/>
      <c r="N112" s="34"/>
      <c r="O112" s="34"/>
      <c r="P112" s="34"/>
      <c r="Q112" s="25"/>
      <c r="R112" s="25"/>
      <c r="S112" s="25"/>
      <c r="T112" s="25"/>
      <c r="U112" s="25"/>
      <c r="V112" s="25"/>
      <c r="W112" s="25"/>
      <c r="X112" s="25"/>
      <c r="Y112" s="25"/>
      <c r="Z112" s="25"/>
    </row>
    <row r="113" spans="1:26" ht="12.75" customHeight="1" x14ac:dyDescent="0.2">
      <c r="A113" s="42" t="s">
        <v>25</v>
      </c>
      <c r="B113" s="50">
        <v>2</v>
      </c>
      <c r="C113" s="318" t="s">
        <v>214</v>
      </c>
      <c r="D113" s="319"/>
      <c r="E113" s="44"/>
      <c r="F113" s="34"/>
      <c r="G113" s="34"/>
      <c r="H113" s="35"/>
      <c r="I113" s="35"/>
      <c r="J113" s="34"/>
      <c r="K113" s="34"/>
      <c r="L113" s="34"/>
      <c r="M113" s="34"/>
      <c r="N113" s="34"/>
      <c r="O113" s="34"/>
      <c r="P113" s="34"/>
      <c r="Q113" s="25"/>
      <c r="R113" s="25"/>
      <c r="S113" s="25"/>
      <c r="T113" s="25"/>
      <c r="U113" s="25"/>
      <c r="V113" s="25"/>
      <c r="W113" s="25"/>
      <c r="X113" s="25"/>
      <c r="Y113" s="25"/>
      <c r="Z113" s="25"/>
    </row>
    <row r="114" spans="1:26" ht="12.75" customHeight="1" x14ac:dyDescent="0.2">
      <c r="A114" s="42" t="s">
        <v>25</v>
      </c>
      <c r="B114" s="48">
        <v>2</v>
      </c>
      <c r="C114" s="49" t="s">
        <v>12</v>
      </c>
      <c r="D114" s="49" t="s">
        <v>215</v>
      </c>
      <c r="E114" s="44"/>
      <c r="F114" s="34"/>
      <c r="G114" s="34"/>
      <c r="H114" s="35"/>
      <c r="I114" s="35"/>
      <c r="J114" s="34"/>
      <c r="K114" s="34"/>
      <c r="L114" s="34"/>
      <c r="M114" s="34"/>
      <c r="N114" s="34"/>
      <c r="O114" s="34"/>
      <c r="P114" s="34"/>
      <c r="Q114" s="25"/>
      <c r="R114" s="25"/>
      <c r="S114" s="25"/>
      <c r="T114" s="25"/>
      <c r="U114" s="25"/>
      <c r="V114" s="25"/>
      <c r="W114" s="25"/>
      <c r="X114" s="25"/>
      <c r="Y114" s="25"/>
      <c r="Z114" s="25"/>
    </row>
    <row r="115" spans="1:26" ht="12.75" customHeight="1" x14ac:dyDescent="0.2">
      <c r="A115" s="42" t="s">
        <v>25</v>
      </c>
      <c r="B115" s="48">
        <v>2</v>
      </c>
      <c r="C115" s="49" t="s">
        <v>16</v>
      </c>
      <c r="D115" s="49" t="s">
        <v>216</v>
      </c>
      <c r="E115" s="44"/>
      <c r="F115" s="34"/>
      <c r="G115" s="34"/>
      <c r="H115" s="35"/>
      <c r="I115" s="35"/>
      <c r="J115" s="34"/>
      <c r="K115" s="34"/>
      <c r="L115" s="34"/>
      <c r="M115" s="34"/>
      <c r="N115" s="34"/>
      <c r="O115" s="34"/>
      <c r="P115" s="34"/>
      <c r="Q115" s="25"/>
      <c r="R115" s="25"/>
      <c r="S115" s="25"/>
      <c r="T115" s="25"/>
      <c r="U115" s="25"/>
      <c r="V115" s="25"/>
      <c r="W115" s="25"/>
      <c r="X115" s="25"/>
      <c r="Y115" s="25"/>
      <c r="Z115" s="25"/>
    </row>
    <row r="116" spans="1:26" ht="12.75" customHeight="1" x14ac:dyDescent="0.2">
      <c r="A116" s="42" t="s">
        <v>25</v>
      </c>
      <c r="B116" s="48">
        <v>2</v>
      </c>
      <c r="C116" s="49" t="s">
        <v>19</v>
      </c>
      <c r="D116" s="49" t="s">
        <v>217</v>
      </c>
      <c r="E116" s="44"/>
      <c r="F116" s="34"/>
      <c r="G116" s="34"/>
      <c r="H116" s="35"/>
      <c r="I116" s="35"/>
      <c r="J116" s="34"/>
      <c r="K116" s="34"/>
      <c r="L116" s="34"/>
      <c r="M116" s="34"/>
      <c r="N116" s="34"/>
      <c r="O116" s="34"/>
      <c r="P116" s="34"/>
      <c r="Q116" s="25"/>
      <c r="R116" s="25"/>
      <c r="S116" s="25"/>
      <c r="T116" s="25"/>
      <c r="U116" s="25"/>
      <c r="V116" s="25"/>
      <c r="W116" s="25"/>
      <c r="X116" s="25"/>
      <c r="Y116" s="25"/>
      <c r="Z116" s="25"/>
    </row>
    <row r="117" spans="1:26" ht="12.75" customHeight="1" x14ac:dyDescent="0.2">
      <c r="A117" s="42" t="s">
        <v>25</v>
      </c>
      <c r="B117" s="48">
        <v>2</v>
      </c>
      <c r="C117" s="49" t="s">
        <v>22</v>
      </c>
      <c r="D117" s="49" t="s">
        <v>218</v>
      </c>
      <c r="E117" s="44"/>
      <c r="F117" s="34"/>
      <c r="G117" s="34"/>
      <c r="H117" s="35"/>
      <c r="I117" s="35"/>
      <c r="J117" s="34"/>
      <c r="K117" s="34"/>
      <c r="L117" s="34"/>
      <c r="M117" s="34"/>
      <c r="N117" s="34"/>
      <c r="O117" s="34"/>
      <c r="P117" s="34"/>
      <c r="Q117" s="25"/>
      <c r="R117" s="25"/>
      <c r="S117" s="25"/>
      <c r="T117" s="25"/>
      <c r="U117" s="25"/>
      <c r="V117" s="25"/>
      <c r="W117" s="25"/>
      <c r="X117" s="25"/>
      <c r="Y117" s="25"/>
      <c r="Z117" s="25"/>
    </row>
    <row r="118" spans="1:26" ht="12.75" customHeight="1" x14ac:dyDescent="0.2">
      <c r="A118" s="42" t="s">
        <v>25</v>
      </c>
      <c r="B118" s="48">
        <v>2</v>
      </c>
      <c r="C118" s="49" t="s">
        <v>23</v>
      </c>
      <c r="D118" s="49" t="s">
        <v>219</v>
      </c>
      <c r="E118" s="44"/>
      <c r="F118" s="34"/>
      <c r="G118" s="34"/>
      <c r="H118" s="35"/>
      <c r="I118" s="35"/>
      <c r="J118" s="34"/>
      <c r="K118" s="34"/>
      <c r="L118" s="34"/>
      <c r="M118" s="34"/>
      <c r="N118" s="34"/>
      <c r="O118" s="34"/>
      <c r="P118" s="34"/>
      <c r="Q118" s="25"/>
      <c r="R118" s="25"/>
      <c r="S118" s="25"/>
      <c r="T118" s="25"/>
      <c r="U118" s="25"/>
      <c r="V118" s="25"/>
      <c r="W118" s="25"/>
      <c r="X118" s="25"/>
      <c r="Y118" s="25"/>
      <c r="Z118" s="25"/>
    </row>
    <row r="119" spans="1:26" ht="12.75" customHeight="1" x14ac:dyDescent="0.2">
      <c r="A119" s="42" t="s">
        <v>25</v>
      </c>
      <c r="B119" s="48">
        <v>2</v>
      </c>
      <c r="C119" s="49" t="s">
        <v>25</v>
      </c>
      <c r="D119" s="49" t="s">
        <v>220</v>
      </c>
      <c r="E119" s="44"/>
      <c r="F119" s="34"/>
      <c r="G119" s="34"/>
      <c r="H119" s="35"/>
      <c r="I119" s="35"/>
      <c r="J119" s="34"/>
      <c r="K119" s="34"/>
      <c r="L119" s="34"/>
      <c r="M119" s="34"/>
      <c r="N119" s="34"/>
      <c r="O119" s="34"/>
      <c r="P119" s="34"/>
      <c r="Q119" s="25"/>
      <c r="R119" s="25"/>
      <c r="S119" s="25"/>
      <c r="T119" s="25"/>
      <c r="U119" s="25"/>
      <c r="V119" s="25"/>
      <c r="W119" s="25"/>
      <c r="X119" s="25"/>
      <c r="Y119" s="25"/>
      <c r="Z119" s="25"/>
    </row>
    <row r="120" spans="1:26" ht="12.75" customHeight="1" x14ac:dyDescent="0.2">
      <c r="A120" s="42" t="s">
        <v>25</v>
      </c>
      <c r="B120" s="50">
        <v>3</v>
      </c>
      <c r="C120" s="318" t="s">
        <v>221</v>
      </c>
      <c r="D120" s="319"/>
      <c r="E120" s="44"/>
      <c r="F120" s="34"/>
      <c r="G120" s="34"/>
      <c r="H120" s="35"/>
      <c r="I120" s="35"/>
      <c r="J120" s="34"/>
      <c r="K120" s="34"/>
      <c r="L120" s="34"/>
      <c r="M120" s="34"/>
      <c r="N120" s="34"/>
      <c r="O120" s="34"/>
      <c r="P120" s="34"/>
      <c r="Q120" s="25"/>
      <c r="R120" s="25"/>
      <c r="S120" s="25"/>
      <c r="T120" s="25"/>
      <c r="U120" s="25"/>
      <c r="V120" s="25"/>
      <c r="W120" s="25"/>
      <c r="X120" s="25"/>
      <c r="Y120" s="25"/>
      <c r="Z120" s="25"/>
    </row>
    <row r="121" spans="1:26" ht="12.75" customHeight="1" x14ac:dyDescent="0.2">
      <c r="A121" s="42" t="s">
        <v>25</v>
      </c>
      <c r="B121" s="48">
        <v>3</v>
      </c>
      <c r="C121" s="49" t="s">
        <v>12</v>
      </c>
      <c r="D121" s="49" t="s">
        <v>222</v>
      </c>
      <c r="E121" s="44"/>
      <c r="F121" s="34"/>
      <c r="G121" s="34"/>
      <c r="H121" s="35"/>
      <c r="I121" s="35"/>
      <c r="J121" s="34"/>
      <c r="K121" s="34"/>
      <c r="L121" s="34"/>
      <c r="M121" s="34"/>
      <c r="N121" s="34"/>
      <c r="O121" s="34"/>
      <c r="P121" s="34"/>
      <c r="Q121" s="25"/>
      <c r="R121" s="25"/>
      <c r="S121" s="25"/>
      <c r="T121" s="25"/>
      <c r="U121" s="25"/>
      <c r="V121" s="25"/>
      <c r="W121" s="25"/>
      <c r="X121" s="25"/>
      <c r="Y121" s="25"/>
      <c r="Z121" s="25"/>
    </row>
    <row r="122" spans="1:26" ht="12.75" customHeight="1" x14ac:dyDescent="0.2">
      <c r="A122" s="42" t="s">
        <v>25</v>
      </c>
      <c r="B122" s="48">
        <v>3</v>
      </c>
      <c r="C122" s="49" t="s">
        <v>16</v>
      </c>
      <c r="D122" s="49" t="s">
        <v>223</v>
      </c>
      <c r="E122" s="44"/>
      <c r="F122" s="34"/>
      <c r="G122" s="34"/>
      <c r="H122" s="35"/>
      <c r="I122" s="35"/>
      <c r="J122" s="34"/>
      <c r="K122" s="34"/>
      <c r="L122" s="34"/>
      <c r="M122" s="34"/>
      <c r="N122" s="34"/>
      <c r="O122" s="34"/>
      <c r="P122" s="34"/>
      <c r="Q122" s="25"/>
      <c r="R122" s="25"/>
      <c r="S122" s="25"/>
      <c r="T122" s="25"/>
      <c r="U122" s="25"/>
      <c r="V122" s="25"/>
      <c r="W122" s="25"/>
      <c r="X122" s="25"/>
      <c r="Y122" s="25"/>
      <c r="Z122" s="25"/>
    </row>
    <row r="123" spans="1:26" ht="12.75" customHeight="1" x14ac:dyDescent="0.2">
      <c r="A123" s="42" t="s">
        <v>25</v>
      </c>
      <c r="B123" s="48">
        <v>3</v>
      </c>
      <c r="C123" s="49" t="s">
        <v>19</v>
      </c>
      <c r="D123" s="49" t="s">
        <v>224</v>
      </c>
      <c r="E123" s="44"/>
      <c r="F123" s="34"/>
      <c r="G123" s="34"/>
      <c r="H123" s="35"/>
      <c r="I123" s="35"/>
      <c r="J123" s="34"/>
      <c r="K123" s="34"/>
      <c r="L123" s="34"/>
      <c r="M123" s="34"/>
      <c r="N123" s="34"/>
      <c r="O123" s="34"/>
      <c r="P123" s="34"/>
      <c r="Q123" s="25"/>
      <c r="R123" s="25"/>
      <c r="S123" s="25"/>
      <c r="T123" s="25"/>
      <c r="U123" s="25"/>
      <c r="V123" s="25"/>
      <c r="W123" s="25"/>
      <c r="X123" s="25"/>
      <c r="Y123" s="25"/>
      <c r="Z123" s="25"/>
    </row>
    <row r="124" spans="1:26" ht="12.75" customHeight="1" x14ac:dyDescent="0.2">
      <c r="A124" s="42" t="s">
        <v>25</v>
      </c>
      <c r="B124" s="48">
        <v>3</v>
      </c>
      <c r="C124" s="49" t="s">
        <v>22</v>
      </c>
      <c r="D124" s="49" t="s">
        <v>225</v>
      </c>
      <c r="E124" s="44"/>
      <c r="F124" s="34"/>
      <c r="G124" s="34"/>
      <c r="H124" s="35"/>
      <c r="I124" s="35"/>
      <c r="J124" s="34"/>
      <c r="K124" s="34"/>
      <c r="L124" s="34"/>
      <c r="M124" s="34"/>
      <c r="N124" s="34"/>
      <c r="O124" s="34"/>
      <c r="P124" s="34"/>
      <c r="Q124" s="25"/>
      <c r="R124" s="25"/>
      <c r="S124" s="25"/>
      <c r="T124" s="25"/>
      <c r="U124" s="25"/>
      <c r="V124" s="25"/>
      <c r="W124" s="25"/>
      <c r="X124" s="25"/>
      <c r="Y124" s="25"/>
      <c r="Z124" s="25"/>
    </row>
    <row r="125" spans="1:26" ht="12.75" customHeight="1" x14ac:dyDescent="0.2">
      <c r="A125" s="42" t="s">
        <v>25</v>
      </c>
      <c r="B125" s="48">
        <v>3</v>
      </c>
      <c r="C125" s="49" t="s">
        <v>23</v>
      </c>
      <c r="D125" s="49" t="s">
        <v>226</v>
      </c>
      <c r="E125" s="44"/>
      <c r="F125" s="34"/>
      <c r="G125" s="34"/>
      <c r="H125" s="35"/>
      <c r="I125" s="35"/>
      <c r="J125" s="34"/>
      <c r="K125" s="34"/>
      <c r="L125" s="34"/>
      <c r="M125" s="34"/>
      <c r="N125" s="34"/>
      <c r="O125" s="34"/>
      <c r="P125" s="34"/>
      <c r="Q125" s="25"/>
      <c r="R125" s="25"/>
      <c r="S125" s="25"/>
      <c r="T125" s="25"/>
      <c r="U125" s="25"/>
      <c r="V125" s="25"/>
      <c r="W125" s="25"/>
      <c r="X125" s="25"/>
      <c r="Y125" s="25"/>
      <c r="Z125" s="25"/>
    </row>
    <row r="126" spans="1:26" ht="12.75" customHeight="1" x14ac:dyDescent="0.2">
      <c r="A126" s="42" t="s">
        <v>25</v>
      </c>
      <c r="B126" s="48">
        <v>3</v>
      </c>
      <c r="C126" s="49" t="s">
        <v>25</v>
      </c>
      <c r="D126" s="49" t="s">
        <v>227</v>
      </c>
      <c r="E126" s="44"/>
      <c r="F126" s="34"/>
      <c r="G126" s="34"/>
      <c r="H126" s="35"/>
      <c r="I126" s="35"/>
      <c r="J126" s="34"/>
      <c r="K126" s="34"/>
      <c r="L126" s="34"/>
      <c r="M126" s="34"/>
      <c r="N126" s="34"/>
      <c r="O126" s="34"/>
      <c r="P126" s="34"/>
      <c r="Q126" s="25"/>
      <c r="R126" s="25"/>
      <c r="S126" s="25"/>
      <c r="T126" s="25"/>
      <c r="U126" s="25"/>
      <c r="V126" s="25"/>
      <c r="W126" s="25"/>
      <c r="X126" s="25"/>
      <c r="Y126" s="25"/>
      <c r="Z126" s="25"/>
    </row>
    <row r="127" spans="1:26" ht="12.75" customHeight="1" x14ac:dyDescent="0.2">
      <c r="A127" s="42" t="s">
        <v>25</v>
      </c>
      <c r="B127" s="50">
        <v>4</v>
      </c>
      <c r="C127" s="318" t="s">
        <v>228</v>
      </c>
      <c r="D127" s="319"/>
      <c r="E127" s="44"/>
      <c r="F127" s="34"/>
      <c r="G127" s="34"/>
      <c r="H127" s="35"/>
      <c r="I127" s="35"/>
      <c r="J127" s="34"/>
      <c r="K127" s="34"/>
      <c r="L127" s="34"/>
      <c r="M127" s="34"/>
      <c r="N127" s="34"/>
      <c r="O127" s="34"/>
      <c r="P127" s="34"/>
      <c r="Q127" s="25"/>
      <c r="R127" s="25"/>
      <c r="S127" s="25"/>
      <c r="T127" s="25"/>
      <c r="U127" s="25"/>
      <c r="V127" s="25"/>
      <c r="W127" s="25"/>
      <c r="X127" s="25"/>
      <c r="Y127" s="25"/>
      <c r="Z127" s="25"/>
    </row>
    <row r="128" spans="1:26" ht="12.75" customHeight="1" x14ac:dyDescent="0.2">
      <c r="A128" s="42" t="s">
        <v>25</v>
      </c>
      <c r="B128" s="48">
        <v>4</v>
      </c>
      <c r="C128" s="49" t="s">
        <v>12</v>
      </c>
      <c r="D128" s="49" t="s">
        <v>229</v>
      </c>
      <c r="E128" s="44"/>
      <c r="F128" s="34"/>
      <c r="G128" s="34"/>
      <c r="H128" s="35"/>
      <c r="I128" s="35"/>
      <c r="J128" s="34"/>
      <c r="K128" s="34"/>
      <c r="L128" s="34"/>
      <c r="M128" s="34"/>
      <c r="N128" s="34"/>
      <c r="O128" s="34"/>
      <c r="P128" s="34"/>
      <c r="Q128" s="25"/>
      <c r="R128" s="25"/>
      <c r="S128" s="25"/>
      <c r="T128" s="25"/>
      <c r="U128" s="25"/>
      <c r="V128" s="25"/>
      <c r="W128" s="25"/>
      <c r="X128" s="25"/>
      <c r="Y128" s="25"/>
      <c r="Z128" s="25"/>
    </row>
    <row r="129" spans="1:26" ht="12.75" customHeight="1" x14ac:dyDescent="0.2">
      <c r="A129" s="42" t="s">
        <v>25</v>
      </c>
      <c r="B129" s="48">
        <v>4</v>
      </c>
      <c r="C129" s="49" t="s">
        <v>16</v>
      </c>
      <c r="D129" s="49" t="s">
        <v>230</v>
      </c>
      <c r="E129" s="44"/>
      <c r="F129" s="34"/>
      <c r="G129" s="34"/>
      <c r="H129" s="35"/>
      <c r="I129" s="35"/>
      <c r="J129" s="34"/>
      <c r="K129" s="34"/>
      <c r="L129" s="34"/>
      <c r="M129" s="34"/>
      <c r="N129" s="34"/>
      <c r="O129" s="34"/>
      <c r="P129" s="34"/>
      <c r="Q129" s="25"/>
      <c r="R129" s="25"/>
      <c r="S129" s="25"/>
      <c r="T129" s="25"/>
      <c r="U129" s="25"/>
      <c r="V129" s="25"/>
      <c r="W129" s="25"/>
      <c r="X129" s="25"/>
      <c r="Y129" s="25"/>
      <c r="Z129" s="25"/>
    </row>
    <row r="130" spans="1:26" ht="12.75" customHeight="1" x14ac:dyDescent="0.2">
      <c r="A130" s="42" t="s">
        <v>25</v>
      </c>
      <c r="B130" s="48">
        <v>4</v>
      </c>
      <c r="C130" s="49" t="s">
        <v>19</v>
      </c>
      <c r="D130" s="49" t="s">
        <v>231</v>
      </c>
      <c r="E130" s="44"/>
      <c r="F130" s="34"/>
      <c r="G130" s="34"/>
      <c r="H130" s="35"/>
      <c r="I130" s="35"/>
      <c r="J130" s="34"/>
      <c r="K130" s="34"/>
      <c r="L130" s="34"/>
      <c r="M130" s="34"/>
      <c r="N130" s="34"/>
      <c r="O130" s="34"/>
      <c r="P130" s="34"/>
      <c r="Q130" s="25"/>
      <c r="R130" s="25"/>
      <c r="S130" s="25"/>
      <c r="T130" s="25"/>
      <c r="U130" s="25"/>
      <c r="V130" s="25"/>
      <c r="W130" s="25"/>
      <c r="X130" s="25"/>
      <c r="Y130" s="25"/>
      <c r="Z130" s="25"/>
    </row>
    <row r="131" spans="1:26" ht="12.75" customHeight="1" x14ac:dyDescent="0.2">
      <c r="A131" s="42" t="s">
        <v>25</v>
      </c>
      <c r="B131" s="48">
        <v>4</v>
      </c>
      <c r="C131" s="49" t="s">
        <v>22</v>
      </c>
      <c r="D131" s="49" t="s">
        <v>232</v>
      </c>
      <c r="E131" s="44"/>
      <c r="F131" s="34"/>
      <c r="G131" s="34"/>
      <c r="H131" s="35"/>
      <c r="I131" s="35"/>
      <c r="J131" s="34"/>
      <c r="K131" s="34"/>
      <c r="L131" s="34"/>
      <c r="M131" s="34"/>
      <c r="N131" s="34"/>
      <c r="O131" s="34"/>
      <c r="P131" s="34"/>
      <c r="Q131" s="25"/>
      <c r="R131" s="25"/>
      <c r="S131" s="25"/>
      <c r="T131" s="25"/>
      <c r="U131" s="25"/>
      <c r="V131" s="25"/>
      <c r="W131" s="25"/>
      <c r="X131" s="25"/>
      <c r="Y131" s="25"/>
      <c r="Z131" s="25"/>
    </row>
    <row r="132" spans="1:26" ht="12.75" customHeight="1" x14ac:dyDescent="0.2">
      <c r="A132" s="42" t="s">
        <v>25</v>
      </c>
      <c r="B132" s="48">
        <v>4</v>
      </c>
      <c r="C132" s="49" t="s">
        <v>23</v>
      </c>
      <c r="D132" s="49" t="s">
        <v>233</v>
      </c>
      <c r="E132" s="44"/>
      <c r="F132" s="34"/>
      <c r="G132" s="34"/>
      <c r="H132" s="35"/>
      <c r="I132" s="35"/>
      <c r="J132" s="34"/>
      <c r="K132" s="34"/>
      <c r="L132" s="34"/>
      <c r="M132" s="34"/>
      <c r="N132" s="34"/>
      <c r="O132" s="34"/>
      <c r="P132" s="34"/>
      <c r="Q132" s="25"/>
      <c r="R132" s="25"/>
      <c r="S132" s="25"/>
      <c r="T132" s="25"/>
      <c r="U132" s="25"/>
      <c r="V132" s="25"/>
      <c r="W132" s="25"/>
      <c r="X132" s="25"/>
      <c r="Y132" s="25"/>
      <c r="Z132" s="25"/>
    </row>
    <row r="133" spans="1:26" ht="12.75" customHeight="1" x14ac:dyDescent="0.2">
      <c r="A133" s="42" t="s">
        <v>25</v>
      </c>
      <c r="B133" s="50">
        <v>5</v>
      </c>
      <c r="C133" s="335" t="s">
        <v>234</v>
      </c>
      <c r="D133" s="319"/>
      <c r="E133" s="44"/>
      <c r="F133" s="34"/>
      <c r="G133" s="34"/>
      <c r="H133" s="35"/>
      <c r="I133" s="35"/>
      <c r="J133" s="34"/>
      <c r="K133" s="34"/>
      <c r="L133" s="34"/>
      <c r="M133" s="34"/>
      <c r="N133" s="34"/>
      <c r="O133" s="34"/>
      <c r="P133" s="34"/>
      <c r="Q133" s="25"/>
      <c r="R133" s="25"/>
      <c r="S133" s="25"/>
      <c r="T133" s="25"/>
      <c r="U133" s="25"/>
      <c r="V133" s="25"/>
      <c r="W133" s="25"/>
      <c r="X133" s="25"/>
      <c r="Y133" s="25"/>
      <c r="Z133" s="25"/>
    </row>
    <row r="134" spans="1:26" ht="12.75" customHeight="1" x14ac:dyDescent="0.2">
      <c r="A134" s="42" t="s">
        <v>25</v>
      </c>
      <c r="B134" s="48">
        <v>5</v>
      </c>
      <c r="C134" s="49" t="s">
        <v>12</v>
      </c>
      <c r="D134" s="49" t="s">
        <v>234</v>
      </c>
      <c r="E134" s="44"/>
      <c r="F134" s="34"/>
      <c r="G134" s="34"/>
      <c r="H134" s="35"/>
      <c r="I134" s="35"/>
      <c r="J134" s="34"/>
      <c r="K134" s="34"/>
      <c r="L134" s="34"/>
      <c r="M134" s="34"/>
      <c r="N134" s="34"/>
      <c r="O134" s="34"/>
      <c r="P134" s="34"/>
      <c r="Q134" s="25"/>
      <c r="R134" s="25"/>
      <c r="S134" s="25"/>
      <c r="T134" s="25"/>
      <c r="U134" s="25"/>
      <c r="V134" s="25"/>
      <c r="W134" s="25"/>
      <c r="X134" s="25"/>
      <c r="Y134" s="25"/>
      <c r="Z134" s="25"/>
    </row>
    <row r="135" spans="1:26" ht="12.75" customHeight="1" x14ac:dyDescent="0.2">
      <c r="A135" s="42" t="s">
        <v>25</v>
      </c>
      <c r="B135" s="48">
        <v>5</v>
      </c>
      <c r="C135" s="49" t="s">
        <v>16</v>
      </c>
      <c r="D135" s="49" t="s">
        <v>235</v>
      </c>
      <c r="E135" s="44"/>
      <c r="F135" s="34"/>
      <c r="G135" s="34"/>
      <c r="H135" s="35"/>
      <c r="I135" s="35"/>
      <c r="J135" s="34"/>
      <c r="K135" s="34"/>
      <c r="L135" s="34"/>
      <c r="M135" s="34"/>
      <c r="N135" s="34"/>
      <c r="O135" s="34"/>
      <c r="P135" s="34"/>
      <c r="Q135" s="25"/>
      <c r="R135" s="25"/>
      <c r="S135" s="25"/>
      <c r="T135" s="25"/>
      <c r="U135" s="25"/>
      <c r="V135" s="25"/>
      <c r="W135" s="25"/>
      <c r="X135" s="25"/>
      <c r="Y135" s="25"/>
      <c r="Z135" s="25"/>
    </row>
    <row r="136" spans="1:26" ht="12.75" customHeight="1" x14ac:dyDescent="0.2">
      <c r="A136" s="42" t="s">
        <v>25</v>
      </c>
      <c r="B136" s="48">
        <v>5</v>
      </c>
      <c r="C136" s="49" t="s">
        <v>19</v>
      </c>
      <c r="D136" s="49" t="s">
        <v>236</v>
      </c>
      <c r="E136" s="44"/>
      <c r="F136" s="34"/>
      <c r="G136" s="34"/>
      <c r="H136" s="35"/>
      <c r="I136" s="35"/>
      <c r="J136" s="34"/>
      <c r="K136" s="34"/>
      <c r="L136" s="34"/>
      <c r="M136" s="34"/>
      <c r="N136" s="34"/>
      <c r="O136" s="34"/>
      <c r="P136" s="34"/>
      <c r="Q136" s="25"/>
      <c r="R136" s="25"/>
      <c r="S136" s="25"/>
      <c r="T136" s="25"/>
      <c r="U136" s="25"/>
      <c r="V136" s="25"/>
      <c r="W136" s="25"/>
      <c r="X136" s="25"/>
      <c r="Y136" s="25"/>
      <c r="Z136" s="25"/>
    </row>
    <row r="137" spans="1:26" ht="12.75" customHeight="1" x14ac:dyDescent="0.2">
      <c r="A137" s="42" t="s">
        <v>25</v>
      </c>
      <c r="B137" s="48">
        <v>5</v>
      </c>
      <c r="C137" s="49" t="s">
        <v>22</v>
      </c>
      <c r="D137" s="49" t="s">
        <v>237</v>
      </c>
      <c r="E137" s="44"/>
      <c r="F137" s="34"/>
      <c r="G137" s="34"/>
      <c r="H137" s="35"/>
      <c r="I137" s="35"/>
      <c r="J137" s="34"/>
      <c r="K137" s="34"/>
      <c r="L137" s="34"/>
      <c r="M137" s="34"/>
      <c r="N137" s="34"/>
      <c r="O137" s="34"/>
      <c r="P137" s="34"/>
      <c r="Q137" s="25"/>
      <c r="R137" s="25"/>
      <c r="S137" s="25"/>
      <c r="T137" s="25"/>
      <c r="U137" s="25"/>
      <c r="V137" s="25"/>
      <c r="W137" s="25"/>
      <c r="X137" s="25"/>
      <c r="Y137" s="25"/>
      <c r="Z137" s="25"/>
    </row>
    <row r="138" spans="1:26" ht="12.75" customHeight="1" x14ac:dyDescent="0.2">
      <c r="A138" s="42" t="s">
        <v>25</v>
      </c>
      <c r="B138" s="48">
        <v>5</v>
      </c>
      <c r="C138" s="49" t="s">
        <v>23</v>
      </c>
      <c r="D138" s="49" t="s">
        <v>238</v>
      </c>
      <c r="E138" s="44"/>
      <c r="F138" s="34"/>
      <c r="G138" s="34"/>
      <c r="H138" s="35"/>
      <c r="I138" s="35"/>
      <c r="J138" s="34"/>
      <c r="K138" s="34"/>
      <c r="L138" s="34"/>
      <c r="M138" s="34"/>
      <c r="N138" s="34"/>
      <c r="O138" s="34"/>
      <c r="P138" s="34"/>
      <c r="Q138" s="25"/>
      <c r="R138" s="25"/>
      <c r="S138" s="25"/>
      <c r="T138" s="25"/>
      <c r="U138" s="25"/>
      <c r="V138" s="25"/>
      <c r="W138" s="25"/>
      <c r="X138" s="25"/>
      <c r="Y138" s="25"/>
      <c r="Z138" s="25"/>
    </row>
    <row r="139" spans="1:26" ht="12.75" customHeight="1" x14ac:dyDescent="0.2">
      <c r="A139" s="42" t="s">
        <v>25</v>
      </c>
      <c r="B139" s="50">
        <v>6</v>
      </c>
      <c r="C139" s="318" t="s">
        <v>239</v>
      </c>
      <c r="D139" s="319"/>
      <c r="E139" s="44"/>
      <c r="F139" s="34"/>
      <c r="G139" s="34"/>
      <c r="H139" s="35"/>
      <c r="I139" s="35"/>
      <c r="J139" s="34"/>
      <c r="K139" s="34"/>
      <c r="L139" s="34"/>
      <c r="M139" s="34"/>
      <c r="N139" s="34"/>
      <c r="O139" s="34"/>
      <c r="P139" s="34"/>
      <c r="Q139" s="25"/>
      <c r="R139" s="25"/>
      <c r="S139" s="25"/>
      <c r="T139" s="25"/>
      <c r="U139" s="25"/>
      <c r="V139" s="25"/>
      <c r="W139" s="25"/>
      <c r="X139" s="25"/>
      <c r="Y139" s="25"/>
      <c r="Z139" s="25"/>
    </row>
    <row r="140" spans="1:26" ht="12.75" customHeight="1" x14ac:dyDescent="0.2">
      <c r="A140" s="42" t="s">
        <v>25</v>
      </c>
      <c r="B140" s="48">
        <v>6</v>
      </c>
      <c r="C140" s="49" t="s">
        <v>12</v>
      </c>
      <c r="D140" s="49" t="s">
        <v>240</v>
      </c>
      <c r="E140" s="44"/>
      <c r="F140" s="34"/>
      <c r="G140" s="34"/>
      <c r="H140" s="35"/>
      <c r="I140" s="35"/>
      <c r="J140" s="34"/>
      <c r="K140" s="34"/>
      <c r="L140" s="34"/>
      <c r="M140" s="34"/>
      <c r="N140" s="34"/>
      <c r="O140" s="34"/>
      <c r="P140" s="34"/>
      <c r="Q140" s="25"/>
      <c r="R140" s="25"/>
      <c r="S140" s="25"/>
      <c r="T140" s="25"/>
      <c r="U140" s="25"/>
      <c r="V140" s="25"/>
      <c r="W140" s="25"/>
      <c r="X140" s="25"/>
      <c r="Y140" s="25"/>
      <c r="Z140" s="25"/>
    </row>
    <row r="141" spans="1:26" ht="12.75" customHeight="1" x14ac:dyDescent="0.2">
      <c r="A141" s="42" t="s">
        <v>25</v>
      </c>
      <c r="B141" s="48">
        <v>6</v>
      </c>
      <c r="C141" s="49" t="s">
        <v>16</v>
      </c>
      <c r="D141" s="52" t="s">
        <v>241</v>
      </c>
      <c r="E141" s="44"/>
      <c r="F141" s="34"/>
      <c r="G141" s="34"/>
      <c r="H141" s="35"/>
      <c r="I141" s="35"/>
      <c r="J141" s="34"/>
      <c r="K141" s="34"/>
      <c r="L141" s="34"/>
      <c r="M141" s="34"/>
      <c r="N141" s="34"/>
      <c r="O141" s="34"/>
      <c r="P141" s="34"/>
      <c r="Q141" s="25"/>
      <c r="R141" s="25"/>
      <c r="S141" s="25"/>
      <c r="T141" s="25"/>
      <c r="U141" s="25"/>
      <c r="V141" s="25"/>
      <c r="W141" s="25"/>
      <c r="X141" s="25"/>
      <c r="Y141" s="25"/>
      <c r="Z141" s="25"/>
    </row>
    <row r="142" spans="1:26" ht="12.75" customHeight="1" x14ac:dyDescent="0.2">
      <c r="A142" s="42" t="s">
        <v>25</v>
      </c>
      <c r="B142" s="48">
        <v>6</v>
      </c>
      <c r="C142" s="49" t="s">
        <v>19</v>
      </c>
      <c r="D142" s="49" t="s">
        <v>242</v>
      </c>
      <c r="E142" s="44"/>
      <c r="F142" s="34"/>
      <c r="G142" s="34"/>
      <c r="H142" s="35"/>
      <c r="I142" s="35"/>
      <c r="J142" s="34"/>
      <c r="K142" s="34"/>
      <c r="L142" s="34"/>
      <c r="M142" s="34"/>
      <c r="N142" s="34"/>
      <c r="O142" s="34"/>
      <c r="P142" s="34"/>
      <c r="Q142" s="25"/>
      <c r="R142" s="25"/>
      <c r="S142" s="25"/>
      <c r="T142" s="25"/>
      <c r="U142" s="25"/>
      <c r="V142" s="25"/>
      <c r="W142" s="25"/>
      <c r="X142" s="25"/>
      <c r="Y142" s="25"/>
      <c r="Z142" s="25"/>
    </row>
    <row r="143" spans="1:26" ht="12.75" customHeight="1" x14ac:dyDescent="0.2">
      <c r="A143" s="42" t="s">
        <v>25</v>
      </c>
      <c r="B143" s="50">
        <v>7</v>
      </c>
      <c r="C143" s="318" t="s">
        <v>88</v>
      </c>
      <c r="D143" s="319"/>
      <c r="E143" s="44"/>
      <c r="F143" s="34"/>
      <c r="G143" s="34"/>
      <c r="H143" s="35"/>
      <c r="I143" s="35"/>
      <c r="J143" s="34"/>
      <c r="K143" s="34"/>
      <c r="L143" s="34"/>
      <c r="M143" s="34"/>
      <c r="N143" s="34"/>
      <c r="O143" s="34"/>
      <c r="P143" s="34"/>
      <c r="Q143" s="25"/>
      <c r="R143" s="25"/>
      <c r="S143" s="25"/>
      <c r="T143" s="25"/>
      <c r="U143" s="25"/>
      <c r="V143" s="25"/>
      <c r="W143" s="25"/>
      <c r="X143" s="25"/>
      <c r="Y143" s="25"/>
      <c r="Z143" s="25"/>
    </row>
    <row r="144" spans="1:26" ht="12.75" customHeight="1" x14ac:dyDescent="0.2">
      <c r="A144" s="42" t="s">
        <v>25</v>
      </c>
      <c r="B144" s="48">
        <v>7</v>
      </c>
      <c r="C144" s="49" t="s">
        <v>12</v>
      </c>
      <c r="D144" s="49" t="s">
        <v>243</v>
      </c>
      <c r="E144" s="44"/>
      <c r="F144" s="34"/>
      <c r="G144" s="34"/>
      <c r="H144" s="35"/>
      <c r="I144" s="35"/>
      <c r="J144" s="34"/>
      <c r="K144" s="34"/>
      <c r="L144" s="34"/>
      <c r="M144" s="34"/>
      <c r="N144" s="34"/>
      <c r="O144" s="34"/>
      <c r="P144" s="34"/>
      <c r="Q144" s="25"/>
      <c r="R144" s="25"/>
      <c r="S144" s="25"/>
      <c r="T144" s="25"/>
      <c r="U144" s="25"/>
      <c r="V144" s="25"/>
      <c r="W144" s="25"/>
      <c r="X144" s="25"/>
      <c r="Y144" s="25"/>
      <c r="Z144" s="25"/>
    </row>
    <row r="145" spans="1:26" ht="12.75" customHeight="1" x14ac:dyDescent="0.2">
      <c r="A145" s="42" t="s">
        <v>25</v>
      </c>
      <c r="B145" s="48">
        <v>7</v>
      </c>
      <c r="C145" s="49" t="s">
        <v>16</v>
      </c>
      <c r="D145" s="49" t="s">
        <v>244</v>
      </c>
      <c r="E145" s="44"/>
      <c r="F145" s="34"/>
      <c r="G145" s="34"/>
      <c r="H145" s="35"/>
      <c r="I145" s="35"/>
      <c r="J145" s="34"/>
      <c r="K145" s="34"/>
      <c r="L145" s="34"/>
      <c r="M145" s="34"/>
      <c r="N145" s="34"/>
      <c r="O145" s="34"/>
      <c r="P145" s="34"/>
      <c r="Q145" s="25"/>
      <c r="R145" s="25"/>
      <c r="S145" s="25"/>
      <c r="T145" s="25"/>
      <c r="U145" s="25"/>
      <c r="V145" s="25"/>
      <c r="W145" s="25"/>
      <c r="X145" s="25"/>
      <c r="Y145" s="25"/>
      <c r="Z145" s="25"/>
    </row>
    <row r="146" spans="1:26" ht="12.75" customHeight="1" x14ac:dyDescent="0.2">
      <c r="A146" s="42" t="s">
        <v>25</v>
      </c>
      <c r="B146" s="48">
        <v>7</v>
      </c>
      <c r="C146" s="49" t="s">
        <v>19</v>
      </c>
      <c r="D146" s="49" t="s">
        <v>245</v>
      </c>
      <c r="E146" s="44"/>
      <c r="F146" s="34"/>
      <c r="G146" s="34"/>
      <c r="H146" s="35"/>
      <c r="I146" s="35"/>
      <c r="J146" s="34"/>
      <c r="K146" s="34"/>
      <c r="L146" s="34"/>
      <c r="M146" s="34"/>
      <c r="N146" s="34"/>
      <c r="O146" s="34"/>
      <c r="P146" s="34"/>
      <c r="Q146" s="25"/>
      <c r="R146" s="25"/>
      <c r="S146" s="25"/>
      <c r="T146" s="25"/>
      <c r="U146" s="25"/>
      <c r="V146" s="25"/>
      <c r="W146" s="25"/>
      <c r="X146" s="25"/>
      <c r="Y146" s="25"/>
      <c r="Z146" s="25"/>
    </row>
    <row r="147" spans="1:26" ht="12.75" customHeight="1" x14ac:dyDescent="0.2">
      <c r="A147" s="42" t="s">
        <v>25</v>
      </c>
      <c r="B147" s="50">
        <v>8</v>
      </c>
      <c r="C147" s="318" t="s">
        <v>246</v>
      </c>
      <c r="D147" s="319"/>
      <c r="E147" s="44"/>
      <c r="F147" s="34"/>
      <c r="G147" s="34"/>
      <c r="H147" s="35"/>
      <c r="I147" s="35"/>
      <c r="J147" s="34"/>
      <c r="K147" s="34"/>
      <c r="L147" s="34"/>
      <c r="M147" s="34"/>
      <c r="N147" s="34"/>
      <c r="O147" s="34"/>
      <c r="P147" s="34"/>
      <c r="Q147" s="25"/>
      <c r="R147" s="25"/>
      <c r="S147" s="25"/>
      <c r="T147" s="25"/>
      <c r="U147" s="25"/>
      <c r="V147" s="25"/>
      <c r="W147" s="25"/>
      <c r="X147" s="25"/>
      <c r="Y147" s="25"/>
      <c r="Z147" s="25"/>
    </row>
    <row r="148" spans="1:26" ht="12.75" customHeight="1" x14ac:dyDescent="0.2">
      <c r="A148" s="42" t="s">
        <v>25</v>
      </c>
      <c r="B148" s="48">
        <v>8</v>
      </c>
      <c r="C148" s="49" t="s">
        <v>12</v>
      </c>
      <c r="D148" s="49" t="s">
        <v>246</v>
      </c>
      <c r="E148" s="44"/>
      <c r="F148" s="34"/>
      <c r="G148" s="34"/>
      <c r="H148" s="35"/>
      <c r="I148" s="35"/>
      <c r="J148" s="34"/>
      <c r="K148" s="34"/>
      <c r="L148" s="34"/>
      <c r="M148" s="34"/>
      <c r="N148" s="34"/>
      <c r="O148" s="34"/>
      <c r="P148" s="34"/>
      <c r="Q148" s="25"/>
      <c r="R148" s="25"/>
      <c r="S148" s="25"/>
      <c r="T148" s="25"/>
      <c r="U148" s="25"/>
      <c r="V148" s="25"/>
      <c r="W148" s="25"/>
      <c r="X148" s="25"/>
      <c r="Y148" s="25"/>
      <c r="Z148" s="25"/>
    </row>
    <row r="149" spans="1:26" ht="12.75" customHeight="1" x14ac:dyDescent="0.2">
      <c r="A149" s="43" t="s">
        <v>247</v>
      </c>
      <c r="B149" s="320" t="s">
        <v>270</v>
      </c>
      <c r="C149" s="319"/>
      <c r="D149" s="319"/>
      <c r="E149" s="45"/>
      <c r="F149" s="30"/>
      <c r="G149" s="30"/>
      <c r="H149" s="31"/>
      <c r="I149" s="31"/>
      <c r="J149" s="30"/>
      <c r="K149" s="30"/>
      <c r="L149" s="30"/>
      <c r="M149" s="30"/>
      <c r="N149" s="30"/>
      <c r="O149" s="30"/>
      <c r="P149" s="30"/>
      <c r="Q149" s="25"/>
      <c r="R149" s="25"/>
      <c r="S149" s="25"/>
      <c r="T149" s="25"/>
      <c r="U149" s="25"/>
      <c r="V149" s="25"/>
      <c r="W149" s="25"/>
      <c r="X149" s="25"/>
      <c r="Y149" s="25"/>
      <c r="Z149" s="25"/>
    </row>
    <row r="150" spans="1:26" ht="12.75" customHeight="1" x14ac:dyDescent="0.2">
      <c r="A150" s="42" t="s">
        <v>26</v>
      </c>
      <c r="B150" s="50">
        <v>1</v>
      </c>
      <c r="C150" s="318" t="s">
        <v>272</v>
      </c>
      <c r="D150" s="319"/>
      <c r="E150" s="44"/>
      <c r="F150" s="34"/>
      <c r="G150" s="34"/>
      <c r="H150" s="35"/>
      <c r="I150" s="35"/>
      <c r="J150" s="34"/>
      <c r="K150" s="34"/>
      <c r="L150" s="34"/>
      <c r="M150" s="34"/>
      <c r="N150" s="34"/>
      <c r="O150" s="34"/>
      <c r="P150" s="34"/>
      <c r="Q150" s="25"/>
      <c r="R150" s="25"/>
      <c r="S150" s="25"/>
      <c r="T150" s="25"/>
      <c r="U150" s="25"/>
      <c r="V150" s="25"/>
      <c r="W150" s="25"/>
      <c r="X150" s="25"/>
      <c r="Y150" s="25"/>
      <c r="Z150" s="25"/>
    </row>
    <row r="151" spans="1:26" ht="12.75" customHeight="1" x14ac:dyDescent="0.2">
      <c r="A151" s="42" t="s">
        <v>26</v>
      </c>
      <c r="B151" s="48">
        <v>1</v>
      </c>
      <c r="C151" s="49" t="s">
        <v>12</v>
      </c>
      <c r="D151" s="53" t="s">
        <v>271</v>
      </c>
      <c r="E151" s="44"/>
      <c r="F151" s="34"/>
      <c r="G151" s="34"/>
      <c r="H151" s="35"/>
      <c r="I151" s="35"/>
      <c r="J151" s="34"/>
      <c r="K151" s="34"/>
      <c r="L151" s="34"/>
      <c r="M151" s="34"/>
      <c r="N151" s="34"/>
      <c r="O151" s="34"/>
      <c r="P151" s="34"/>
      <c r="Q151" s="25"/>
      <c r="R151" s="25"/>
      <c r="S151" s="25"/>
      <c r="T151" s="25"/>
      <c r="U151" s="25"/>
      <c r="V151" s="25"/>
      <c r="W151" s="25"/>
      <c r="X151" s="25"/>
      <c r="Y151" s="25"/>
      <c r="Z151" s="25"/>
    </row>
    <row r="152" spans="1:26" ht="12.75" customHeight="1" x14ac:dyDescent="0.2">
      <c r="A152" s="42" t="s">
        <v>26</v>
      </c>
      <c r="B152" s="48">
        <v>1</v>
      </c>
      <c r="C152" s="49" t="s">
        <v>16</v>
      </c>
      <c r="D152" s="53" t="s">
        <v>273</v>
      </c>
      <c r="E152" s="44"/>
      <c r="F152" s="34"/>
      <c r="G152" s="34"/>
      <c r="H152" s="35"/>
      <c r="I152" s="35"/>
      <c r="J152" s="34"/>
      <c r="K152" s="34"/>
      <c r="L152" s="34"/>
      <c r="M152" s="34"/>
      <c r="N152" s="34"/>
      <c r="O152" s="34"/>
      <c r="P152" s="34"/>
      <c r="Q152" s="25"/>
      <c r="R152" s="25"/>
      <c r="S152" s="25"/>
      <c r="T152" s="25"/>
      <c r="U152" s="25"/>
      <c r="V152" s="25"/>
      <c r="W152" s="25"/>
      <c r="X152" s="25"/>
      <c r="Y152" s="25"/>
      <c r="Z152" s="25"/>
    </row>
    <row r="153" spans="1:26" ht="12.75" customHeight="1" x14ac:dyDescent="0.2">
      <c r="A153" s="42" t="s">
        <v>26</v>
      </c>
      <c r="B153" s="50">
        <v>2</v>
      </c>
      <c r="C153" s="318" t="s">
        <v>274</v>
      </c>
      <c r="D153" s="319"/>
      <c r="E153" s="44"/>
      <c r="F153" s="34"/>
      <c r="G153" s="34"/>
      <c r="H153" s="35"/>
      <c r="I153" s="35"/>
      <c r="J153" s="34"/>
      <c r="K153" s="34"/>
      <c r="L153" s="34"/>
      <c r="M153" s="34"/>
      <c r="N153" s="34"/>
      <c r="O153" s="34"/>
      <c r="P153" s="34"/>
      <c r="Q153" s="25"/>
      <c r="R153" s="25"/>
      <c r="S153" s="25"/>
      <c r="T153" s="25"/>
      <c r="U153" s="25"/>
      <c r="V153" s="25"/>
      <c r="W153" s="25"/>
      <c r="X153" s="25"/>
      <c r="Y153" s="25"/>
      <c r="Z153" s="25"/>
    </row>
    <row r="154" spans="1:26" ht="12.75" customHeight="1" x14ac:dyDescent="0.2">
      <c r="A154" s="42" t="s">
        <v>26</v>
      </c>
      <c r="B154" s="48">
        <v>2</v>
      </c>
      <c r="C154" s="49" t="s">
        <v>12</v>
      </c>
      <c r="D154" s="53" t="s">
        <v>275</v>
      </c>
      <c r="E154" s="44"/>
      <c r="F154" s="34"/>
      <c r="G154" s="34"/>
      <c r="H154" s="35"/>
      <c r="I154" s="35"/>
      <c r="J154" s="34"/>
      <c r="K154" s="34"/>
      <c r="L154" s="34"/>
      <c r="M154" s="34"/>
      <c r="N154" s="34"/>
      <c r="O154" s="34"/>
      <c r="P154" s="34"/>
      <c r="Q154" s="25"/>
      <c r="R154" s="25"/>
      <c r="S154" s="25"/>
      <c r="T154" s="25"/>
      <c r="U154" s="25"/>
      <c r="V154" s="25"/>
      <c r="W154" s="25"/>
      <c r="X154" s="25"/>
      <c r="Y154" s="25"/>
      <c r="Z154" s="25"/>
    </row>
    <row r="155" spans="1:26" ht="12.75" customHeight="1" x14ac:dyDescent="0.2">
      <c r="A155" s="42" t="s">
        <v>26</v>
      </c>
      <c r="B155" s="48">
        <v>2</v>
      </c>
      <c r="C155" s="49" t="s">
        <v>16</v>
      </c>
      <c r="D155" s="53" t="s">
        <v>276</v>
      </c>
      <c r="E155" s="44"/>
      <c r="F155" s="34"/>
      <c r="G155" s="34"/>
      <c r="H155" s="35"/>
      <c r="I155" s="35"/>
      <c r="J155" s="34"/>
      <c r="K155" s="34"/>
      <c r="L155" s="34"/>
      <c r="M155" s="34"/>
      <c r="N155" s="34"/>
      <c r="O155" s="34"/>
      <c r="P155" s="34"/>
      <c r="Q155" s="25"/>
      <c r="R155" s="25"/>
      <c r="S155" s="25"/>
      <c r="T155" s="25"/>
      <c r="U155" s="25"/>
      <c r="V155" s="25"/>
      <c r="W155" s="25"/>
      <c r="X155" s="25"/>
      <c r="Y155" s="25"/>
      <c r="Z155" s="25"/>
    </row>
    <row r="156" spans="1:26" ht="12.75" customHeight="1" x14ac:dyDescent="0.2">
      <c r="A156" s="42" t="s">
        <v>26</v>
      </c>
      <c r="B156" s="48">
        <v>2</v>
      </c>
      <c r="C156" s="49" t="s">
        <v>19</v>
      </c>
      <c r="D156" s="53" t="s">
        <v>277</v>
      </c>
      <c r="E156" s="44"/>
      <c r="F156" s="34"/>
      <c r="G156" s="34"/>
      <c r="H156" s="35"/>
      <c r="I156" s="35"/>
      <c r="J156" s="34"/>
      <c r="K156" s="34"/>
      <c r="L156" s="34"/>
      <c r="M156" s="34"/>
      <c r="N156" s="34"/>
      <c r="O156" s="34"/>
      <c r="P156" s="34"/>
      <c r="Q156" s="25"/>
      <c r="R156" s="25"/>
      <c r="S156" s="25"/>
      <c r="T156" s="25"/>
      <c r="U156" s="25"/>
      <c r="V156" s="25"/>
      <c r="W156" s="25"/>
      <c r="X156" s="25"/>
      <c r="Y156" s="25"/>
      <c r="Z156" s="25"/>
    </row>
    <row r="157" spans="1:26" ht="12.75" customHeight="1" x14ac:dyDescent="0.2">
      <c r="A157" s="42" t="s">
        <v>26</v>
      </c>
      <c r="B157" s="48">
        <v>2</v>
      </c>
      <c r="C157" s="49" t="s">
        <v>22</v>
      </c>
      <c r="D157" s="53" t="s">
        <v>278</v>
      </c>
      <c r="E157" s="44"/>
      <c r="F157" s="34"/>
      <c r="G157" s="34"/>
      <c r="H157" s="35"/>
      <c r="I157" s="35"/>
      <c r="J157" s="34"/>
      <c r="K157" s="34"/>
      <c r="L157" s="34"/>
      <c r="M157" s="34"/>
      <c r="N157" s="34"/>
      <c r="O157" s="34"/>
      <c r="P157" s="34"/>
      <c r="Q157" s="25"/>
      <c r="R157" s="25"/>
      <c r="S157" s="25"/>
      <c r="T157" s="25"/>
      <c r="U157" s="25"/>
      <c r="V157" s="25"/>
      <c r="W157" s="25"/>
      <c r="X157" s="25"/>
      <c r="Y157" s="25"/>
      <c r="Z157" s="25"/>
    </row>
    <row r="158" spans="1:26" ht="12.75" customHeight="1" x14ac:dyDescent="0.2">
      <c r="A158" s="42" t="s">
        <v>26</v>
      </c>
      <c r="B158" s="48">
        <v>2</v>
      </c>
      <c r="C158" s="49" t="s">
        <v>23</v>
      </c>
      <c r="D158" s="53" t="s">
        <v>279</v>
      </c>
      <c r="E158" s="44"/>
      <c r="F158" s="34"/>
      <c r="G158" s="34"/>
      <c r="H158" s="35"/>
      <c r="I158" s="35"/>
      <c r="J158" s="34"/>
      <c r="K158" s="34"/>
      <c r="L158" s="34"/>
      <c r="M158" s="34"/>
      <c r="N158" s="34"/>
      <c r="O158" s="34"/>
      <c r="P158" s="34"/>
      <c r="Q158" s="25"/>
      <c r="R158" s="25"/>
      <c r="S158" s="25"/>
      <c r="T158" s="25"/>
      <c r="U158" s="25"/>
      <c r="V158" s="25"/>
      <c r="W158" s="25"/>
      <c r="X158" s="25"/>
      <c r="Y158" s="25"/>
      <c r="Z158" s="25"/>
    </row>
    <row r="159" spans="1:26" ht="12.75" customHeight="1" x14ac:dyDescent="0.2">
      <c r="A159" s="42" t="s">
        <v>26</v>
      </c>
      <c r="B159" s="48">
        <v>2</v>
      </c>
      <c r="C159" s="49" t="s">
        <v>25</v>
      </c>
      <c r="D159" s="53" t="s">
        <v>280</v>
      </c>
      <c r="E159" s="44"/>
      <c r="F159" s="34"/>
      <c r="G159" s="34"/>
      <c r="H159" s="35"/>
      <c r="I159" s="35"/>
      <c r="J159" s="34"/>
      <c r="K159" s="34"/>
      <c r="L159" s="34"/>
      <c r="M159" s="34"/>
      <c r="N159" s="34"/>
      <c r="O159" s="34"/>
      <c r="P159" s="34"/>
      <c r="Q159" s="25"/>
      <c r="R159" s="25"/>
      <c r="S159" s="25"/>
      <c r="T159" s="25"/>
      <c r="U159" s="25"/>
      <c r="V159" s="25"/>
      <c r="W159" s="25"/>
      <c r="X159" s="25"/>
      <c r="Y159" s="25"/>
      <c r="Z159" s="25"/>
    </row>
    <row r="160" spans="1:26" ht="12.75" customHeight="1" x14ac:dyDescent="0.2">
      <c r="A160" s="42" t="s">
        <v>26</v>
      </c>
      <c r="B160" s="48">
        <v>2</v>
      </c>
      <c r="C160" s="49" t="s">
        <v>26</v>
      </c>
      <c r="D160" s="53" t="s">
        <v>281</v>
      </c>
      <c r="E160" s="44"/>
      <c r="F160" s="34"/>
      <c r="G160" s="34"/>
      <c r="H160" s="35"/>
      <c r="I160" s="35"/>
      <c r="J160" s="34"/>
      <c r="K160" s="34"/>
      <c r="L160" s="34"/>
      <c r="M160" s="34"/>
      <c r="N160" s="34"/>
      <c r="O160" s="34"/>
      <c r="P160" s="34"/>
      <c r="Q160" s="25"/>
      <c r="R160" s="25"/>
      <c r="S160" s="25"/>
      <c r="T160" s="25"/>
      <c r="U160" s="25"/>
      <c r="V160" s="25"/>
      <c r="W160" s="25"/>
      <c r="X160" s="25"/>
      <c r="Y160" s="25"/>
      <c r="Z160" s="25"/>
    </row>
    <row r="161" spans="1:26" ht="12.75" customHeight="1" x14ac:dyDescent="0.2">
      <c r="A161" s="42" t="s">
        <v>26</v>
      </c>
      <c r="B161" s="48">
        <v>2</v>
      </c>
      <c r="C161" s="49" t="s">
        <v>93</v>
      </c>
      <c r="D161" s="53" t="s">
        <v>282</v>
      </c>
      <c r="E161" s="44"/>
      <c r="F161" s="34"/>
      <c r="G161" s="34"/>
      <c r="H161" s="35"/>
      <c r="I161" s="35"/>
      <c r="J161" s="34"/>
      <c r="K161" s="34"/>
      <c r="L161" s="34"/>
      <c r="M161" s="34"/>
      <c r="N161" s="34"/>
      <c r="O161" s="34"/>
      <c r="P161" s="34"/>
      <c r="Q161" s="25"/>
      <c r="R161" s="25"/>
      <c r="S161" s="25"/>
      <c r="T161" s="25"/>
      <c r="U161" s="25"/>
      <c r="V161" s="25"/>
      <c r="W161" s="25"/>
      <c r="X161" s="25"/>
      <c r="Y161" s="25"/>
      <c r="Z161" s="25"/>
    </row>
    <row r="162" spans="1:26" ht="12.75" customHeight="1" x14ac:dyDescent="0.2">
      <c r="A162" s="42" t="s">
        <v>26</v>
      </c>
      <c r="B162" s="48">
        <v>2</v>
      </c>
      <c r="C162" s="49" t="s">
        <v>94</v>
      </c>
      <c r="D162" s="53" t="s">
        <v>283</v>
      </c>
      <c r="E162" s="44"/>
      <c r="F162" s="34"/>
      <c r="G162" s="34"/>
      <c r="H162" s="35"/>
      <c r="I162" s="35"/>
      <c r="J162" s="34"/>
      <c r="K162" s="34"/>
      <c r="L162" s="34"/>
      <c r="M162" s="34"/>
      <c r="N162" s="34"/>
      <c r="O162" s="34"/>
      <c r="P162" s="34"/>
      <c r="Q162" s="25"/>
      <c r="R162" s="25"/>
      <c r="S162" s="25"/>
      <c r="T162" s="25"/>
      <c r="U162" s="25"/>
      <c r="V162" s="25"/>
      <c r="W162" s="25"/>
      <c r="X162" s="25"/>
      <c r="Y162" s="25"/>
      <c r="Z162" s="25"/>
    </row>
    <row r="163" spans="1:26" ht="12.75" customHeight="1" x14ac:dyDescent="0.2">
      <c r="A163" s="42" t="s">
        <v>26</v>
      </c>
      <c r="B163" s="48">
        <v>2</v>
      </c>
      <c r="C163" s="49" t="s">
        <v>95</v>
      </c>
      <c r="D163" s="53" t="s">
        <v>284</v>
      </c>
      <c r="E163" s="44"/>
      <c r="F163" s="34"/>
      <c r="G163" s="34"/>
      <c r="H163" s="35"/>
      <c r="I163" s="35"/>
      <c r="J163" s="34"/>
      <c r="K163" s="34"/>
      <c r="L163" s="34"/>
      <c r="M163" s="34"/>
      <c r="N163" s="34"/>
      <c r="O163" s="34"/>
      <c r="P163" s="34"/>
      <c r="Q163" s="25"/>
      <c r="R163" s="25"/>
      <c r="S163" s="25"/>
      <c r="T163" s="25"/>
      <c r="U163" s="25"/>
      <c r="V163" s="25"/>
      <c r="W163" s="25"/>
      <c r="X163" s="25"/>
      <c r="Y163" s="25"/>
      <c r="Z163" s="25"/>
    </row>
    <row r="164" spans="1:26" ht="12.75" customHeight="1" x14ac:dyDescent="0.2">
      <c r="A164" s="42" t="s">
        <v>26</v>
      </c>
      <c r="B164" s="48">
        <v>2</v>
      </c>
      <c r="C164" s="49" t="s">
        <v>28</v>
      </c>
      <c r="D164" s="53" t="s">
        <v>319</v>
      </c>
      <c r="E164" s="44"/>
      <c r="F164" s="34"/>
      <c r="G164" s="34"/>
      <c r="H164" s="35"/>
      <c r="I164" s="35"/>
      <c r="J164" s="34"/>
      <c r="K164" s="34"/>
      <c r="L164" s="34"/>
      <c r="M164" s="34"/>
      <c r="N164" s="34"/>
      <c r="O164" s="34"/>
      <c r="P164" s="34"/>
      <c r="Q164" s="25"/>
      <c r="R164" s="25"/>
      <c r="S164" s="25"/>
      <c r="T164" s="25"/>
      <c r="U164" s="25"/>
      <c r="V164" s="25"/>
      <c r="W164" s="25"/>
      <c r="X164" s="25"/>
      <c r="Y164" s="25"/>
      <c r="Z164" s="25"/>
    </row>
    <row r="165" spans="1:26" ht="12.75" customHeight="1" x14ac:dyDescent="0.2">
      <c r="A165" s="42" t="s">
        <v>26</v>
      </c>
      <c r="B165" s="48">
        <v>2</v>
      </c>
      <c r="C165" s="49" t="s">
        <v>29</v>
      </c>
      <c r="D165" s="53" t="s">
        <v>285</v>
      </c>
      <c r="E165" s="44"/>
      <c r="F165" s="34"/>
      <c r="G165" s="34"/>
      <c r="H165" s="35"/>
      <c r="I165" s="35"/>
      <c r="J165" s="34"/>
      <c r="K165" s="34"/>
      <c r="L165" s="34"/>
      <c r="M165" s="34"/>
      <c r="N165" s="34"/>
      <c r="O165" s="34"/>
      <c r="P165" s="34"/>
      <c r="Q165" s="25"/>
      <c r="R165" s="25"/>
      <c r="S165" s="25"/>
      <c r="T165" s="25"/>
      <c r="U165" s="25"/>
      <c r="V165" s="25"/>
      <c r="W165" s="25"/>
      <c r="X165" s="25"/>
      <c r="Y165" s="25"/>
      <c r="Z165" s="25"/>
    </row>
    <row r="166" spans="1:26" ht="12.75" customHeight="1" x14ac:dyDescent="0.2">
      <c r="A166" s="42" t="s">
        <v>26</v>
      </c>
      <c r="B166" s="48">
        <v>2</v>
      </c>
      <c r="C166" s="49" t="s">
        <v>30</v>
      </c>
      <c r="D166" s="53" t="s">
        <v>286</v>
      </c>
      <c r="E166" s="44"/>
      <c r="F166" s="34"/>
      <c r="G166" s="34"/>
      <c r="H166" s="35"/>
      <c r="I166" s="35"/>
      <c r="J166" s="34"/>
      <c r="K166" s="34"/>
      <c r="L166" s="34"/>
      <c r="M166" s="34"/>
      <c r="N166" s="34"/>
      <c r="O166" s="34"/>
      <c r="P166" s="34"/>
      <c r="Q166" s="25"/>
      <c r="R166" s="25"/>
      <c r="S166" s="25"/>
      <c r="T166" s="25"/>
      <c r="U166" s="25"/>
      <c r="V166" s="25"/>
      <c r="W166" s="25"/>
      <c r="X166" s="25"/>
      <c r="Y166" s="25"/>
      <c r="Z166" s="25"/>
    </row>
    <row r="167" spans="1:26" ht="12.75" customHeight="1" x14ac:dyDescent="0.2">
      <c r="A167" s="42" t="s">
        <v>26</v>
      </c>
      <c r="B167" s="50">
        <v>3</v>
      </c>
      <c r="C167" s="318" t="s">
        <v>287</v>
      </c>
      <c r="D167" s="319"/>
      <c r="E167" s="44"/>
      <c r="F167" s="34"/>
      <c r="G167" s="34"/>
      <c r="H167" s="35"/>
      <c r="I167" s="35"/>
      <c r="J167" s="34"/>
      <c r="K167" s="34"/>
      <c r="L167" s="34"/>
      <c r="M167" s="34"/>
      <c r="N167" s="34"/>
      <c r="O167" s="34"/>
      <c r="P167" s="34"/>
      <c r="Q167" s="25"/>
      <c r="R167" s="25"/>
      <c r="S167" s="25"/>
      <c r="T167" s="25"/>
      <c r="U167" s="25"/>
      <c r="V167" s="25"/>
      <c r="W167" s="25"/>
      <c r="X167" s="25"/>
      <c r="Y167" s="25"/>
      <c r="Z167" s="25"/>
    </row>
    <row r="168" spans="1:26" ht="12.75" customHeight="1" x14ac:dyDescent="0.2">
      <c r="A168" s="42" t="s">
        <v>26</v>
      </c>
      <c r="B168" s="48">
        <v>3</v>
      </c>
      <c r="C168" s="49" t="s">
        <v>12</v>
      </c>
      <c r="D168" s="53" t="s">
        <v>288</v>
      </c>
      <c r="E168" s="44"/>
      <c r="F168" s="34"/>
      <c r="G168" s="34"/>
      <c r="H168" s="35"/>
      <c r="I168" s="35"/>
      <c r="J168" s="34"/>
      <c r="K168" s="34"/>
      <c r="L168" s="34"/>
      <c r="M168" s="34"/>
      <c r="N168" s="34"/>
      <c r="O168" s="34"/>
      <c r="P168" s="34"/>
      <c r="Q168" s="25"/>
      <c r="R168" s="25"/>
      <c r="S168" s="25"/>
      <c r="T168" s="25"/>
      <c r="U168" s="25"/>
      <c r="V168" s="25"/>
      <c r="W168" s="25"/>
      <c r="X168" s="25"/>
      <c r="Y168" s="25"/>
      <c r="Z168" s="25"/>
    </row>
    <row r="169" spans="1:26" ht="12.75" customHeight="1" x14ac:dyDescent="0.2">
      <c r="A169" s="42" t="s">
        <v>26</v>
      </c>
      <c r="B169" s="48">
        <v>3</v>
      </c>
      <c r="C169" s="49" t="s">
        <v>16</v>
      </c>
      <c r="D169" s="53" t="s">
        <v>289</v>
      </c>
      <c r="E169" s="44"/>
      <c r="F169" s="34"/>
      <c r="G169" s="34"/>
      <c r="H169" s="35"/>
      <c r="I169" s="35"/>
      <c r="J169" s="34"/>
      <c r="K169" s="34"/>
      <c r="L169" s="34"/>
      <c r="M169" s="34"/>
      <c r="N169" s="34"/>
      <c r="O169" s="34"/>
      <c r="P169" s="34"/>
      <c r="Q169" s="25"/>
      <c r="R169" s="25"/>
      <c r="S169" s="25"/>
      <c r="T169" s="25"/>
      <c r="U169" s="25"/>
      <c r="V169" s="25"/>
      <c r="W169" s="25"/>
      <c r="X169" s="25"/>
      <c r="Y169" s="25"/>
      <c r="Z169" s="25"/>
    </row>
    <row r="170" spans="1:26" ht="12.75" customHeight="1" x14ac:dyDescent="0.2">
      <c r="A170" s="42" t="s">
        <v>26</v>
      </c>
      <c r="B170" s="48">
        <v>3</v>
      </c>
      <c r="C170" s="49" t="s">
        <v>19</v>
      </c>
      <c r="D170" s="53" t="s">
        <v>290</v>
      </c>
      <c r="E170" s="44"/>
      <c r="F170" s="34"/>
      <c r="G170" s="34"/>
      <c r="H170" s="35"/>
      <c r="I170" s="35"/>
      <c r="J170" s="34"/>
      <c r="K170" s="34"/>
      <c r="L170" s="34"/>
      <c r="M170" s="34"/>
      <c r="N170" s="34"/>
      <c r="O170" s="34"/>
      <c r="P170" s="34"/>
      <c r="Q170" s="25"/>
      <c r="R170" s="25"/>
      <c r="S170" s="25"/>
      <c r="T170" s="25"/>
      <c r="U170" s="25"/>
      <c r="V170" s="25"/>
      <c r="W170" s="25"/>
      <c r="X170" s="25"/>
      <c r="Y170" s="25"/>
      <c r="Z170" s="25"/>
    </row>
    <row r="171" spans="1:26" ht="12.75" customHeight="1" x14ac:dyDescent="0.2">
      <c r="A171" s="42" t="s">
        <v>26</v>
      </c>
      <c r="B171" s="48">
        <v>3</v>
      </c>
      <c r="C171" s="49" t="s">
        <v>22</v>
      </c>
      <c r="D171" s="53" t="s">
        <v>291</v>
      </c>
      <c r="E171" s="44"/>
      <c r="F171" s="34"/>
      <c r="G171" s="34"/>
      <c r="H171" s="35"/>
      <c r="I171" s="35"/>
      <c r="J171" s="34"/>
      <c r="K171" s="34"/>
      <c r="L171" s="34"/>
      <c r="M171" s="34"/>
      <c r="N171" s="34"/>
      <c r="O171" s="34"/>
      <c r="P171" s="34"/>
      <c r="Q171" s="25"/>
      <c r="R171" s="25"/>
      <c r="S171" s="25"/>
      <c r="T171" s="25"/>
      <c r="U171" s="25"/>
      <c r="V171" s="25"/>
      <c r="W171" s="25"/>
      <c r="X171" s="25"/>
      <c r="Y171" s="25"/>
      <c r="Z171" s="25"/>
    </row>
    <row r="172" spans="1:26" ht="12.75" customHeight="1" x14ac:dyDescent="0.2">
      <c r="A172" s="42" t="s">
        <v>26</v>
      </c>
      <c r="B172" s="48">
        <v>3</v>
      </c>
      <c r="C172" s="49" t="s">
        <v>23</v>
      </c>
      <c r="D172" s="53" t="s">
        <v>292</v>
      </c>
      <c r="E172" s="44"/>
      <c r="F172" s="34"/>
      <c r="G172" s="34"/>
      <c r="H172" s="35"/>
      <c r="I172" s="35"/>
      <c r="J172" s="34"/>
      <c r="K172" s="34"/>
      <c r="L172" s="34"/>
      <c r="M172" s="34"/>
      <c r="N172" s="34"/>
      <c r="O172" s="34"/>
      <c r="P172" s="34"/>
      <c r="Q172" s="25"/>
      <c r="R172" s="25"/>
      <c r="S172" s="25"/>
      <c r="T172" s="25"/>
      <c r="U172" s="25"/>
      <c r="V172" s="25"/>
      <c r="W172" s="25"/>
      <c r="X172" s="25"/>
      <c r="Y172" s="25"/>
      <c r="Z172" s="25"/>
    </row>
    <row r="173" spans="1:26" ht="12.75" customHeight="1" x14ac:dyDescent="0.2">
      <c r="A173" s="42" t="s">
        <v>26</v>
      </c>
      <c r="B173" s="48">
        <v>3</v>
      </c>
      <c r="C173" s="49" t="s">
        <v>25</v>
      </c>
      <c r="D173" s="53" t="s">
        <v>293</v>
      </c>
      <c r="E173" s="44"/>
      <c r="F173" s="34"/>
      <c r="G173" s="34"/>
      <c r="H173" s="35"/>
      <c r="I173" s="35"/>
      <c r="J173" s="34"/>
      <c r="K173" s="34"/>
      <c r="L173" s="34"/>
      <c r="M173" s="34"/>
      <c r="N173" s="34"/>
      <c r="O173" s="34"/>
      <c r="P173" s="34"/>
      <c r="Q173" s="25"/>
      <c r="R173" s="25"/>
      <c r="S173" s="25"/>
      <c r="T173" s="25"/>
      <c r="U173" s="25"/>
      <c r="V173" s="25"/>
      <c r="W173" s="25"/>
      <c r="X173" s="25"/>
      <c r="Y173" s="25"/>
      <c r="Z173" s="25"/>
    </row>
    <row r="174" spans="1:26" ht="12.75" customHeight="1" x14ac:dyDescent="0.2">
      <c r="A174" s="42" t="s">
        <v>26</v>
      </c>
      <c r="B174" s="48">
        <v>3</v>
      </c>
      <c r="C174" s="49" t="s">
        <v>26</v>
      </c>
      <c r="D174" s="53" t="s">
        <v>294</v>
      </c>
      <c r="E174" s="44"/>
      <c r="F174" s="34"/>
      <c r="G174" s="34"/>
      <c r="H174" s="35"/>
      <c r="I174" s="35"/>
      <c r="J174" s="34"/>
      <c r="K174" s="34"/>
      <c r="L174" s="34"/>
      <c r="M174" s="34"/>
      <c r="N174" s="34"/>
      <c r="O174" s="34"/>
      <c r="P174" s="34"/>
      <c r="Q174" s="25"/>
      <c r="R174" s="25"/>
      <c r="S174" s="25"/>
      <c r="T174" s="25"/>
      <c r="U174" s="25"/>
      <c r="V174" s="25"/>
      <c r="W174" s="25"/>
      <c r="X174" s="25"/>
      <c r="Y174" s="25"/>
      <c r="Z174" s="25"/>
    </row>
    <row r="175" spans="1:26" ht="12.75" customHeight="1" x14ac:dyDescent="0.2">
      <c r="A175" s="42" t="s">
        <v>26</v>
      </c>
      <c r="B175" s="48">
        <v>3</v>
      </c>
      <c r="C175" s="49" t="s">
        <v>93</v>
      </c>
      <c r="D175" s="53" t="s">
        <v>295</v>
      </c>
      <c r="E175" s="44"/>
      <c r="F175" s="34"/>
      <c r="G175" s="34"/>
      <c r="H175" s="35"/>
      <c r="I175" s="35"/>
      <c r="J175" s="34"/>
      <c r="K175" s="34"/>
      <c r="L175" s="34"/>
      <c r="M175" s="34"/>
      <c r="N175" s="34"/>
      <c r="O175" s="34"/>
      <c r="P175" s="34"/>
      <c r="Q175" s="25"/>
      <c r="R175" s="25"/>
      <c r="S175" s="25"/>
      <c r="T175" s="25"/>
      <c r="U175" s="25"/>
      <c r="V175" s="25"/>
      <c r="W175" s="25"/>
      <c r="X175" s="25"/>
      <c r="Y175" s="25"/>
      <c r="Z175" s="25"/>
    </row>
    <row r="176" spans="1:26" ht="12.75" customHeight="1" x14ac:dyDescent="0.2">
      <c r="A176" s="42" t="s">
        <v>26</v>
      </c>
      <c r="B176" s="48">
        <v>3</v>
      </c>
      <c r="C176" s="49" t="s">
        <v>94</v>
      </c>
      <c r="D176" s="53" t="s">
        <v>296</v>
      </c>
      <c r="E176" s="44"/>
      <c r="F176" s="34"/>
      <c r="G176" s="34"/>
      <c r="H176" s="35"/>
      <c r="I176" s="35"/>
      <c r="J176" s="34"/>
      <c r="K176" s="34"/>
      <c r="L176" s="34"/>
      <c r="M176" s="34"/>
      <c r="N176" s="34"/>
      <c r="O176" s="34"/>
      <c r="P176" s="34"/>
      <c r="Q176" s="25"/>
      <c r="R176" s="25"/>
      <c r="S176" s="25"/>
      <c r="T176" s="25"/>
      <c r="U176" s="25"/>
      <c r="V176" s="25"/>
      <c r="W176" s="25"/>
      <c r="X176" s="25"/>
      <c r="Y176" s="25"/>
      <c r="Z176" s="25"/>
    </row>
    <row r="177" spans="1:26" ht="12.75" customHeight="1" x14ac:dyDescent="0.2">
      <c r="A177" s="42" t="s">
        <v>26</v>
      </c>
      <c r="B177" s="48">
        <v>3</v>
      </c>
      <c r="C177" s="49" t="s">
        <v>95</v>
      </c>
      <c r="D177" s="53" t="s">
        <v>297</v>
      </c>
      <c r="E177" s="44"/>
      <c r="F177" s="34"/>
      <c r="G177" s="34"/>
      <c r="H177" s="35"/>
      <c r="I177" s="35"/>
      <c r="J177" s="34"/>
      <c r="K177" s="34"/>
      <c r="L177" s="34"/>
      <c r="M177" s="34"/>
      <c r="N177" s="34"/>
      <c r="O177" s="34"/>
      <c r="P177" s="34"/>
      <c r="Q177" s="25"/>
      <c r="R177" s="25"/>
      <c r="S177" s="25"/>
      <c r="T177" s="25"/>
      <c r="U177" s="25"/>
      <c r="V177" s="25"/>
      <c r="W177" s="25"/>
      <c r="X177" s="25"/>
      <c r="Y177" s="25"/>
      <c r="Z177" s="25"/>
    </row>
    <row r="178" spans="1:26" ht="12.75" customHeight="1" x14ac:dyDescent="0.2">
      <c r="A178" s="42" t="s">
        <v>26</v>
      </c>
      <c r="B178" s="48">
        <v>3</v>
      </c>
      <c r="C178" s="49" t="s">
        <v>28</v>
      </c>
      <c r="D178" s="53" t="s">
        <v>298</v>
      </c>
      <c r="E178" s="44"/>
      <c r="F178" s="34"/>
      <c r="G178" s="34"/>
      <c r="H178" s="35"/>
      <c r="I178" s="35"/>
      <c r="J178" s="34"/>
      <c r="K178" s="34"/>
      <c r="L178" s="34"/>
      <c r="M178" s="34"/>
      <c r="N178" s="34"/>
      <c r="O178" s="34"/>
      <c r="P178" s="34"/>
      <c r="Q178" s="25"/>
      <c r="R178" s="25"/>
      <c r="S178" s="25"/>
      <c r="T178" s="25"/>
      <c r="U178" s="25"/>
      <c r="V178" s="25"/>
      <c r="W178" s="25"/>
      <c r="X178" s="25"/>
      <c r="Y178" s="25"/>
      <c r="Z178" s="25"/>
    </row>
    <row r="179" spans="1:26" ht="12.75" customHeight="1" x14ac:dyDescent="0.2">
      <c r="A179" s="42" t="s">
        <v>26</v>
      </c>
      <c r="B179" s="48">
        <v>3</v>
      </c>
      <c r="C179" s="49" t="s">
        <v>29</v>
      </c>
      <c r="D179" s="53" t="s">
        <v>299</v>
      </c>
      <c r="E179" s="44"/>
      <c r="F179" s="34"/>
      <c r="G179" s="34"/>
      <c r="H179" s="35"/>
      <c r="I179" s="35"/>
      <c r="J179" s="34"/>
      <c r="K179" s="34"/>
      <c r="L179" s="34"/>
      <c r="M179" s="34"/>
      <c r="N179" s="34"/>
      <c r="O179" s="34"/>
      <c r="P179" s="34"/>
      <c r="Q179" s="25"/>
      <c r="R179" s="25"/>
      <c r="S179" s="25"/>
      <c r="T179" s="25"/>
      <c r="U179" s="25"/>
      <c r="V179" s="25"/>
      <c r="W179" s="25"/>
      <c r="X179" s="25"/>
      <c r="Y179" s="25"/>
      <c r="Z179" s="25"/>
    </row>
    <row r="180" spans="1:26" ht="12.75" customHeight="1" x14ac:dyDescent="0.2">
      <c r="A180" s="42" t="s">
        <v>26</v>
      </c>
      <c r="B180" s="48">
        <v>3</v>
      </c>
      <c r="C180" s="49" t="s">
        <v>30</v>
      </c>
      <c r="D180" s="53" t="s">
        <v>300</v>
      </c>
      <c r="E180" s="44"/>
      <c r="F180" s="34"/>
      <c r="G180" s="34"/>
      <c r="H180" s="35"/>
      <c r="I180" s="35"/>
      <c r="J180" s="34"/>
      <c r="K180" s="34"/>
      <c r="L180" s="34"/>
      <c r="M180" s="34"/>
      <c r="N180" s="34"/>
      <c r="O180" s="34"/>
      <c r="P180" s="34"/>
      <c r="Q180" s="25"/>
      <c r="R180" s="25"/>
      <c r="S180" s="25"/>
      <c r="T180" s="25"/>
      <c r="U180" s="25"/>
      <c r="V180" s="25"/>
      <c r="W180" s="25"/>
      <c r="X180" s="25"/>
      <c r="Y180" s="25"/>
      <c r="Z180" s="25"/>
    </row>
    <row r="181" spans="1:26" ht="12.75" customHeight="1" x14ac:dyDescent="0.2">
      <c r="A181" s="42" t="s">
        <v>26</v>
      </c>
      <c r="B181" s="48">
        <v>3</v>
      </c>
      <c r="C181" s="49" t="s">
        <v>96</v>
      </c>
      <c r="D181" s="53" t="s">
        <v>301</v>
      </c>
      <c r="E181" s="44"/>
      <c r="F181" s="34"/>
      <c r="G181" s="34"/>
      <c r="H181" s="35"/>
      <c r="I181" s="35"/>
      <c r="J181" s="34"/>
      <c r="K181" s="34"/>
      <c r="L181" s="34"/>
      <c r="M181" s="34"/>
      <c r="N181" s="34"/>
      <c r="O181" s="34"/>
      <c r="P181" s="34"/>
      <c r="Q181" s="25"/>
      <c r="R181" s="25"/>
      <c r="S181" s="25"/>
      <c r="T181" s="25"/>
      <c r="U181" s="25"/>
      <c r="V181" s="25"/>
      <c r="W181" s="25"/>
      <c r="X181" s="25"/>
      <c r="Y181" s="25"/>
      <c r="Z181" s="25"/>
    </row>
    <row r="182" spans="1:26" ht="12.75" customHeight="1" x14ac:dyDescent="0.2">
      <c r="A182" s="42" t="s">
        <v>26</v>
      </c>
      <c r="B182" s="48">
        <v>3</v>
      </c>
      <c r="C182" s="49" t="s">
        <v>97</v>
      </c>
      <c r="D182" s="53" t="s">
        <v>302</v>
      </c>
      <c r="E182" s="44"/>
      <c r="F182" s="34"/>
      <c r="G182" s="34"/>
      <c r="H182" s="35"/>
      <c r="I182" s="35"/>
      <c r="J182" s="34"/>
      <c r="K182" s="34"/>
      <c r="L182" s="34"/>
      <c r="M182" s="34"/>
      <c r="N182" s="34"/>
      <c r="O182" s="34"/>
      <c r="P182" s="34"/>
      <c r="Q182" s="25"/>
      <c r="R182" s="25"/>
      <c r="S182" s="25"/>
      <c r="T182" s="25"/>
      <c r="U182" s="25"/>
      <c r="V182" s="25"/>
      <c r="W182" s="25"/>
      <c r="X182" s="25"/>
      <c r="Y182" s="25"/>
      <c r="Z182" s="25"/>
    </row>
    <row r="183" spans="1:26" ht="12.75" customHeight="1" x14ac:dyDescent="0.2">
      <c r="A183" s="43" t="s">
        <v>248</v>
      </c>
      <c r="B183" s="320" t="s">
        <v>303</v>
      </c>
      <c r="C183" s="319"/>
      <c r="D183" s="319"/>
      <c r="E183" s="45"/>
      <c r="F183" s="30"/>
      <c r="G183" s="30"/>
      <c r="H183" s="31"/>
      <c r="I183" s="31"/>
      <c r="J183" s="30"/>
      <c r="K183" s="30"/>
      <c r="L183" s="30"/>
      <c r="M183" s="30"/>
      <c r="N183" s="30"/>
      <c r="O183" s="30"/>
      <c r="P183" s="30"/>
      <c r="Q183" s="25"/>
      <c r="R183" s="25"/>
      <c r="S183" s="25"/>
      <c r="T183" s="25"/>
      <c r="U183" s="25"/>
      <c r="V183" s="25"/>
      <c r="W183" s="25"/>
      <c r="X183" s="25"/>
      <c r="Y183" s="25"/>
      <c r="Z183" s="25"/>
    </row>
    <row r="184" spans="1:26" ht="12.75" customHeight="1" x14ac:dyDescent="0.2">
      <c r="A184" s="42" t="s">
        <v>26</v>
      </c>
      <c r="B184" s="50">
        <v>1</v>
      </c>
      <c r="C184" s="335" t="s">
        <v>304</v>
      </c>
      <c r="D184" s="319"/>
      <c r="E184" s="44"/>
      <c r="F184" s="34"/>
      <c r="G184" s="34"/>
      <c r="H184" s="35"/>
      <c r="I184" s="35"/>
      <c r="J184" s="34"/>
      <c r="K184" s="34"/>
      <c r="L184" s="34"/>
      <c r="M184" s="34"/>
      <c r="N184" s="34"/>
      <c r="O184" s="34"/>
      <c r="P184" s="34"/>
      <c r="Q184" s="25"/>
      <c r="R184" s="25"/>
      <c r="S184" s="25"/>
      <c r="T184" s="25"/>
      <c r="U184" s="25"/>
      <c r="V184" s="25"/>
      <c r="W184" s="25"/>
      <c r="X184" s="25"/>
      <c r="Y184" s="25"/>
      <c r="Z184" s="25"/>
    </row>
    <row r="185" spans="1:26" ht="12.75" customHeight="1" x14ac:dyDescent="0.2">
      <c r="A185" s="42" t="s">
        <v>26</v>
      </c>
      <c r="B185" s="48">
        <v>1</v>
      </c>
      <c r="C185" s="49" t="s">
        <v>12</v>
      </c>
      <c r="D185" s="53" t="s">
        <v>305</v>
      </c>
      <c r="E185" s="44"/>
      <c r="F185" s="34"/>
      <c r="G185" s="34"/>
      <c r="H185" s="35"/>
      <c r="I185" s="35"/>
      <c r="J185" s="34"/>
      <c r="K185" s="34"/>
      <c r="L185" s="34"/>
      <c r="M185" s="34"/>
      <c r="N185" s="34"/>
      <c r="O185" s="34"/>
      <c r="P185" s="34"/>
      <c r="Q185" s="25"/>
      <c r="R185" s="25"/>
      <c r="S185" s="25"/>
      <c r="T185" s="25"/>
      <c r="U185" s="25"/>
      <c r="V185" s="25"/>
      <c r="W185" s="25"/>
      <c r="X185" s="25"/>
      <c r="Y185" s="25"/>
      <c r="Z185" s="25"/>
    </row>
    <row r="186" spans="1:26" ht="12.75" customHeight="1" x14ac:dyDescent="0.2">
      <c r="A186" s="42" t="s">
        <v>26</v>
      </c>
      <c r="B186" s="48">
        <v>1</v>
      </c>
      <c r="C186" s="49" t="s">
        <v>16</v>
      </c>
      <c r="D186" s="53" t="s">
        <v>306</v>
      </c>
      <c r="E186" s="44"/>
      <c r="F186" s="34"/>
      <c r="G186" s="34"/>
      <c r="H186" s="35"/>
      <c r="I186" s="35"/>
      <c r="J186" s="34"/>
      <c r="K186" s="34"/>
      <c r="L186" s="34"/>
      <c r="M186" s="34"/>
      <c r="N186" s="34"/>
      <c r="O186" s="34"/>
      <c r="P186" s="34"/>
      <c r="Q186" s="25"/>
      <c r="R186" s="25"/>
      <c r="S186" s="25"/>
      <c r="T186" s="25"/>
      <c r="U186" s="25"/>
      <c r="V186" s="25"/>
      <c r="W186" s="25"/>
      <c r="X186" s="25"/>
      <c r="Y186" s="25"/>
      <c r="Z186" s="25"/>
    </row>
    <row r="187" spans="1:26" ht="12.75" customHeight="1" x14ac:dyDescent="0.2">
      <c r="A187" s="42" t="s">
        <v>26</v>
      </c>
      <c r="B187" s="48">
        <v>1</v>
      </c>
      <c r="C187" s="49" t="s">
        <v>19</v>
      </c>
      <c r="D187" s="53" t="s">
        <v>307</v>
      </c>
      <c r="E187" s="44"/>
      <c r="F187" s="34"/>
      <c r="G187" s="34"/>
      <c r="H187" s="35"/>
      <c r="I187" s="35"/>
      <c r="J187" s="34"/>
      <c r="K187" s="34"/>
      <c r="L187" s="34"/>
      <c r="M187" s="34"/>
      <c r="N187" s="34"/>
      <c r="O187" s="34"/>
      <c r="P187" s="34"/>
      <c r="Q187" s="25"/>
      <c r="R187" s="25"/>
      <c r="S187" s="25"/>
      <c r="T187" s="25"/>
      <c r="U187" s="25"/>
      <c r="V187" s="25"/>
      <c r="W187" s="25"/>
      <c r="X187" s="25"/>
      <c r="Y187" s="25"/>
      <c r="Z187" s="25"/>
    </row>
    <row r="188" spans="1:26" ht="12.75" customHeight="1" x14ac:dyDescent="0.2">
      <c r="A188" s="42" t="s">
        <v>26</v>
      </c>
      <c r="B188" s="48">
        <v>1</v>
      </c>
      <c r="C188" s="49" t="s">
        <v>22</v>
      </c>
      <c r="D188" s="53" t="s">
        <v>308</v>
      </c>
      <c r="E188" s="44"/>
      <c r="F188" s="34"/>
      <c r="G188" s="34"/>
      <c r="H188" s="35"/>
      <c r="I188" s="35"/>
      <c r="J188" s="34"/>
      <c r="K188" s="34"/>
      <c r="L188" s="34"/>
      <c r="M188" s="34"/>
      <c r="N188" s="34"/>
      <c r="O188" s="34"/>
      <c r="P188" s="34"/>
      <c r="Q188" s="25"/>
      <c r="R188" s="25"/>
      <c r="S188" s="25"/>
      <c r="T188" s="25"/>
      <c r="U188" s="25"/>
      <c r="V188" s="25"/>
      <c r="W188" s="25"/>
      <c r="X188" s="25"/>
      <c r="Y188" s="25"/>
      <c r="Z188" s="25"/>
    </row>
    <row r="189" spans="1:26" ht="12.75" customHeight="1" x14ac:dyDescent="0.2">
      <c r="A189" s="42" t="s">
        <v>26</v>
      </c>
      <c r="B189" s="48">
        <v>1</v>
      </c>
      <c r="C189" s="49" t="s">
        <v>23</v>
      </c>
      <c r="D189" s="53" t="s">
        <v>309</v>
      </c>
      <c r="E189" s="44"/>
      <c r="F189" s="34"/>
      <c r="G189" s="34"/>
      <c r="H189" s="35"/>
      <c r="I189" s="35"/>
      <c r="J189" s="34"/>
      <c r="K189" s="34"/>
      <c r="L189" s="34"/>
      <c r="M189" s="34"/>
      <c r="N189" s="34"/>
      <c r="O189" s="34"/>
      <c r="P189" s="34"/>
      <c r="Q189" s="25"/>
      <c r="R189" s="25"/>
      <c r="S189" s="25"/>
      <c r="T189" s="25"/>
      <c r="U189" s="25"/>
      <c r="V189" s="25"/>
      <c r="W189" s="25"/>
      <c r="X189" s="25"/>
      <c r="Y189" s="25"/>
      <c r="Z189" s="25"/>
    </row>
    <row r="190" spans="1:26" ht="12.75" customHeight="1" x14ac:dyDescent="0.2">
      <c r="A190" s="42" t="s">
        <v>26</v>
      </c>
      <c r="B190" s="48">
        <v>1</v>
      </c>
      <c r="C190" s="49" t="s">
        <v>25</v>
      </c>
      <c r="D190" s="53" t="s">
        <v>310</v>
      </c>
      <c r="E190" s="44"/>
      <c r="F190" s="34"/>
      <c r="G190" s="34"/>
      <c r="H190" s="35"/>
      <c r="I190" s="35"/>
      <c r="J190" s="34"/>
      <c r="K190" s="34"/>
      <c r="L190" s="34"/>
      <c r="M190" s="34"/>
      <c r="N190" s="34"/>
      <c r="O190" s="34"/>
      <c r="P190" s="34"/>
      <c r="Q190" s="25"/>
      <c r="R190" s="25"/>
      <c r="S190" s="25"/>
      <c r="T190" s="25"/>
      <c r="U190" s="25"/>
      <c r="V190" s="25"/>
      <c r="W190" s="25"/>
      <c r="X190" s="25"/>
      <c r="Y190" s="25"/>
      <c r="Z190" s="25"/>
    </row>
    <row r="191" spans="1:26" ht="12.75" customHeight="1" x14ac:dyDescent="0.2">
      <c r="A191" s="42" t="s">
        <v>26</v>
      </c>
      <c r="B191" s="48">
        <v>1</v>
      </c>
      <c r="C191" s="49" t="s">
        <v>26</v>
      </c>
      <c r="D191" s="53" t="s">
        <v>311</v>
      </c>
      <c r="E191" s="44"/>
      <c r="F191" s="34"/>
      <c r="G191" s="34"/>
      <c r="H191" s="35"/>
      <c r="I191" s="35"/>
      <c r="J191" s="34"/>
      <c r="K191" s="34"/>
      <c r="L191" s="34"/>
      <c r="M191" s="34"/>
      <c r="N191" s="34"/>
      <c r="O191" s="34"/>
      <c r="P191" s="34"/>
      <c r="Q191" s="25"/>
      <c r="R191" s="25"/>
      <c r="S191" s="25"/>
      <c r="T191" s="25"/>
      <c r="U191" s="25"/>
      <c r="V191" s="25"/>
      <c r="W191" s="25"/>
      <c r="X191" s="25"/>
      <c r="Y191" s="25"/>
      <c r="Z191" s="25"/>
    </row>
    <row r="192" spans="1:26" ht="12.75" customHeight="1" x14ac:dyDescent="0.2">
      <c r="A192" s="42" t="s">
        <v>26</v>
      </c>
      <c r="B192" s="48">
        <v>1</v>
      </c>
      <c r="C192" s="49" t="s">
        <v>93</v>
      </c>
      <c r="D192" s="53" t="s">
        <v>312</v>
      </c>
      <c r="E192" s="44"/>
      <c r="F192" s="34"/>
      <c r="G192" s="34"/>
      <c r="H192" s="35"/>
      <c r="I192" s="35"/>
      <c r="J192" s="34"/>
      <c r="K192" s="34"/>
      <c r="L192" s="34"/>
      <c r="M192" s="34"/>
      <c r="N192" s="34"/>
      <c r="O192" s="34"/>
      <c r="P192" s="34"/>
      <c r="Q192" s="25"/>
      <c r="R192" s="25"/>
      <c r="S192" s="25"/>
      <c r="T192" s="25"/>
      <c r="U192" s="25"/>
      <c r="V192" s="25"/>
      <c r="W192" s="25"/>
      <c r="X192" s="25"/>
      <c r="Y192" s="25"/>
      <c r="Z192" s="25"/>
    </row>
    <row r="193" spans="1:26" ht="12.75" customHeight="1" x14ac:dyDescent="0.2">
      <c r="A193" s="42" t="s">
        <v>26</v>
      </c>
      <c r="B193" s="48">
        <v>1</v>
      </c>
      <c r="C193" s="49" t="s">
        <v>94</v>
      </c>
      <c r="D193" s="53" t="s">
        <v>313</v>
      </c>
      <c r="E193" s="44"/>
      <c r="F193" s="34"/>
      <c r="G193" s="34"/>
      <c r="H193" s="35"/>
      <c r="I193" s="35"/>
      <c r="J193" s="34"/>
      <c r="K193" s="34"/>
      <c r="L193" s="34"/>
      <c r="M193" s="34"/>
      <c r="N193" s="34"/>
      <c r="O193" s="34"/>
      <c r="P193" s="34"/>
      <c r="Q193" s="25"/>
      <c r="R193" s="25"/>
      <c r="S193" s="25"/>
      <c r="T193" s="25"/>
      <c r="U193" s="25"/>
      <c r="V193" s="25"/>
      <c r="W193" s="25"/>
      <c r="X193" s="25"/>
      <c r="Y193" s="25"/>
      <c r="Z193" s="25"/>
    </row>
    <row r="194" spans="1:26" ht="12.75" customHeight="1" x14ac:dyDescent="0.2">
      <c r="A194" s="42" t="s">
        <v>26</v>
      </c>
      <c r="B194" s="48">
        <v>1</v>
      </c>
      <c r="C194" s="49" t="s">
        <v>95</v>
      </c>
      <c r="D194" s="53" t="s">
        <v>314</v>
      </c>
      <c r="E194" s="44"/>
      <c r="F194" s="34"/>
      <c r="G194" s="34"/>
      <c r="H194" s="35"/>
      <c r="I194" s="35"/>
      <c r="J194" s="34"/>
      <c r="K194" s="34"/>
      <c r="L194" s="34"/>
      <c r="M194" s="34"/>
      <c r="N194" s="34"/>
      <c r="O194" s="34"/>
      <c r="P194" s="34"/>
      <c r="Q194" s="25"/>
      <c r="R194" s="25"/>
      <c r="S194" s="25"/>
      <c r="T194" s="25"/>
      <c r="U194" s="25"/>
      <c r="V194" s="25"/>
      <c r="W194" s="25"/>
      <c r="X194" s="25"/>
      <c r="Y194" s="25"/>
      <c r="Z194" s="25"/>
    </row>
    <row r="195" spans="1:26" ht="12.75" customHeight="1" x14ac:dyDescent="0.2">
      <c r="A195" s="42" t="s">
        <v>26</v>
      </c>
      <c r="B195" s="48">
        <v>1</v>
      </c>
      <c r="C195" s="49" t="s">
        <v>28</v>
      </c>
      <c r="D195" s="53" t="s">
        <v>315</v>
      </c>
      <c r="E195" s="44"/>
      <c r="F195" s="34"/>
      <c r="G195" s="34"/>
      <c r="H195" s="35"/>
      <c r="I195" s="35"/>
      <c r="J195" s="34"/>
      <c r="K195" s="34"/>
      <c r="L195" s="34"/>
      <c r="M195" s="34"/>
      <c r="N195" s="34"/>
      <c r="O195" s="34"/>
      <c r="P195" s="34"/>
      <c r="Q195" s="25"/>
      <c r="R195" s="25"/>
      <c r="S195" s="25"/>
      <c r="T195" s="25"/>
      <c r="U195" s="25"/>
      <c r="V195" s="25"/>
      <c r="W195" s="25"/>
      <c r="X195" s="25"/>
      <c r="Y195" s="25"/>
      <c r="Z195" s="25"/>
    </row>
    <row r="196" spans="1:26" ht="12.75" customHeight="1" x14ac:dyDescent="0.2">
      <c r="A196" s="42" t="s">
        <v>26</v>
      </c>
      <c r="B196" s="48">
        <v>1</v>
      </c>
      <c r="C196" s="49" t="s">
        <v>29</v>
      </c>
      <c r="D196" s="53" t="s">
        <v>316</v>
      </c>
      <c r="E196" s="44"/>
      <c r="F196" s="34"/>
      <c r="G196" s="34"/>
      <c r="H196" s="35"/>
      <c r="I196" s="35"/>
      <c r="J196" s="34"/>
      <c r="K196" s="34"/>
      <c r="L196" s="34"/>
      <c r="M196" s="34"/>
      <c r="N196" s="34"/>
      <c r="O196" s="34"/>
      <c r="P196" s="34"/>
      <c r="Q196" s="25"/>
      <c r="R196" s="25"/>
      <c r="S196" s="25"/>
      <c r="T196" s="25"/>
      <c r="U196" s="25"/>
      <c r="V196" s="25"/>
      <c r="W196" s="25"/>
      <c r="X196" s="25"/>
      <c r="Y196" s="25"/>
      <c r="Z196" s="25"/>
    </row>
    <row r="197" spans="1:26" ht="12.75" customHeight="1" x14ac:dyDescent="0.2">
      <c r="A197" s="42" t="s">
        <v>26</v>
      </c>
      <c r="B197" s="50">
        <v>2</v>
      </c>
      <c r="C197" s="318" t="s">
        <v>317</v>
      </c>
      <c r="D197" s="319"/>
      <c r="E197" s="44"/>
      <c r="F197" s="34"/>
      <c r="G197" s="34"/>
      <c r="H197" s="35"/>
      <c r="I197" s="35"/>
      <c r="J197" s="34"/>
      <c r="K197" s="34"/>
      <c r="L197" s="34"/>
      <c r="M197" s="34"/>
      <c r="N197" s="34"/>
      <c r="O197" s="34"/>
      <c r="P197" s="34"/>
      <c r="Q197" s="25"/>
      <c r="R197" s="25"/>
      <c r="S197" s="25"/>
      <c r="T197" s="25"/>
      <c r="U197" s="25"/>
      <c r="V197" s="25"/>
      <c r="W197" s="25"/>
      <c r="X197" s="25"/>
      <c r="Y197" s="25"/>
      <c r="Z197" s="25"/>
    </row>
    <row r="198" spans="1:26" ht="12.75" customHeight="1" x14ac:dyDescent="0.2">
      <c r="A198" s="42" t="s">
        <v>26</v>
      </c>
      <c r="B198" s="48">
        <v>2</v>
      </c>
      <c r="C198" s="49" t="s">
        <v>12</v>
      </c>
      <c r="D198" s="53" t="s">
        <v>318</v>
      </c>
      <c r="E198" s="44"/>
      <c r="F198" s="34"/>
      <c r="G198" s="34"/>
      <c r="H198" s="35"/>
      <c r="I198" s="35"/>
      <c r="J198" s="34"/>
      <c r="K198" s="34"/>
      <c r="L198" s="34"/>
      <c r="M198" s="34"/>
      <c r="N198" s="34"/>
      <c r="O198" s="34"/>
      <c r="P198" s="34"/>
      <c r="Q198" s="25"/>
      <c r="R198" s="25"/>
      <c r="S198" s="25"/>
      <c r="T198" s="25"/>
      <c r="U198" s="25"/>
      <c r="V198" s="25"/>
      <c r="W198" s="25"/>
      <c r="X198" s="25"/>
      <c r="Y198" s="25"/>
      <c r="Z198" s="25"/>
    </row>
    <row r="199" spans="1:26" ht="12.75" customHeight="1" x14ac:dyDescent="0.2">
      <c r="A199" s="42" t="s">
        <v>26</v>
      </c>
      <c r="B199" s="48">
        <v>2</v>
      </c>
      <c r="C199" s="49" t="s">
        <v>16</v>
      </c>
      <c r="D199" s="53" t="s">
        <v>320</v>
      </c>
      <c r="E199" s="44"/>
      <c r="F199" s="34"/>
      <c r="G199" s="34"/>
      <c r="H199" s="35"/>
      <c r="I199" s="35"/>
      <c r="J199" s="34"/>
      <c r="K199" s="34"/>
      <c r="L199" s="34"/>
      <c r="M199" s="34"/>
      <c r="N199" s="34"/>
      <c r="O199" s="34"/>
      <c r="P199" s="34"/>
      <c r="Q199" s="25"/>
      <c r="R199" s="25"/>
      <c r="S199" s="25"/>
      <c r="T199" s="25"/>
      <c r="U199" s="25"/>
      <c r="V199" s="25"/>
      <c r="W199" s="25"/>
      <c r="X199" s="25"/>
      <c r="Y199" s="25"/>
      <c r="Z199" s="25"/>
    </row>
    <row r="200" spans="1:26" ht="12.75" customHeight="1" x14ac:dyDescent="0.2">
      <c r="A200" s="42" t="s">
        <v>26</v>
      </c>
      <c r="B200" s="48">
        <v>2</v>
      </c>
      <c r="C200" s="49" t="s">
        <v>19</v>
      </c>
      <c r="D200" s="53" t="s">
        <v>321</v>
      </c>
      <c r="E200" s="44"/>
      <c r="F200" s="34"/>
      <c r="G200" s="34"/>
      <c r="H200" s="35"/>
      <c r="I200" s="35"/>
      <c r="J200" s="34"/>
      <c r="K200" s="34"/>
      <c r="L200" s="34"/>
      <c r="M200" s="34"/>
      <c r="N200" s="34"/>
      <c r="O200" s="34"/>
      <c r="P200" s="34"/>
      <c r="Q200" s="25"/>
      <c r="R200" s="25"/>
      <c r="S200" s="25"/>
      <c r="T200" s="25"/>
      <c r="U200" s="25"/>
      <c r="V200" s="25"/>
      <c r="W200" s="25"/>
      <c r="X200" s="25"/>
      <c r="Y200" s="25"/>
      <c r="Z200" s="25"/>
    </row>
    <row r="201" spans="1:26" ht="12.75" customHeight="1" x14ac:dyDescent="0.2">
      <c r="A201" s="42" t="s">
        <v>26</v>
      </c>
      <c r="B201" s="48">
        <v>2</v>
      </c>
      <c r="C201" s="49" t="s">
        <v>22</v>
      </c>
      <c r="D201" s="53" t="s">
        <v>322</v>
      </c>
      <c r="E201" s="44"/>
      <c r="F201" s="34"/>
      <c r="G201" s="34"/>
      <c r="H201" s="35"/>
      <c r="I201" s="35"/>
      <c r="J201" s="34"/>
      <c r="K201" s="34"/>
      <c r="L201" s="34"/>
      <c r="M201" s="34"/>
      <c r="N201" s="34"/>
      <c r="O201" s="34"/>
      <c r="P201" s="34"/>
      <c r="Q201" s="25"/>
      <c r="R201" s="25"/>
      <c r="S201" s="25"/>
      <c r="T201" s="25"/>
      <c r="U201" s="25"/>
      <c r="V201" s="25"/>
      <c r="W201" s="25"/>
      <c r="X201" s="25"/>
      <c r="Y201" s="25"/>
      <c r="Z201" s="25"/>
    </row>
    <row r="202" spans="1:26" ht="12.75" customHeight="1" x14ac:dyDescent="0.2">
      <c r="A202" s="42" t="s">
        <v>26</v>
      </c>
      <c r="B202" s="48">
        <v>2</v>
      </c>
      <c r="C202" s="49" t="s">
        <v>23</v>
      </c>
      <c r="D202" s="53" t="s">
        <v>323</v>
      </c>
      <c r="E202" s="44"/>
      <c r="F202" s="34"/>
      <c r="G202" s="34"/>
      <c r="H202" s="35"/>
      <c r="I202" s="35"/>
      <c r="J202" s="34"/>
      <c r="K202" s="34"/>
      <c r="L202" s="34"/>
      <c r="M202" s="34"/>
      <c r="N202" s="34"/>
      <c r="O202" s="34"/>
      <c r="P202" s="34"/>
      <c r="Q202" s="25"/>
      <c r="R202" s="25"/>
      <c r="S202" s="25"/>
      <c r="T202" s="25"/>
      <c r="U202" s="25"/>
      <c r="V202" s="25"/>
      <c r="W202" s="25"/>
      <c r="X202" s="25"/>
      <c r="Y202" s="25"/>
      <c r="Z202" s="25"/>
    </row>
    <row r="203" spans="1:26" ht="12.75" customHeight="1" x14ac:dyDescent="0.2">
      <c r="A203" s="42" t="s">
        <v>26</v>
      </c>
      <c r="B203" s="48">
        <v>2</v>
      </c>
      <c r="C203" s="49" t="s">
        <v>25</v>
      </c>
      <c r="D203" s="53" t="s">
        <v>324</v>
      </c>
      <c r="E203" s="44"/>
      <c r="F203" s="34"/>
      <c r="G203" s="34"/>
      <c r="H203" s="35"/>
      <c r="I203" s="35"/>
      <c r="J203" s="34"/>
      <c r="K203" s="34"/>
      <c r="L203" s="34"/>
      <c r="M203" s="34"/>
      <c r="N203" s="34"/>
      <c r="O203" s="34"/>
      <c r="P203" s="34"/>
      <c r="Q203" s="25"/>
      <c r="R203" s="25"/>
      <c r="S203" s="25"/>
      <c r="T203" s="25"/>
      <c r="U203" s="25"/>
      <c r="V203" s="25"/>
      <c r="W203" s="25"/>
      <c r="X203" s="25"/>
      <c r="Y203" s="25"/>
      <c r="Z203" s="25"/>
    </row>
    <row r="204" spans="1:26" ht="12.75" customHeight="1" x14ac:dyDescent="0.2">
      <c r="A204" s="42" t="s">
        <v>26</v>
      </c>
      <c r="B204" s="48">
        <v>2</v>
      </c>
      <c r="C204" s="49" t="s">
        <v>26</v>
      </c>
      <c r="D204" s="52" t="s">
        <v>325</v>
      </c>
      <c r="E204" s="44"/>
      <c r="F204" s="34"/>
      <c r="G204" s="34"/>
      <c r="H204" s="35"/>
      <c r="I204" s="35"/>
      <c r="J204" s="34"/>
      <c r="K204" s="34"/>
      <c r="L204" s="34"/>
      <c r="M204" s="34"/>
      <c r="N204" s="34"/>
      <c r="O204" s="34"/>
      <c r="P204" s="34"/>
      <c r="Q204" s="25"/>
      <c r="R204" s="25"/>
      <c r="S204" s="25"/>
      <c r="T204" s="25"/>
      <c r="U204" s="25"/>
      <c r="V204" s="25"/>
      <c r="W204" s="25"/>
      <c r="X204" s="25"/>
      <c r="Y204" s="25"/>
      <c r="Z204" s="25"/>
    </row>
    <row r="205" spans="1:26" ht="12.75" customHeight="1" x14ac:dyDescent="0.2">
      <c r="A205" s="42" t="s">
        <v>26</v>
      </c>
      <c r="B205" s="50">
        <v>3</v>
      </c>
      <c r="C205" s="318" t="s">
        <v>326</v>
      </c>
      <c r="D205" s="319"/>
      <c r="E205" s="44"/>
      <c r="F205" s="34"/>
      <c r="G205" s="34"/>
      <c r="H205" s="35"/>
      <c r="I205" s="35"/>
      <c r="J205" s="34"/>
      <c r="K205" s="34"/>
      <c r="L205" s="34"/>
      <c r="M205" s="34"/>
      <c r="N205" s="34"/>
      <c r="O205" s="34"/>
      <c r="P205" s="34"/>
      <c r="Q205" s="25"/>
      <c r="R205" s="25"/>
      <c r="S205" s="25"/>
      <c r="T205" s="25"/>
      <c r="U205" s="25"/>
      <c r="V205" s="25"/>
      <c r="W205" s="25"/>
      <c r="X205" s="25"/>
      <c r="Y205" s="25"/>
      <c r="Z205" s="25"/>
    </row>
    <row r="206" spans="1:26" ht="12.75" customHeight="1" x14ac:dyDescent="0.2">
      <c r="A206" s="42" t="s">
        <v>26</v>
      </c>
      <c r="B206" s="48">
        <v>3</v>
      </c>
      <c r="C206" s="49" t="s">
        <v>12</v>
      </c>
      <c r="D206" s="53" t="s">
        <v>326</v>
      </c>
      <c r="E206" s="44"/>
      <c r="F206" s="34"/>
      <c r="G206" s="34"/>
      <c r="H206" s="35"/>
      <c r="I206" s="35"/>
      <c r="J206" s="34"/>
      <c r="K206" s="34"/>
      <c r="L206" s="34"/>
      <c r="M206" s="34"/>
      <c r="N206" s="34"/>
      <c r="O206" s="34"/>
      <c r="P206" s="34"/>
      <c r="Q206" s="25"/>
      <c r="R206" s="25"/>
      <c r="S206" s="25"/>
      <c r="T206" s="25"/>
      <c r="U206" s="25"/>
      <c r="V206" s="25"/>
      <c r="W206" s="25"/>
      <c r="X206" s="25"/>
      <c r="Y206" s="25"/>
      <c r="Z206" s="25"/>
    </row>
    <row r="207" spans="1:26" ht="12.75" customHeight="1" x14ac:dyDescent="0.2">
      <c r="A207" s="42" t="s">
        <v>26</v>
      </c>
      <c r="B207" s="50">
        <v>4</v>
      </c>
      <c r="C207" s="318" t="s">
        <v>327</v>
      </c>
      <c r="D207" s="319"/>
      <c r="E207" s="44"/>
      <c r="F207" s="34"/>
      <c r="G207" s="34"/>
      <c r="H207" s="35"/>
      <c r="I207" s="35"/>
      <c r="J207" s="34"/>
      <c r="K207" s="34"/>
      <c r="L207" s="34"/>
      <c r="M207" s="34"/>
      <c r="N207" s="34"/>
      <c r="O207" s="34"/>
      <c r="P207" s="34"/>
      <c r="Q207" s="25"/>
      <c r="R207" s="25"/>
      <c r="S207" s="25"/>
      <c r="T207" s="25"/>
      <c r="U207" s="25"/>
      <c r="V207" s="25"/>
      <c r="W207" s="25"/>
      <c r="X207" s="25"/>
      <c r="Y207" s="25"/>
      <c r="Z207" s="25"/>
    </row>
    <row r="208" spans="1:26" ht="12.75" customHeight="1" x14ac:dyDescent="0.2">
      <c r="A208" s="42" t="s">
        <v>26</v>
      </c>
      <c r="B208" s="48">
        <v>4</v>
      </c>
      <c r="C208" s="49" t="s">
        <v>12</v>
      </c>
      <c r="D208" s="53" t="s">
        <v>327</v>
      </c>
      <c r="E208" s="44"/>
      <c r="F208" s="34"/>
      <c r="G208" s="34"/>
      <c r="H208" s="35"/>
      <c r="I208" s="35"/>
      <c r="J208" s="34"/>
      <c r="K208" s="34"/>
      <c r="L208" s="34"/>
      <c r="M208" s="34"/>
      <c r="N208" s="34"/>
      <c r="O208" s="34"/>
      <c r="P208" s="34"/>
      <c r="Q208" s="25"/>
      <c r="R208" s="25"/>
      <c r="S208" s="25"/>
      <c r="T208" s="25"/>
      <c r="U208" s="25"/>
      <c r="V208" s="25"/>
      <c r="W208" s="25"/>
      <c r="X208" s="25"/>
      <c r="Y208" s="25"/>
      <c r="Z208" s="25"/>
    </row>
    <row r="209" spans="1:26" ht="12.75" customHeight="1" x14ac:dyDescent="0.2">
      <c r="A209" s="42" t="s">
        <v>26</v>
      </c>
      <c r="B209" s="50">
        <v>5</v>
      </c>
      <c r="C209" s="318" t="s">
        <v>328</v>
      </c>
      <c r="D209" s="319"/>
      <c r="E209" s="44"/>
      <c r="F209" s="34"/>
      <c r="G209" s="34"/>
      <c r="H209" s="35"/>
      <c r="I209" s="35"/>
      <c r="J209" s="34"/>
      <c r="K209" s="34"/>
      <c r="L209" s="34"/>
      <c r="M209" s="34"/>
      <c r="N209" s="34"/>
      <c r="O209" s="34"/>
      <c r="P209" s="34"/>
      <c r="Q209" s="25"/>
      <c r="R209" s="25"/>
      <c r="S209" s="25"/>
      <c r="T209" s="25"/>
      <c r="U209" s="25"/>
      <c r="V209" s="25"/>
      <c r="W209" s="25"/>
      <c r="X209" s="25"/>
      <c r="Y209" s="25"/>
      <c r="Z209" s="25"/>
    </row>
    <row r="210" spans="1:26" ht="12.75" customHeight="1" x14ac:dyDescent="0.2">
      <c r="A210" s="42" t="s">
        <v>26</v>
      </c>
      <c r="B210" s="48">
        <v>5</v>
      </c>
      <c r="C210" s="49" t="s">
        <v>12</v>
      </c>
      <c r="D210" s="53" t="s">
        <v>329</v>
      </c>
      <c r="E210" s="44"/>
      <c r="F210" s="34"/>
      <c r="G210" s="34"/>
      <c r="H210" s="35"/>
      <c r="I210" s="35"/>
      <c r="J210" s="34"/>
      <c r="K210" s="34"/>
      <c r="L210" s="34"/>
      <c r="M210" s="34"/>
      <c r="N210" s="34"/>
      <c r="O210" s="34"/>
      <c r="P210" s="34"/>
      <c r="Q210" s="25"/>
      <c r="R210" s="25"/>
      <c r="S210" s="25"/>
      <c r="T210" s="25"/>
      <c r="U210" s="25"/>
      <c r="V210" s="25"/>
      <c r="W210" s="25"/>
      <c r="X210" s="25"/>
      <c r="Y210" s="25"/>
      <c r="Z210" s="25"/>
    </row>
    <row r="211" spans="1:26" ht="12.75" customHeight="1" x14ac:dyDescent="0.2">
      <c r="A211" s="42" t="s">
        <v>26</v>
      </c>
      <c r="B211" s="48">
        <v>5</v>
      </c>
      <c r="C211" s="49" t="s">
        <v>16</v>
      </c>
      <c r="D211" s="53" t="s">
        <v>330</v>
      </c>
      <c r="E211" s="44"/>
      <c r="F211" s="34"/>
      <c r="G211" s="34"/>
      <c r="H211" s="35"/>
      <c r="I211" s="35"/>
      <c r="J211" s="34"/>
      <c r="K211" s="34"/>
      <c r="L211" s="34"/>
      <c r="M211" s="34"/>
      <c r="N211" s="34"/>
      <c r="O211" s="34"/>
      <c r="P211" s="34"/>
      <c r="Q211" s="25"/>
      <c r="R211" s="25"/>
      <c r="S211" s="25"/>
      <c r="T211" s="25"/>
      <c r="U211" s="25"/>
      <c r="V211" s="25"/>
      <c r="W211" s="25"/>
      <c r="X211" s="25"/>
      <c r="Y211" s="25"/>
      <c r="Z211" s="25"/>
    </row>
    <row r="212" spans="1:26" ht="12.75" customHeight="1" x14ac:dyDescent="0.2">
      <c r="A212" s="42" t="s">
        <v>26</v>
      </c>
      <c r="B212" s="48">
        <v>5</v>
      </c>
      <c r="C212" s="49" t="s">
        <v>19</v>
      </c>
      <c r="D212" s="53" t="s">
        <v>331</v>
      </c>
      <c r="E212" s="44"/>
      <c r="F212" s="34"/>
      <c r="G212" s="34"/>
      <c r="H212" s="35"/>
      <c r="I212" s="35"/>
      <c r="J212" s="34"/>
      <c r="K212" s="34"/>
      <c r="L212" s="34"/>
      <c r="M212" s="34"/>
      <c r="N212" s="34"/>
      <c r="O212" s="34"/>
      <c r="P212" s="34"/>
      <c r="Q212" s="25"/>
      <c r="R212" s="25"/>
      <c r="S212" s="25"/>
      <c r="T212" s="25"/>
      <c r="U212" s="25"/>
      <c r="V212" s="25"/>
      <c r="W212" s="25"/>
      <c r="X212" s="25"/>
      <c r="Y212" s="25"/>
      <c r="Z212" s="25"/>
    </row>
    <row r="213" spans="1:26" ht="12.75" customHeight="1" x14ac:dyDescent="0.2">
      <c r="A213" s="42" t="s">
        <v>26</v>
      </c>
      <c r="B213" s="50">
        <v>6</v>
      </c>
      <c r="C213" s="318" t="s">
        <v>332</v>
      </c>
      <c r="D213" s="319"/>
      <c r="E213" s="44"/>
      <c r="F213" s="34"/>
      <c r="G213" s="34"/>
      <c r="H213" s="35"/>
      <c r="I213" s="35"/>
      <c r="J213" s="34"/>
      <c r="K213" s="34"/>
      <c r="L213" s="34"/>
      <c r="M213" s="34"/>
      <c r="N213" s="34"/>
      <c r="O213" s="34"/>
      <c r="P213" s="34"/>
      <c r="Q213" s="25"/>
      <c r="R213" s="25"/>
      <c r="S213" s="25"/>
      <c r="T213" s="25"/>
      <c r="U213" s="25"/>
      <c r="V213" s="25"/>
      <c r="W213" s="25"/>
      <c r="X213" s="25"/>
      <c r="Y213" s="25"/>
      <c r="Z213" s="25"/>
    </row>
    <row r="214" spans="1:26" ht="12.75" customHeight="1" x14ac:dyDescent="0.2">
      <c r="A214" s="42" t="s">
        <v>26</v>
      </c>
      <c r="B214" s="48">
        <v>6</v>
      </c>
      <c r="C214" s="49" t="s">
        <v>12</v>
      </c>
      <c r="D214" s="53" t="s">
        <v>333</v>
      </c>
      <c r="E214" s="44"/>
      <c r="F214" s="34"/>
      <c r="G214" s="34"/>
      <c r="H214" s="35"/>
      <c r="I214" s="35"/>
      <c r="J214" s="34"/>
      <c r="K214" s="34"/>
      <c r="L214" s="34"/>
      <c r="M214" s="34"/>
      <c r="N214" s="34"/>
      <c r="O214" s="34"/>
      <c r="P214" s="34"/>
      <c r="Q214" s="25"/>
      <c r="R214" s="25"/>
      <c r="S214" s="25"/>
      <c r="T214" s="25"/>
      <c r="U214" s="25"/>
      <c r="V214" s="25"/>
      <c r="W214" s="25"/>
      <c r="X214" s="25"/>
      <c r="Y214" s="25"/>
      <c r="Z214" s="25"/>
    </row>
    <row r="215" spans="1:26" ht="12.75" customHeight="1" x14ac:dyDescent="0.2">
      <c r="A215" s="42" t="s">
        <v>26</v>
      </c>
      <c r="B215" s="48">
        <v>6</v>
      </c>
      <c r="C215" s="49" t="s">
        <v>16</v>
      </c>
      <c r="D215" s="53" t="s">
        <v>334</v>
      </c>
      <c r="E215" s="44"/>
      <c r="F215" s="34"/>
      <c r="G215" s="34"/>
      <c r="H215" s="35"/>
      <c r="I215" s="35"/>
      <c r="J215" s="34"/>
      <c r="K215" s="34"/>
      <c r="L215" s="34"/>
      <c r="M215" s="34"/>
      <c r="N215" s="34"/>
      <c r="O215" s="34"/>
      <c r="P215" s="34"/>
      <c r="Q215" s="25"/>
      <c r="R215" s="25"/>
      <c r="S215" s="25"/>
      <c r="T215" s="25"/>
      <c r="U215" s="25"/>
      <c r="V215" s="25"/>
      <c r="W215" s="25"/>
      <c r="X215" s="25"/>
      <c r="Y215" s="25"/>
      <c r="Z215" s="25"/>
    </row>
    <row r="216" spans="1:26" ht="12.75" customHeight="1" x14ac:dyDescent="0.2">
      <c r="A216" s="42" t="s">
        <v>26</v>
      </c>
      <c r="B216" s="48">
        <v>6</v>
      </c>
      <c r="C216" s="49" t="s">
        <v>19</v>
      </c>
      <c r="D216" s="53" t="s">
        <v>335</v>
      </c>
      <c r="E216" s="44"/>
      <c r="F216" s="34"/>
      <c r="G216" s="34"/>
      <c r="H216" s="35"/>
      <c r="I216" s="35"/>
      <c r="J216" s="34"/>
      <c r="K216" s="34"/>
      <c r="L216" s="34"/>
      <c r="M216" s="34"/>
      <c r="N216" s="34"/>
      <c r="O216" s="34"/>
      <c r="P216" s="34"/>
      <c r="Q216" s="25"/>
      <c r="R216" s="25"/>
      <c r="S216" s="25"/>
      <c r="T216" s="25"/>
      <c r="U216" s="25"/>
      <c r="V216" s="25"/>
      <c r="W216" s="25"/>
      <c r="X216" s="25"/>
      <c r="Y216" s="25"/>
      <c r="Z216" s="25"/>
    </row>
    <row r="217" spans="1:26" ht="12.75" customHeight="1" x14ac:dyDescent="0.2">
      <c r="A217" s="43" t="s">
        <v>249</v>
      </c>
      <c r="B217" s="320" t="s">
        <v>336</v>
      </c>
      <c r="C217" s="319"/>
      <c r="D217" s="319"/>
      <c r="E217" s="45"/>
      <c r="F217" s="30"/>
      <c r="G217" s="30"/>
      <c r="H217" s="31"/>
      <c r="I217" s="31"/>
      <c r="J217" s="30"/>
      <c r="K217" s="30"/>
      <c r="L217" s="30"/>
      <c r="M217" s="30"/>
      <c r="N217" s="30"/>
      <c r="O217" s="30"/>
      <c r="P217" s="30"/>
      <c r="Q217" s="25"/>
      <c r="R217" s="25"/>
      <c r="S217" s="25"/>
      <c r="T217" s="25"/>
      <c r="U217" s="25"/>
      <c r="V217" s="25"/>
      <c r="W217" s="25"/>
      <c r="X217" s="25"/>
      <c r="Y217" s="25"/>
      <c r="Z217" s="25"/>
    </row>
    <row r="218" spans="1:26" ht="12.75" customHeight="1" x14ac:dyDescent="0.2">
      <c r="A218" s="42" t="s">
        <v>93</v>
      </c>
      <c r="B218" s="50">
        <v>1</v>
      </c>
      <c r="C218" s="318" t="s">
        <v>338</v>
      </c>
      <c r="D218" s="319"/>
      <c r="E218" s="44"/>
      <c r="F218" s="34"/>
      <c r="G218" s="34"/>
      <c r="H218" s="35"/>
      <c r="I218" s="35"/>
      <c r="J218" s="34"/>
      <c r="K218" s="34"/>
      <c r="L218" s="34"/>
      <c r="M218" s="34"/>
      <c r="N218" s="34"/>
      <c r="O218" s="34"/>
      <c r="P218" s="34"/>
      <c r="Q218" s="25"/>
      <c r="R218" s="25"/>
      <c r="S218" s="25"/>
      <c r="T218" s="25"/>
      <c r="U218" s="25"/>
      <c r="V218" s="25"/>
      <c r="W218" s="25"/>
      <c r="X218" s="25"/>
      <c r="Y218" s="25"/>
      <c r="Z218" s="25"/>
    </row>
    <row r="219" spans="1:26" ht="12.75" customHeight="1" x14ac:dyDescent="0.2">
      <c r="A219" s="42" t="s">
        <v>93</v>
      </c>
      <c r="B219" s="48">
        <v>1</v>
      </c>
      <c r="C219" s="49" t="s">
        <v>12</v>
      </c>
      <c r="D219" s="53" t="s">
        <v>339</v>
      </c>
      <c r="E219" s="44"/>
      <c r="F219" s="34"/>
      <c r="G219" s="34"/>
      <c r="H219" s="35"/>
      <c r="I219" s="35"/>
      <c r="J219" s="34"/>
      <c r="K219" s="34"/>
      <c r="L219" s="34"/>
      <c r="M219" s="34"/>
      <c r="N219" s="34"/>
      <c r="O219" s="34"/>
      <c r="P219" s="34"/>
      <c r="Q219" s="25"/>
      <c r="R219" s="25"/>
      <c r="S219" s="25"/>
      <c r="T219" s="25"/>
      <c r="U219" s="25"/>
      <c r="V219" s="25"/>
      <c r="W219" s="25"/>
      <c r="X219" s="25"/>
      <c r="Y219" s="25"/>
      <c r="Z219" s="25"/>
    </row>
    <row r="220" spans="1:26" ht="12.75" customHeight="1" x14ac:dyDescent="0.2">
      <c r="A220" s="42" t="s">
        <v>93</v>
      </c>
      <c r="B220" s="48">
        <v>1</v>
      </c>
      <c r="C220" s="49" t="s">
        <v>16</v>
      </c>
      <c r="D220" s="53" t="s">
        <v>340</v>
      </c>
      <c r="E220" s="44"/>
      <c r="F220" s="34"/>
      <c r="G220" s="34"/>
      <c r="H220" s="35"/>
      <c r="I220" s="35"/>
      <c r="J220" s="34"/>
      <c r="K220" s="34"/>
      <c r="L220" s="34"/>
      <c r="M220" s="34"/>
      <c r="N220" s="34"/>
      <c r="O220" s="34"/>
      <c r="P220" s="34"/>
      <c r="Q220" s="25"/>
      <c r="R220" s="25"/>
      <c r="S220" s="25"/>
      <c r="T220" s="25"/>
      <c r="U220" s="25"/>
      <c r="V220" s="25"/>
      <c r="W220" s="25"/>
      <c r="X220" s="25"/>
      <c r="Y220" s="25"/>
      <c r="Z220" s="25"/>
    </row>
    <row r="221" spans="1:26" ht="12.75" customHeight="1" x14ac:dyDescent="0.2">
      <c r="A221" s="42" t="s">
        <v>93</v>
      </c>
      <c r="B221" s="48">
        <v>1</v>
      </c>
      <c r="C221" s="49" t="s">
        <v>19</v>
      </c>
      <c r="D221" s="53" t="s">
        <v>341</v>
      </c>
      <c r="E221" s="44"/>
      <c r="F221" s="34"/>
      <c r="G221" s="34"/>
      <c r="H221" s="35"/>
      <c r="I221" s="35"/>
      <c r="J221" s="34"/>
      <c r="K221" s="34"/>
      <c r="L221" s="34"/>
      <c r="M221" s="34"/>
      <c r="N221" s="34"/>
      <c r="O221" s="34"/>
      <c r="P221" s="34"/>
      <c r="Q221" s="25"/>
      <c r="R221" s="25"/>
      <c r="S221" s="25"/>
      <c r="T221" s="25"/>
      <c r="U221" s="25"/>
      <c r="V221" s="25"/>
      <c r="W221" s="25"/>
      <c r="X221" s="25"/>
      <c r="Y221" s="25"/>
      <c r="Z221" s="25"/>
    </row>
    <row r="222" spans="1:26" ht="12.75" customHeight="1" x14ac:dyDescent="0.2">
      <c r="A222" s="42" t="s">
        <v>93</v>
      </c>
      <c r="B222" s="50">
        <v>2</v>
      </c>
      <c r="C222" s="318" t="s">
        <v>342</v>
      </c>
      <c r="D222" s="319"/>
      <c r="E222" s="44"/>
      <c r="F222" s="34"/>
      <c r="G222" s="34"/>
      <c r="H222" s="35"/>
      <c r="I222" s="35"/>
      <c r="J222" s="34"/>
      <c r="K222" s="34"/>
      <c r="L222" s="34"/>
      <c r="M222" s="34"/>
      <c r="N222" s="34"/>
      <c r="O222" s="34"/>
      <c r="P222" s="34"/>
      <c r="Q222" s="25"/>
      <c r="R222" s="25"/>
      <c r="S222" s="25"/>
      <c r="T222" s="25"/>
      <c r="U222" s="25"/>
      <c r="V222" s="25"/>
      <c r="W222" s="25"/>
      <c r="X222" s="25"/>
      <c r="Y222" s="25"/>
      <c r="Z222" s="25"/>
    </row>
    <row r="223" spans="1:26" ht="12.75" customHeight="1" x14ac:dyDescent="0.2">
      <c r="A223" s="42" t="s">
        <v>93</v>
      </c>
      <c r="B223" s="48">
        <v>2</v>
      </c>
      <c r="C223" s="51" t="s">
        <v>12</v>
      </c>
      <c r="D223" s="53" t="s">
        <v>343</v>
      </c>
      <c r="E223" s="44"/>
      <c r="F223" s="34"/>
      <c r="G223" s="34"/>
      <c r="H223" s="35"/>
      <c r="I223" s="35"/>
      <c r="J223" s="34"/>
      <c r="K223" s="34"/>
      <c r="L223" s="34"/>
      <c r="M223" s="34"/>
      <c r="N223" s="34"/>
      <c r="O223" s="34"/>
      <c r="P223" s="34"/>
      <c r="Q223" s="25"/>
      <c r="R223" s="25"/>
      <c r="S223" s="25"/>
      <c r="T223" s="25"/>
      <c r="U223" s="25"/>
      <c r="V223" s="25"/>
      <c r="W223" s="25"/>
      <c r="X223" s="25"/>
      <c r="Y223" s="25"/>
      <c r="Z223" s="25"/>
    </row>
    <row r="224" spans="1:26" ht="12.75" customHeight="1" x14ac:dyDescent="0.2">
      <c r="A224" s="42" t="s">
        <v>93</v>
      </c>
      <c r="B224" s="48">
        <v>2</v>
      </c>
      <c r="C224" s="51" t="s">
        <v>16</v>
      </c>
      <c r="D224" s="53" t="s">
        <v>344</v>
      </c>
      <c r="E224" s="44"/>
      <c r="F224" s="34"/>
      <c r="G224" s="34"/>
      <c r="H224" s="35"/>
      <c r="I224" s="35"/>
      <c r="J224" s="34"/>
      <c r="K224" s="34"/>
      <c r="L224" s="34"/>
      <c r="M224" s="34"/>
      <c r="N224" s="34"/>
      <c r="O224" s="34"/>
      <c r="P224" s="34"/>
      <c r="Q224" s="25"/>
      <c r="R224" s="25"/>
      <c r="S224" s="25"/>
      <c r="T224" s="25"/>
      <c r="U224" s="25"/>
      <c r="V224" s="25"/>
      <c r="W224" s="25"/>
      <c r="X224" s="25"/>
      <c r="Y224" s="25"/>
      <c r="Z224" s="25"/>
    </row>
    <row r="225" spans="1:26" ht="12.75" customHeight="1" x14ac:dyDescent="0.2">
      <c r="A225" s="42" t="s">
        <v>93</v>
      </c>
      <c r="B225" s="50">
        <v>3</v>
      </c>
      <c r="C225" s="318" t="s">
        <v>345</v>
      </c>
      <c r="D225" s="319"/>
      <c r="E225" s="44"/>
      <c r="F225" s="34"/>
      <c r="G225" s="34"/>
      <c r="H225" s="35"/>
      <c r="I225" s="35"/>
      <c r="J225" s="34"/>
      <c r="K225" s="34"/>
      <c r="L225" s="34"/>
      <c r="M225" s="34"/>
      <c r="N225" s="34"/>
      <c r="O225" s="34"/>
      <c r="P225" s="34"/>
      <c r="Q225" s="25"/>
      <c r="R225" s="25"/>
      <c r="S225" s="25"/>
      <c r="T225" s="25"/>
      <c r="U225" s="25"/>
      <c r="V225" s="25"/>
      <c r="W225" s="25"/>
      <c r="X225" s="25"/>
      <c r="Y225" s="25"/>
      <c r="Z225" s="25"/>
    </row>
    <row r="226" spans="1:26" ht="12.75" customHeight="1" x14ac:dyDescent="0.2">
      <c r="A226" s="42" t="s">
        <v>93</v>
      </c>
      <c r="B226" s="48">
        <v>3</v>
      </c>
      <c r="C226" s="51" t="s">
        <v>12</v>
      </c>
      <c r="D226" s="53" t="s">
        <v>345</v>
      </c>
      <c r="E226" s="44"/>
      <c r="F226" s="34"/>
      <c r="G226" s="34"/>
      <c r="H226" s="35"/>
      <c r="I226" s="35"/>
      <c r="J226" s="34"/>
      <c r="K226" s="34"/>
      <c r="L226" s="34"/>
      <c r="M226" s="34"/>
      <c r="N226" s="34"/>
      <c r="O226" s="34"/>
      <c r="P226" s="34"/>
      <c r="Q226" s="25"/>
      <c r="R226" s="25"/>
      <c r="S226" s="25"/>
      <c r="T226" s="25"/>
      <c r="U226" s="25"/>
      <c r="V226" s="25"/>
      <c r="W226" s="25"/>
      <c r="X226" s="25"/>
      <c r="Y226" s="25"/>
      <c r="Z226" s="25"/>
    </row>
    <row r="227" spans="1:26" ht="12.75" customHeight="1" x14ac:dyDescent="0.2">
      <c r="A227" s="42" t="s">
        <v>93</v>
      </c>
      <c r="B227" s="50">
        <v>4</v>
      </c>
      <c r="C227" s="318" t="s">
        <v>346</v>
      </c>
      <c r="D227" s="319"/>
      <c r="E227" s="44"/>
      <c r="F227" s="34"/>
      <c r="G227" s="34"/>
      <c r="H227" s="35"/>
      <c r="I227" s="35"/>
      <c r="J227" s="34"/>
      <c r="K227" s="34"/>
      <c r="L227" s="34"/>
      <c r="M227" s="34"/>
      <c r="N227" s="34"/>
      <c r="O227" s="34"/>
      <c r="P227" s="34"/>
      <c r="Q227" s="25"/>
      <c r="R227" s="25"/>
      <c r="S227" s="25"/>
      <c r="T227" s="25"/>
      <c r="U227" s="25"/>
      <c r="V227" s="25"/>
      <c r="W227" s="25"/>
      <c r="X227" s="25"/>
      <c r="Y227" s="25"/>
      <c r="Z227" s="25"/>
    </row>
    <row r="228" spans="1:26" ht="12.75" customHeight="1" x14ac:dyDescent="0.2">
      <c r="A228" s="42" t="s">
        <v>93</v>
      </c>
      <c r="B228" s="48">
        <v>4</v>
      </c>
      <c r="C228" s="49" t="s">
        <v>12</v>
      </c>
      <c r="D228" s="53" t="s">
        <v>355</v>
      </c>
      <c r="E228" s="44"/>
      <c r="F228" s="34"/>
      <c r="G228" s="34"/>
      <c r="H228" s="35"/>
      <c r="I228" s="35"/>
      <c r="J228" s="34"/>
      <c r="K228" s="34"/>
      <c r="L228" s="34"/>
      <c r="M228" s="34"/>
      <c r="N228" s="34"/>
      <c r="O228" s="34"/>
      <c r="P228" s="34"/>
      <c r="Q228" s="25"/>
      <c r="R228" s="25"/>
      <c r="S228" s="25"/>
      <c r="T228" s="25"/>
      <c r="U228" s="25"/>
      <c r="V228" s="25"/>
      <c r="W228" s="25"/>
      <c r="X228" s="25"/>
      <c r="Y228" s="25"/>
      <c r="Z228" s="25"/>
    </row>
    <row r="229" spans="1:26" ht="12.75" customHeight="1" x14ac:dyDescent="0.2">
      <c r="A229" s="42" t="s">
        <v>93</v>
      </c>
      <c r="B229" s="48">
        <v>4</v>
      </c>
      <c r="C229" s="49" t="s">
        <v>16</v>
      </c>
      <c r="D229" s="53" t="s">
        <v>356</v>
      </c>
      <c r="E229" s="44"/>
      <c r="F229" s="34"/>
      <c r="G229" s="34"/>
      <c r="H229" s="35"/>
      <c r="I229" s="35"/>
      <c r="J229" s="34"/>
      <c r="K229" s="34"/>
      <c r="L229" s="34"/>
      <c r="M229" s="34"/>
      <c r="N229" s="34"/>
      <c r="O229" s="34"/>
      <c r="P229" s="34"/>
      <c r="Q229" s="25"/>
      <c r="R229" s="25"/>
      <c r="S229" s="25"/>
      <c r="T229" s="25"/>
      <c r="U229" s="25"/>
      <c r="V229" s="25"/>
      <c r="W229" s="25"/>
      <c r="X229" s="25"/>
      <c r="Y229" s="25"/>
      <c r="Z229" s="25"/>
    </row>
    <row r="230" spans="1:26" ht="12.75" customHeight="1" x14ac:dyDescent="0.2">
      <c r="A230" s="42" t="s">
        <v>93</v>
      </c>
      <c r="B230" s="50">
        <v>5</v>
      </c>
      <c r="C230" s="318" t="s">
        <v>347</v>
      </c>
      <c r="D230" s="319"/>
      <c r="E230" s="44"/>
      <c r="F230" s="34"/>
      <c r="G230" s="34"/>
      <c r="H230" s="35"/>
      <c r="I230" s="35"/>
      <c r="J230" s="34"/>
      <c r="K230" s="34"/>
      <c r="L230" s="34"/>
      <c r="M230" s="34"/>
      <c r="N230" s="34"/>
      <c r="O230" s="34"/>
      <c r="P230" s="34"/>
      <c r="Q230" s="25"/>
      <c r="R230" s="25"/>
      <c r="S230" s="25"/>
      <c r="T230" s="25"/>
      <c r="U230" s="25"/>
      <c r="V230" s="25"/>
      <c r="W230" s="25"/>
      <c r="X230" s="25"/>
      <c r="Y230" s="25"/>
      <c r="Z230" s="25"/>
    </row>
    <row r="231" spans="1:26" ht="12.75" customHeight="1" x14ac:dyDescent="0.2">
      <c r="A231" s="42" t="s">
        <v>93</v>
      </c>
      <c r="B231" s="48">
        <v>5</v>
      </c>
      <c r="C231" s="49" t="s">
        <v>12</v>
      </c>
      <c r="D231" s="53" t="s">
        <v>351</v>
      </c>
      <c r="E231" s="44"/>
      <c r="F231" s="34"/>
      <c r="G231" s="34"/>
      <c r="H231" s="35"/>
      <c r="I231" s="35"/>
      <c r="J231" s="34"/>
      <c r="K231" s="34"/>
      <c r="L231" s="34"/>
      <c r="M231" s="34"/>
      <c r="N231" s="34"/>
      <c r="O231" s="34"/>
      <c r="P231" s="34"/>
      <c r="Q231" s="25"/>
      <c r="R231" s="25"/>
      <c r="S231" s="25"/>
      <c r="T231" s="25"/>
      <c r="U231" s="25"/>
      <c r="V231" s="25"/>
      <c r="W231" s="25"/>
      <c r="X231" s="25"/>
      <c r="Y231" s="25"/>
      <c r="Z231" s="25"/>
    </row>
    <row r="232" spans="1:26" ht="12.75" customHeight="1" x14ac:dyDescent="0.2">
      <c r="A232" s="42" t="s">
        <v>93</v>
      </c>
      <c r="B232" s="48">
        <v>5</v>
      </c>
      <c r="C232" s="49" t="s">
        <v>16</v>
      </c>
      <c r="D232" s="53" t="s">
        <v>352</v>
      </c>
      <c r="E232" s="44"/>
      <c r="F232" s="34"/>
      <c r="G232" s="34"/>
      <c r="H232" s="35"/>
      <c r="I232" s="35"/>
      <c r="J232" s="34"/>
      <c r="K232" s="34"/>
      <c r="L232" s="34"/>
      <c r="M232" s="34"/>
      <c r="N232" s="34"/>
      <c r="O232" s="34"/>
      <c r="P232" s="34"/>
      <c r="Q232" s="25"/>
      <c r="R232" s="25"/>
      <c r="S232" s="25"/>
      <c r="T232" s="25"/>
      <c r="U232" s="25"/>
      <c r="V232" s="25"/>
      <c r="W232" s="25"/>
      <c r="X232" s="25"/>
      <c r="Y232" s="25"/>
      <c r="Z232" s="25"/>
    </row>
    <row r="233" spans="1:26" ht="12.75" customHeight="1" x14ac:dyDescent="0.2">
      <c r="A233" s="42" t="s">
        <v>93</v>
      </c>
      <c r="B233" s="48">
        <v>5</v>
      </c>
      <c r="C233" s="49" t="s">
        <v>19</v>
      </c>
      <c r="D233" s="53" t="s">
        <v>353</v>
      </c>
      <c r="E233" s="44"/>
      <c r="F233" s="34"/>
      <c r="G233" s="34"/>
      <c r="H233" s="35"/>
      <c r="I233" s="35"/>
      <c r="J233" s="34"/>
      <c r="K233" s="34"/>
      <c r="L233" s="34"/>
      <c r="M233" s="34"/>
      <c r="N233" s="34"/>
      <c r="O233" s="34"/>
      <c r="P233" s="34"/>
      <c r="Q233" s="25"/>
      <c r="R233" s="25"/>
      <c r="S233" s="25"/>
      <c r="T233" s="25"/>
      <c r="U233" s="25"/>
      <c r="V233" s="25"/>
      <c r="W233" s="25"/>
      <c r="X233" s="25"/>
      <c r="Y233" s="25"/>
      <c r="Z233" s="25"/>
    </row>
    <row r="234" spans="1:26" ht="12.75" customHeight="1" x14ac:dyDescent="0.2">
      <c r="A234" s="42" t="s">
        <v>93</v>
      </c>
      <c r="B234" s="48">
        <v>5</v>
      </c>
      <c r="C234" s="49" t="s">
        <v>22</v>
      </c>
      <c r="D234" s="53" t="s">
        <v>354</v>
      </c>
      <c r="E234" s="44"/>
      <c r="F234" s="34"/>
      <c r="G234" s="34"/>
      <c r="H234" s="35"/>
      <c r="I234" s="35"/>
      <c r="J234" s="34"/>
      <c r="K234" s="34"/>
      <c r="L234" s="34"/>
      <c r="M234" s="34"/>
      <c r="N234" s="34"/>
      <c r="O234" s="34"/>
      <c r="P234" s="34"/>
      <c r="Q234" s="25"/>
      <c r="R234" s="25"/>
      <c r="S234" s="25"/>
      <c r="T234" s="25"/>
      <c r="U234" s="25"/>
      <c r="V234" s="25"/>
      <c r="W234" s="25"/>
      <c r="X234" s="25"/>
      <c r="Y234" s="25"/>
      <c r="Z234" s="25"/>
    </row>
    <row r="235" spans="1:26" ht="12.75" customHeight="1" x14ac:dyDescent="0.2">
      <c r="A235" s="42" t="s">
        <v>93</v>
      </c>
      <c r="B235" s="50">
        <v>6</v>
      </c>
      <c r="C235" s="318" t="s">
        <v>348</v>
      </c>
      <c r="D235" s="319"/>
      <c r="E235" s="44"/>
      <c r="F235" s="34"/>
      <c r="G235" s="34"/>
      <c r="H235" s="35"/>
      <c r="I235" s="35"/>
      <c r="J235" s="34"/>
      <c r="K235" s="34"/>
      <c r="L235" s="34"/>
      <c r="M235" s="34"/>
      <c r="N235" s="34"/>
      <c r="O235" s="34"/>
      <c r="P235" s="34"/>
      <c r="Q235" s="25"/>
      <c r="R235" s="25"/>
      <c r="S235" s="25"/>
      <c r="T235" s="25"/>
      <c r="U235" s="25"/>
      <c r="V235" s="25"/>
      <c r="W235" s="25"/>
      <c r="X235" s="25"/>
      <c r="Y235" s="25"/>
      <c r="Z235" s="25"/>
    </row>
    <row r="236" spans="1:26" ht="12.75" customHeight="1" x14ac:dyDescent="0.2">
      <c r="A236" s="42" t="s">
        <v>93</v>
      </c>
      <c r="B236" s="48">
        <v>6</v>
      </c>
      <c r="C236" s="49" t="s">
        <v>12</v>
      </c>
      <c r="D236" s="53" t="s">
        <v>349</v>
      </c>
      <c r="E236" s="44"/>
      <c r="F236" s="34"/>
      <c r="G236" s="34"/>
      <c r="H236" s="35"/>
      <c r="I236" s="35"/>
      <c r="J236" s="34"/>
      <c r="K236" s="34"/>
      <c r="L236" s="34"/>
      <c r="M236" s="34"/>
      <c r="N236" s="34"/>
      <c r="O236" s="34"/>
      <c r="P236" s="34"/>
      <c r="Q236" s="25"/>
      <c r="R236" s="25"/>
      <c r="S236" s="25"/>
      <c r="T236" s="25"/>
      <c r="U236" s="25"/>
      <c r="V236" s="25"/>
      <c r="W236" s="25"/>
      <c r="X236" s="25"/>
      <c r="Y236" s="25"/>
      <c r="Z236" s="25"/>
    </row>
    <row r="237" spans="1:26" ht="12.75" customHeight="1" x14ac:dyDescent="0.2">
      <c r="A237" s="42" t="s">
        <v>93</v>
      </c>
      <c r="B237" s="48">
        <v>6</v>
      </c>
      <c r="C237" s="49" t="s">
        <v>16</v>
      </c>
      <c r="D237" s="53" t="s">
        <v>350</v>
      </c>
      <c r="E237" s="44"/>
      <c r="F237" s="34"/>
      <c r="G237" s="34"/>
      <c r="H237" s="35"/>
      <c r="I237" s="35"/>
      <c r="J237" s="34"/>
      <c r="K237" s="34"/>
      <c r="L237" s="34"/>
      <c r="M237" s="34"/>
      <c r="N237" s="34"/>
      <c r="O237" s="34"/>
      <c r="P237" s="34"/>
      <c r="Q237" s="25"/>
      <c r="R237" s="25"/>
      <c r="S237" s="25"/>
      <c r="T237" s="25"/>
      <c r="U237" s="25"/>
      <c r="V237" s="25"/>
      <c r="W237" s="25"/>
      <c r="X237" s="25"/>
      <c r="Y237" s="25"/>
      <c r="Z237" s="25"/>
    </row>
    <row r="238" spans="1:26" ht="12.75" customHeight="1" x14ac:dyDescent="0.2">
      <c r="A238" s="43" t="s">
        <v>250</v>
      </c>
      <c r="B238" s="320" t="s">
        <v>337</v>
      </c>
      <c r="C238" s="319"/>
      <c r="D238" s="319"/>
      <c r="E238" s="45"/>
      <c r="F238" s="30"/>
      <c r="G238" s="30"/>
      <c r="H238" s="31"/>
      <c r="I238" s="31"/>
      <c r="J238" s="30"/>
      <c r="K238" s="30"/>
      <c r="L238" s="30"/>
      <c r="M238" s="30"/>
      <c r="N238" s="30"/>
      <c r="O238" s="30"/>
      <c r="P238" s="30"/>
      <c r="Q238" s="25"/>
      <c r="R238" s="25"/>
      <c r="S238" s="25"/>
      <c r="T238" s="25"/>
      <c r="U238" s="25"/>
      <c r="V238" s="25"/>
      <c r="W238" s="25"/>
      <c r="X238" s="25"/>
      <c r="Y238" s="25"/>
      <c r="Z238" s="25"/>
    </row>
    <row r="239" spans="1:26" ht="12.75" customHeight="1" x14ac:dyDescent="0.2">
      <c r="A239" s="42" t="s">
        <v>94</v>
      </c>
      <c r="B239" s="50">
        <v>1</v>
      </c>
      <c r="C239" s="318" t="s">
        <v>357</v>
      </c>
      <c r="D239" s="319"/>
      <c r="E239" s="44"/>
      <c r="F239" s="34"/>
      <c r="G239" s="34"/>
      <c r="H239" s="35"/>
      <c r="I239" s="35"/>
      <c r="J239" s="34"/>
      <c r="K239" s="34"/>
      <c r="L239" s="34"/>
      <c r="M239" s="34"/>
      <c r="N239" s="34"/>
      <c r="O239" s="34"/>
      <c r="P239" s="34"/>
      <c r="Q239" s="25"/>
      <c r="R239" s="25"/>
      <c r="S239" s="25"/>
      <c r="T239" s="25"/>
      <c r="U239" s="25"/>
      <c r="V239" s="25"/>
      <c r="W239" s="25"/>
      <c r="X239" s="25"/>
      <c r="Y239" s="25"/>
      <c r="Z239" s="25"/>
    </row>
    <row r="240" spans="1:26" ht="12.75" customHeight="1" x14ac:dyDescent="0.2">
      <c r="A240" s="42" t="s">
        <v>94</v>
      </c>
      <c r="B240" s="48">
        <v>1</v>
      </c>
      <c r="C240" s="49" t="s">
        <v>12</v>
      </c>
      <c r="D240" s="53" t="s">
        <v>358</v>
      </c>
      <c r="E240" s="44"/>
      <c r="F240" s="34"/>
      <c r="G240" s="34"/>
      <c r="H240" s="35"/>
      <c r="I240" s="35"/>
      <c r="J240" s="34"/>
      <c r="K240" s="34"/>
      <c r="L240" s="34"/>
      <c r="M240" s="34"/>
      <c r="N240" s="34"/>
      <c r="O240" s="34"/>
      <c r="P240" s="34"/>
      <c r="Q240" s="25"/>
      <c r="R240" s="25"/>
      <c r="S240" s="25"/>
      <c r="T240" s="25"/>
      <c r="U240" s="25"/>
      <c r="V240" s="25"/>
      <c r="W240" s="25"/>
      <c r="X240" s="25"/>
      <c r="Y240" s="25"/>
      <c r="Z240" s="25"/>
    </row>
    <row r="241" spans="1:26" ht="12.75" customHeight="1" x14ac:dyDescent="0.2">
      <c r="A241" s="42" t="s">
        <v>94</v>
      </c>
      <c r="B241" s="48">
        <v>1</v>
      </c>
      <c r="C241" s="49" t="s">
        <v>16</v>
      </c>
      <c r="D241" s="53" t="s">
        <v>359</v>
      </c>
      <c r="E241" s="44"/>
      <c r="F241" s="34"/>
      <c r="G241" s="34"/>
      <c r="H241" s="35"/>
      <c r="I241" s="35"/>
      <c r="J241" s="34"/>
      <c r="K241" s="34"/>
      <c r="L241" s="34"/>
      <c r="M241" s="34"/>
      <c r="N241" s="34"/>
      <c r="O241" s="34"/>
      <c r="P241" s="34"/>
      <c r="Q241" s="25"/>
      <c r="R241" s="25"/>
      <c r="S241" s="25"/>
      <c r="T241" s="25"/>
      <c r="U241" s="25"/>
      <c r="V241" s="25"/>
      <c r="W241" s="25"/>
      <c r="X241" s="25"/>
      <c r="Y241" s="25"/>
      <c r="Z241" s="25"/>
    </row>
    <row r="242" spans="1:26" ht="12.75" customHeight="1" x14ac:dyDescent="0.2">
      <c r="A242" s="42" t="s">
        <v>94</v>
      </c>
      <c r="B242" s="48">
        <v>1</v>
      </c>
      <c r="C242" s="49" t="s">
        <v>19</v>
      </c>
      <c r="D242" s="53" t="s">
        <v>360</v>
      </c>
      <c r="E242" s="44"/>
      <c r="F242" s="34"/>
      <c r="G242" s="34"/>
      <c r="H242" s="35"/>
      <c r="I242" s="35"/>
      <c r="J242" s="34"/>
      <c r="K242" s="34"/>
      <c r="L242" s="34"/>
      <c r="M242" s="34"/>
      <c r="N242" s="34"/>
      <c r="O242" s="34"/>
      <c r="P242" s="34"/>
      <c r="Q242" s="25"/>
      <c r="R242" s="25"/>
      <c r="S242" s="25"/>
      <c r="T242" s="25"/>
      <c r="U242" s="25"/>
      <c r="V242" s="25"/>
      <c r="W242" s="25"/>
      <c r="X242" s="25"/>
      <c r="Y242" s="25"/>
      <c r="Z242" s="25"/>
    </row>
    <row r="243" spans="1:26" ht="12.75" customHeight="1" x14ac:dyDescent="0.2">
      <c r="A243" s="42" t="s">
        <v>94</v>
      </c>
      <c r="B243" s="50">
        <v>2</v>
      </c>
      <c r="C243" s="318" t="s">
        <v>361</v>
      </c>
      <c r="D243" s="319"/>
      <c r="E243" s="44"/>
      <c r="F243" s="34"/>
      <c r="G243" s="34"/>
      <c r="H243" s="35"/>
      <c r="I243" s="35"/>
      <c r="J243" s="34"/>
      <c r="K243" s="34"/>
      <c r="L243" s="34"/>
      <c r="M243" s="34"/>
      <c r="N243" s="34"/>
      <c r="O243" s="34"/>
      <c r="P243" s="34"/>
      <c r="Q243" s="25"/>
      <c r="R243" s="25"/>
      <c r="S243" s="25"/>
      <c r="T243" s="25"/>
      <c r="U243" s="25"/>
      <c r="V243" s="25"/>
      <c r="W243" s="25"/>
      <c r="X243" s="25"/>
      <c r="Y243" s="25"/>
      <c r="Z243" s="25"/>
    </row>
    <row r="244" spans="1:26" ht="12.75" customHeight="1" x14ac:dyDescent="0.2">
      <c r="A244" s="42" t="s">
        <v>94</v>
      </c>
      <c r="B244" s="48">
        <v>2</v>
      </c>
      <c r="C244" s="49" t="s">
        <v>12</v>
      </c>
      <c r="D244" s="53" t="s">
        <v>361</v>
      </c>
      <c r="E244" s="44"/>
      <c r="F244" s="34"/>
      <c r="G244" s="34"/>
      <c r="H244" s="35"/>
      <c r="I244" s="35"/>
      <c r="J244" s="34"/>
      <c r="K244" s="34"/>
      <c r="L244" s="34"/>
      <c r="M244" s="34"/>
      <c r="N244" s="34"/>
      <c r="O244" s="34"/>
      <c r="P244" s="34"/>
      <c r="Q244" s="25"/>
      <c r="R244" s="25"/>
      <c r="S244" s="25"/>
      <c r="T244" s="25"/>
      <c r="U244" s="25"/>
      <c r="V244" s="25"/>
      <c r="W244" s="25"/>
      <c r="X244" s="25"/>
      <c r="Y244" s="25"/>
      <c r="Z244" s="25"/>
    </row>
    <row r="245" spans="1:26" ht="12.75" customHeight="1" x14ac:dyDescent="0.2">
      <c r="A245" s="42" t="s">
        <v>94</v>
      </c>
      <c r="B245" s="50">
        <v>3</v>
      </c>
      <c r="C245" s="318" t="s">
        <v>362</v>
      </c>
      <c r="D245" s="319"/>
      <c r="E245" s="44"/>
      <c r="F245" s="34"/>
      <c r="G245" s="34"/>
      <c r="H245" s="35"/>
      <c r="I245" s="35"/>
      <c r="J245" s="34"/>
      <c r="K245" s="34"/>
      <c r="L245" s="34"/>
      <c r="M245" s="34"/>
      <c r="N245" s="34"/>
      <c r="O245" s="34"/>
      <c r="P245" s="34"/>
      <c r="Q245" s="25"/>
      <c r="R245" s="25"/>
      <c r="S245" s="25"/>
      <c r="T245" s="25"/>
      <c r="U245" s="25"/>
      <c r="V245" s="25"/>
      <c r="W245" s="25"/>
      <c r="X245" s="25"/>
      <c r="Y245" s="25"/>
      <c r="Z245" s="25"/>
    </row>
    <row r="246" spans="1:26" ht="12.75" customHeight="1" x14ac:dyDescent="0.2">
      <c r="A246" s="42" t="s">
        <v>94</v>
      </c>
      <c r="B246" s="48">
        <v>1</v>
      </c>
      <c r="C246" s="49" t="s">
        <v>12</v>
      </c>
      <c r="D246" s="53" t="s">
        <v>369</v>
      </c>
      <c r="E246" s="44"/>
      <c r="F246" s="34"/>
      <c r="G246" s="34"/>
      <c r="H246" s="35"/>
      <c r="I246" s="35"/>
      <c r="J246" s="34"/>
      <c r="K246" s="34"/>
      <c r="L246" s="34"/>
      <c r="M246" s="34"/>
      <c r="N246" s="34"/>
      <c r="O246" s="34"/>
      <c r="P246" s="34"/>
      <c r="Q246" s="25"/>
      <c r="R246" s="25"/>
      <c r="S246" s="25"/>
      <c r="T246" s="25"/>
      <c r="U246" s="25"/>
      <c r="V246" s="25"/>
      <c r="W246" s="25"/>
      <c r="X246" s="25"/>
      <c r="Y246" s="25"/>
      <c r="Z246" s="25"/>
    </row>
    <row r="247" spans="1:26" ht="12.75" customHeight="1" x14ac:dyDescent="0.2">
      <c r="A247" s="42" t="s">
        <v>94</v>
      </c>
      <c r="B247" s="48">
        <v>1</v>
      </c>
      <c r="C247" s="49" t="s">
        <v>16</v>
      </c>
      <c r="D247" s="53" t="s">
        <v>370</v>
      </c>
      <c r="E247" s="44"/>
      <c r="F247" s="34"/>
      <c r="G247" s="34"/>
      <c r="H247" s="35"/>
      <c r="I247" s="35"/>
      <c r="J247" s="34"/>
      <c r="K247" s="34"/>
      <c r="L247" s="34"/>
      <c r="M247" s="34"/>
      <c r="N247" s="34"/>
      <c r="O247" s="34"/>
      <c r="P247" s="34"/>
      <c r="Q247" s="25"/>
      <c r="R247" s="25"/>
      <c r="S247" s="25"/>
      <c r="T247" s="25"/>
      <c r="U247" s="25"/>
      <c r="V247" s="25"/>
      <c r="W247" s="25"/>
      <c r="X247" s="25"/>
      <c r="Y247" s="25"/>
      <c r="Z247" s="25"/>
    </row>
    <row r="248" spans="1:26" ht="12.75" customHeight="1" x14ac:dyDescent="0.2">
      <c r="A248" s="42" t="s">
        <v>94</v>
      </c>
      <c r="B248" s="50">
        <v>4</v>
      </c>
      <c r="C248" s="318" t="s">
        <v>363</v>
      </c>
      <c r="D248" s="319"/>
      <c r="E248" s="44"/>
      <c r="F248" s="34"/>
      <c r="G248" s="34"/>
      <c r="H248" s="35"/>
      <c r="I248" s="35"/>
      <c r="J248" s="34"/>
      <c r="K248" s="34"/>
      <c r="L248" s="34"/>
      <c r="M248" s="34"/>
      <c r="N248" s="34"/>
      <c r="O248" s="34"/>
      <c r="P248" s="34"/>
      <c r="Q248" s="25"/>
      <c r="R248" s="25"/>
      <c r="S248" s="25"/>
      <c r="T248" s="25"/>
      <c r="U248" s="25"/>
      <c r="V248" s="25"/>
      <c r="W248" s="25"/>
      <c r="X248" s="25"/>
      <c r="Y248" s="25"/>
      <c r="Z248" s="25"/>
    </row>
    <row r="249" spans="1:26" ht="12.75" customHeight="1" x14ac:dyDescent="0.2">
      <c r="A249" s="42" t="s">
        <v>94</v>
      </c>
      <c r="B249" s="48">
        <v>4</v>
      </c>
      <c r="C249" s="49" t="s">
        <v>12</v>
      </c>
      <c r="D249" s="53" t="s">
        <v>363</v>
      </c>
      <c r="E249" s="44"/>
      <c r="F249" s="34"/>
      <c r="G249" s="34"/>
      <c r="H249" s="35"/>
      <c r="I249" s="35"/>
      <c r="J249" s="34"/>
      <c r="K249" s="34"/>
      <c r="L249" s="34"/>
      <c r="M249" s="34"/>
      <c r="N249" s="34"/>
      <c r="O249" s="34"/>
      <c r="P249" s="34"/>
      <c r="Q249" s="25"/>
      <c r="R249" s="25"/>
      <c r="S249" s="25"/>
      <c r="T249" s="25"/>
      <c r="U249" s="25"/>
      <c r="V249" s="25"/>
      <c r="W249" s="25"/>
      <c r="X249" s="25"/>
      <c r="Y249" s="25"/>
      <c r="Z249" s="25"/>
    </row>
    <row r="250" spans="1:26" ht="12.75" customHeight="1" x14ac:dyDescent="0.2">
      <c r="A250" s="42" t="s">
        <v>94</v>
      </c>
      <c r="B250" s="50">
        <v>5</v>
      </c>
      <c r="C250" s="318" t="s">
        <v>337</v>
      </c>
      <c r="D250" s="319"/>
      <c r="E250" s="44"/>
      <c r="F250" s="34"/>
      <c r="G250" s="34"/>
      <c r="H250" s="35"/>
      <c r="I250" s="35"/>
      <c r="J250" s="34"/>
      <c r="K250" s="34"/>
      <c r="L250" s="34"/>
      <c r="M250" s="34"/>
      <c r="N250" s="34"/>
      <c r="O250" s="34"/>
      <c r="P250" s="34"/>
      <c r="Q250" s="25"/>
      <c r="R250" s="25"/>
      <c r="S250" s="25"/>
      <c r="T250" s="25"/>
      <c r="U250" s="25"/>
      <c r="V250" s="25"/>
      <c r="W250" s="25"/>
      <c r="X250" s="25"/>
      <c r="Y250" s="25"/>
      <c r="Z250" s="25"/>
    </row>
    <row r="251" spans="1:26" ht="12.75" customHeight="1" x14ac:dyDescent="0.2">
      <c r="A251" s="42" t="s">
        <v>94</v>
      </c>
      <c r="B251" s="48">
        <v>5</v>
      </c>
      <c r="C251" s="49" t="s">
        <v>12</v>
      </c>
      <c r="D251" s="53" t="s">
        <v>364</v>
      </c>
      <c r="E251" s="44"/>
      <c r="F251" s="34"/>
      <c r="G251" s="34"/>
      <c r="H251" s="35"/>
      <c r="I251" s="35"/>
      <c r="J251" s="34"/>
      <c r="K251" s="34"/>
      <c r="L251" s="34"/>
      <c r="M251" s="34"/>
      <c r="N251" s="34"/>
      <c r="O251" s="34"/>
      <c r="P251" s="34"/>
      <c r="Q251" s="25"/>
      <c r="R251" s="25"/>
      <c r="S251" s="25"/>
      <c r="T251" s="25"/>
      <c r="U251" s="25"/>
      <c r="V251" s="25"/>
      <c r="W251" s="25"/>
      <c r="X251" s="25"/>
      <c r="Y251" s="25"/>
      <c r="Z251" s="25"/>
    </row>
    <row r="252" spans="1:26" ht="12.75" customHeight="1" x14ac:dyDescent="0.2">
      <c r="A252" s="42" t="s">
        <v>94</v>
      </c>
      <c r="B252" s="48">
        <v>5</v>
      </c>
      <c r="C252" s="49" t="s">
        <v>16</v>
      </c>
      <c r="D252" s="53" t="s">
        <v>365</v>
      </c>
      <c r="E252" s="44"/>
      <c r="F252" s="34"/>
      <c r="G252" s="34"/>
      <c r="H252" s="35"/>
      <c r="I252" s="35"/>
      <c r="J252" s="34"/>
      <c r="K252" s="34"/>
      <c r="L252" s="34"/>
      <c r="M252" s="34"/>
      <c r="N252" s="34"/>
      <c r="O252" s="34"/>
      <c r="P252" s="34"/>
      <c r="Q252" s="25"/>
      <c r="R252" s="25"/>
      <c r="S252" s="25"/>
      <c r="T252" s="25"/>
      <c r="U252" s="25"/>
      <c r="V252" s="25"/>
      <c r="W252" s="25"/>
      <c r="X252" s="25"/>
      <c r="Y252" s="25"/>
      <c r="Z252" s="25"/>
    </row>
    <row r="253" spans="1:26" ht="12.75" customHeight="1" x14ac:dyDescent="0.2">
      <c r="A253" s="42" t="s">
        <v>94</v>
      </c>
      <c r="B253" s="48">
        <v>5</v>
      </c>
      <c r="C253" s="49" t="s">
        <v>19</v>
      </c>
      <c r="D253" s="53" t="s">
        <v>366</v>
      </c>
      <c r="E253" s="44"/>
      <c r="F253" s="34"/>
      <c r="G253" s="34"/>
      <c r="H253" s="35"/>
      <c r="I253" s="35"/>
      <c r="J253" s="34"/>
      <c r="K253" s="34"/>
      <c r="L253" s="34"/>
      <c r="M253" s="34"/>
      <c r="N253" s="34"/>
      <c r="O253" s="34"/>
      <c r="P253" s="34"/>
      <c r="Q253" s="25"/>
      <c r="R253" s="25"/>
      <c r="S253" s="25"/>
      <c r="T253" s="25"/>
      <c r="U253" s="25"/>
      <c r="V253" s="25"/>
      <c r="W253" s="25"/>
      <c r="X253" s="25"/>
      <c r="Y253" s="25"/>
      <c r="Z253" s="25"/>
    </row>
    <row r="254" spans="1:26" ht="12.75" customHeight="1" x14ac:dyDescent="0.2">
      <c r="A254" s="42" t="s">
        <v>94</v>
      </c>
      <c r="B254" s="48">
        <v>5</v>
      </c>
      <c r="C254" s="49" t="s">
        <v>22</v>
      </c>
      <c r="D254" s="53" t="s">
        <v>367</v>
      </c>
      <c r="E254" s="44"/>
      <c r="F254" s="34"/>
      <c r="G254" s="34"/>
      <c r="H254" s="35"/>
      <c r="I254" s="35"/>
      <c r="J254" s="34"/>
      <c r="K254" s="34"/>
      <c r="L254" s="34"/>
      <c r="M254" s="34"/>
      <c r="N254" s="34"/>
      <c r="O254" s="34"/>
      <c r="P254" s="34"/>
      <c r="Q254" s="25"/>
      <c r="R254" s="25"/>
      <c r="S254" s="25"/>
      <c r="T254" s="25"/>
      <c r="U254" s="25"/>
      <c r="V254" s="25"/>
      <c r="W254" s="25"/>
      <c r="X254" s="25"/>
      <c r="Y254" s="25"/>
      <c r="Z254" s="25"/>
    </row>
    <row r="255" spans="1:26" ht="12.75" customHeight="1" x14ac:dyDescent="0.2">
      <c r="A255" s="42" t="s">
        <v>94</v>
      </c>
      <c r="B255" s="48">
        <v>5</v>
      </c>
      <c r="C255" s="49" t="s">
        <v>23</v>
      </c>
      <c r="D255" s="53" t="s">
        <v>368</v>
      </c>
      <c r="E255" s="44"/>
      <c r="F255" s="34"/>
      <c r="G255" s="34"/>
      <c r="H255" s="35"/>
      <c r="I255" s="35"/>
      <c r="J255" s="34"/>
      <c r="K255" s="34"/>
      <c r="L255" s="34"/>
      <c r="M255" s="34"/>
      <c r="N255" s="34"/>
      <c r="O255" s="34"/>
      <c r="P255" s="34"/>
      <c r="Q255" s="25"/>
      <c r="R255" s="25"/>
      <c r="S255" s="25"/>
      <c r="T255" s="25"/>
      <c r="U255" s="25"/>
      <c r="V255" s="25"/>
      <c r="W255" s="25"/>
      <c r="X255" s="25"/>
      <c r="Y255" s="25"/>
      <c r="Z255" s="25"/>
    </row>
    <row r="256" spans="1:26" ht="12.75" customHeight="1" x14ac:dyDescent="0.2">
      <c r="A256" s="43" t="s">
        <v>251</v>
      </c>
      <c r="B256" s="320" t="s">
        <v>371</v>
      </c>
      <c r="C256" s="319"/>
      <c r="D256" s="319"/>
      <c r="E256" s="45"/>
      <c r="F256" s="30"/>
      <c r="G256" s="30"/>
      <c r="H256" s="31"/>
      <c r="I256" s="31"/>
      <c r="J256" s="30"/>
      <c r="K256" s="30"/>
      <c r="L256" s="30"/>
      <c r="M256" s="30"/>
      <c r="N256" s="30"/>
      <c r="O256" s="30"/>
      <c r="P256" s="30"/>
      <c r="Q256" s="25"/>
      <c r="R256" s="25"/>
      <c r="S256" s="25"/>
      <c r="T256" s="25"/>
      <c r="U256" s="25"/>
      <c r="V256" s="25"/>
      <c r="W256" s="25"/>
      <c r="X256" s="25"/>
      <c r="Y256" s="25"/>
      <c r="Z256" s="25"/>
    </row>
    <row r="257" spans="1:26" ht="12.75" customHeight="1" x14ac:dyDescent="0.2">
      <c r="A257" s="42" t="s">
        <v>95</v>
      </c>
      <c r="B257" s="50">
        <v>1</v>
      </c>
      <c r="C257" s="318" t="s">
        <v>372</v>
      </c>
      <c r="D257" s="319"/>
      <c r="E257" s="44"/>
      <c r="F257" s="34"/>
      <c r="G257" s="34"/>
      <c r="H257" s="35"/>
      <c r="I257" s="35"/>
      <c r="J257" s="34"/>
      <c r="K257" s="34"/>
      <c r="L257" s="34"/>
      <c r="M257" s="34"/>
      <c r="N257" s="34"/>
      <c r="O257" s="34"/>
      <c r="P257" s="34"/>
      <c r="Q257" s="25"/>
      <c r="R257" s="25"/>
      <c r="S257" s="25"/>
      <c r="T257" s="25"/>
      <c r="U257" s="25"/>
      <c r="V257" s="25"/>
      <c r="W257" s="25"/>
      <c r="X257" s="25"/>
      <c r="Y257" s="25"/>
      <c r="Z257" s="25"/>
    </row>
    <row r="258" spans="1:26" ht="12.75" customHeight="1" x14ac:dyDescent="0.2">
      <c r="A258" s="42" t="s">
        <v>95</v>
      </c>
      <c r="B258" s="48">
        <v>1</v>
      </c>
      <c r="C258" s="49" t="s">
        <v>12</v>
      </c>
      <c r="D258" s="53" t="s">
        <v>373</v>
      </c>
      <c r="E258" s="44"/>
      <c r="F258" s="34"/>
      <c r="G258" s="34"/>
      <c r="H258" s="35"/>
      <c r="I258" s="35"/>
      <c r="J258" s="34"/>
      <c r="K258" s="34"/>
      <c r="L258" s="34"/>
      <c r="M258" s="34"/>
      <c r="N258" s="34"/>
      <c r="O258" s="34"/>
      <c r="P258" s="34"/>
      <c r="Q258" s="25"/>
      <c r="R258" s="25"/>
      <c r="S258" s="25"/>
      <c r="T258" s="25"/>
      <c r="U258" s="25"/>
      <c r="V258" s="25"/>
      <c r="W258" s="25"/>
      <c r="X258" s="25"/>
      <c r="Y258" s="25"/>
      <c r="Z258" s="25"/>
    </row>
    <row r="259" spans="1:26" ht="12.75" customHeight="1" x14ac:dyDescent="0.2">
      <c r="A259" s="42" t="s">
        <v>95</v>
      </c>
      <c r="B259" s="48">
        <v>1</v>
      </c>
      <c r="C259" s="49" t="s">
        <v>16</v>
      </c>
      <c r="D259" s="53" t="s">
        <v>374</v>
      </c>
      <c r="E259" s="44"/>
      <c r="F259" s="34"/>
      <c r="G259" s="34"/>
      <c r="H259" s="35"/>
      <c r="I259" s="35"/>
      <c r="J259" s="34"/>
      <c r="K259" s="34"/>
      <c r="L259" s="34"/>
      <c r="M259" s="34"/>
      <c r="N259" s="34"/>
      <c r="O259" s="34"/>
      <c r="P259" s="34"/>
      <c r="Q259" s="25"/>
      <c r="R259" s="25"/>
      <c r="S259" s="25"/>
      <c r="T259" s="25"/>
      <c r="U259" s="25"/>
      <c r="V259" s="25"/>
      <c r="W259" s="25"/>
      <c r="X259" s="25"/>
      <c r="Y259" s="25"/>
      <c r="Z259" s="25"/>
    </row>
    <row r="260" spans="1:26" ht="12.75" customHeight="1" x14ac:dyDescent="0.2">
      <c r="A260" s="42" t="s">
        <v>95</v>
      </c>
      <c r="B260" s="48">
        <v>1</v>
      </c>
      <c r="C260" s="49" t="s">
        <v>19</v>
      </c>
      <c r="D260" s="53" t="s">
        <v>375</v>
      </c>
      <c r="E260" s="44"/>
      <c r="F260" s="34"/>
      <c r="G260" s="34"/>
      <c r="H260" s="35"/>
      <c r="I260" s="35"/>
      <c r="J260" s="34"/>
      <c r="K260" s="34"/>
      <c r="L260" s="34"/>
      <c r="M260" s="34"/>
      <c r="N260" s="34"/>
      <c r="O260" s="34"/>
      <c r="P260" s="34"/>
      <c r="Q260" s="25"/>
      <c r="R260" s="25"/>
      <c r="S260" s="25"/>
      <c r="T260" s="25"/>
      <c r="U260" s="25"/>
      <c r="V260" s="25"/>
      <c r="W260" s="25"/>
      <c r="X260" s="25"/>
      <c r="Y260" s="25"/>
      <c r="Z260" s="25"/>
    </row>
    <row r="261" spans="1:26" ht="12.75" customHeight="1" x14ac:dyDescent="0.2">
      <c r="A261" s="42" t="s">
        <v>95</v>
      </c>
      <c r="B261" s="50">
        <v>2</v>
      </c>
      <c r="C261" s="318" t="s">
        <v>376</v>
      </c>
      <c r="D261" s="319"/>
      <c r="E261" s="44"/>
      <c r="F261" s="34"/>
      <c r="G261" s="34"/>
      <c r="H261" s="35"/>
      <c r="I261" s="35"/>
      <c r="J261" s="34"/>
      <c r="K261" s="34"/>
      <c r="L261" s="34"/>
      <c r="M261" s="34"/>
      <c r="N261" s="34"/>
      <c r="O261" s="34"/>
      <c r="P261" s="34"/>
      <c r="Q261" s="25"/>
      <c r="R261" s="25"/>
      <c r="S261" s="25"/>
      <c r="T261" s="25"/>
      <c r="U261" s="25"/>
      <c r="V261" s="25"/>
      <c r="W261" s="25"/>
      <c r="X261" s="25"/>
      <c r="Y261" s="25"/>
      <c r="Z261" s="25"/>
    </row>
    <row r="262" spans="1:26" ht="12.75" customHeight="1" x14ac:dyDescent="0.2">
      <c r="A262" s="42" t="s">
        <v>95</v>
      </c>
      <c r="B262" s="48">
        <v>2</v>
      </c>
      <c r="C262" s="49" t="s">
        <v>12</v>
      </c>
      <c r="D262" s="49" t="s">
        <v>377</v>
      </c>
      <c r="E262" s="44"/>
      <c r="F262" s="34"/>
      <c r="G262" s="34"/>
      <c r="H262" s="35"/>
      <c r="I262" s="35"/>
      <c r="J262" s="34"/>
      <c r="K262" s="34"/>
      <c r="L262" s="34"/>
      <c r="M262" s="34"/>
      <c r="N262" s="34"/>
      <c r="O262" s="34"/>
      <c r="P262" s="34"/>
      <c r="Q262" s="25"/>
      <c r="R262" s="25"/>
      <c r="S262" s="25"/>
      <c r="T262" s="25"/>
      <c r="U262" s="25"/>
      <c r="V262" s="25"/>
      <c r="W262" s="25"/>
      <c r="X262" s="25"/>
      <c r="Y262" s="25"/>
      <c r="Z262" s="25"/>
    </row>
    <row r="263" spans="1:26" ht="12.75" customHeight="1" x14ac:dyDescent="0.2">
      <c r="A263" s="42" t="s">
        <v>95</v>
      </c>
      <c r="B263" s="48">
        <v>2</v>
      </c>
      <c r="C263" s="49" t="s">
        <v>16</v>
      </c>
      <c r="D263" s="49" t="s">
        <v>378</v>
      </c>
      <c r="E263" s="44"/>
      <c r="F263" s="34"/>
      <c r="G263" s="34"/>
      <c r="H263" s="35"/>
      <c r="I263" s="35"/>
      <c r="J263" s="34"/>
      <c r="K263" s="34"/>
      <c r="L263" s="34"/>
      <c r="M263" s="34"/>
      <c r="N263" s="34"/>
      <c r="O263" s="34"/>
      <c r="P263" s="34"/>
      <c r="Q263" s="25"/>
      <c r="R263" s="25"/>
      <c r="S263" s="25"/>
      <c r="T263" s="25"/>
      <c r="U263" s="25"/>
      <c r="V263" s="25"/>
      <c r="W263" s="25"/>
      <c r="X263" s="25"/>
      <c r="Y263" s="25"/>
      <c r="Z263" s="25"/>
    </row>
    <row r="264" spans="1:26" ht="12.75" customHeight="1" x14ac:dyDescent="0.2">
      <c r="A264" s="42" t="s">
        <v>95</v>
      </c>
      <c r="B264" s="48">
        <v>2</v>
      </c>
      <c r="C264" s="49" t="s">
        <v>19</v>
      </c>
      <c r="D264" s="49" t="s">
        <v>379</v>
      </c>
      <c r="E264" s="44"/>
      <c r="F264" s="34"/>
      <c r="G264" s="34"/>
      <c r="H264" s="35"/>
      <c r="I264" s="35"/>
      <c r="J264" s="34"/>
      <c r="K264" s="34"/>
      <c r="L264" s="34"/>
      <c r="M264" s="34"/>
      <c r="N264" s="34"/>
      <c r="O264" s="34"/>
      <c r="P264" s="34"/>
      <c r="Q264" s="25"/>
      <c r="R264" s="25"/>
      <c r="S264" s="25"/>
      <c r="T264" s="25"/>
      <c r="U264" s="25"/>
      <c r="V264" s="25"/>
      <c r="W264" s="25"/>
      <c r="X264" s="25"/>
      <c r="Y264" s="25"/>
      <c r="Z264" s="25"/>
    </row>
    <row r="265" spans="1:26" ht="12.75" customHeight="1" x14ac:dyDescent="0.2">
      <c r="A265" s="42" t="s">
        <v>95</v>
      </c>
      <c r="B265" s="48">
        <v>2</v>
      </c>
      <c r="C265" s="49" t="s">
        <v>22</v>
      </c>
      <c r="D265" s="49" t="s">
        <v>380</v>
      </c>
      <c r="E265" s="44"/>
      <c r="F265" s="34"/>
      <c r="G265" s="34"/>
      <c r="H265" s="35"/>
      <c r="I265" s="35"/>
      <c r="J265" s="34"/>
      <c r="K265" s="34"/>
      <c r="L265" s="34"/>
      <c r="M265" s="34"/>
      <c r="N265" s="34"/>
      <c r="O265" s="34"/>
      <c r="P265" s="34"/>
      <c r="Q265" s="25"/>
      <c r="R265" s="25"/>
      <c r="S265" s="25"/>
      <c r="T265" s="25"/>
      <c r="U265" s="25"/>
      <c r="V265" s="25"/>
      <c r="W265" s="25"/>
      <c r="X265" s="25"/>
      <c r="Y265" s="25"/>
      <c r="Z265" s="25"/>
    </row>
    <row r="266" spans="1:26" ht="12.75" customHeight="1" x14ac:dyDescent="0.2">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spans="1:26" ht="12.75" customHeight="1" x14ac:dyDescent="0.2">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spans="1:26" ht="12.75" customHeight="1" x14ac:dyDescent="0.2">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spans="1:26" ht="12.75" customHeight="1" x14ac:dyDescent="0.2">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spans="1:26" ht="12.75" customHeight="1" x14ac:dyDescent="0.2">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spans="1:26" ht="12.75" customHeight="1" x14ac:dyDescent="0.2">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spans="1:26" ht="12.75" customHeight="1" x14ac:dyDescent="0.2">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spans="1:26" ht="12.75" customHeight="1" x14ac:dyDescent="0.2">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spans="1:26" ht="12.75" customHeight="1" x14ac:dyDescent="0.2">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spans="1:26" ht="12.75" customHeight="1" x14ac:dyDescent="0.2">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spans="1:26" ht="12.75" customHeight="1" x14ac:dyDescent="0.2">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spans="1:26" ht="12.75" customHeight="1" x14ac:dyDescent="0.2">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spans="1:26" ht="12.75" customHeight="1" x14ac:dyDescent="0.2">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spans="1:26" ht="12.75" customHeight="1" x14ac:dyDescent="0.2">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spans="1:26" ht="12.75" customHeight="1" x14ac:dyDescent="0.2">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spans="1:26" ht="12.75" customHeight="1" x14ac:dyDescent="0.2">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spans="1:26" ht="12.75" customHeight="1" x14ac:dyDescent="0.2">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spans="1:26" ht="12.75" customHeight="1" x14ac:dyDescent="0.2">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spans="1:26" ht="12.75" customHeight="1" x14ac:dyDescent="0.2">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spans="1:26" ht="12.75" customHeight="1" x14ac:dyDescent="0.2">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spans="1:26" ht="12.75" customHeight="1" x14ac:dyDescent="0.2">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spans="1:26" ht="12.75" customHeight="1" x14ac:dyDescent="0.2">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spans="1:26" ht="12.75" customHeight="1" x14ac:dyDescent="0.2">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spans="1:26" ht="12.75" customHeight="1" x14ac:dyDescent="0.2">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spans="1:26" ht="12.75" customHeight="1" x14ac:dyDescent="0.2">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spans="1:26" ht="12.75" customHeight="1" x14ac:dyDescent="0.2">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spans="1:26" ht="12.75" customHeight="1" x14ac:dyDescent="0.2">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spans="1:26" ht="12.75" customHeight="1" x14ac:dyDescent="0.2">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spans="1:26" ht="12.75" customHeight="1" x14ac:dyDescent="0.2">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spans="1:26" ht="12.75" customHeight="1" x14ac:dyDescent="0.2">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spans="1:26" ht="12.75" customHeight="1" x14ac:dyDescent="0.2">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spans="1:26" ht="12.75" customHeight="1" x14ac:dyDescent="0.2">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spans="1:26" ht="12.75" customHeight="1" x14ac:dyDescent="0.2">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spans="1:26" ht="12.75" customHeight="1" x14ac:dyDescent="0.2">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spans="1:26" ht="12.75" customHeight="1" x14ac:dyDescent="0.2">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spans="1:26" ht="12.75" customHeight="1" x14ac:dyDescent="0.2">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spans="1:26" ht="12.75" customHeight="1" x14ac:dyDescent="0.2">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spans="1:26" ht="12.75" customHeight="1" x14ac:dyDescent="0.2">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spans="1:26" ht="12.75" customHeight="1" x14ac:dyDescent="0.2">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spans="1:26" ht="12.75" customHeight="1" x14ac:dyDescent="0.2">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spans="1:26" ht="12.75" customHeight="1" x14ac:dyDescent="0.2">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spans="1:26" ht="12.75" customHeight="1" x14ac:dyDescent="0.2">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spans="1:26" ht="12.75" customHeight="1" x14ac:dyDescent="0.2">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spans="1:26" ht="12.75" customHeight="1" x14ac:dyDescent="0.2">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spans="1:26" ht="12.75" customHeight="1" x14ac:dyDescent="0.2">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spans="1:26" ht="12.75" customHeight="1" x14ac:dyDescent="0.2">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spans="1:26" ht="12.75" customHeight="1" x14ac:dyDescent="0.2">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spans="1:26" ht="12.75" customHeight="1" x14ac:dyDescent="0.2">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spans="1:26" ht="12.75" customHeight="1" x14ac:dyDescent="0.2">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spans="1:26" ht="12.75" customHeight="1" x14ac:dyDescent="0.2">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spans="1:26" ht="12.75" customHeight="1" x14ac:dyDescent="0.2">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spans="1:26" ht="12.75" customHeight="1" x14ac:dyDescent="0.2">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spans="1:26" ht="12.75" customHeight="1" x14ac:dyDescent="0.2">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spans="1:26" ht="12.75" customHeight="1" x14ac:dyDescent="0.2">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spans="1:26" ht="12.75" customHeight="1" x14ac:dyDescent="0.2">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spans="1:26" ht="12.75" customHeight="1" x14ac:dyDescent="0.2">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spans="1:26" ht="12.75" customHeight="1" x14ac:dyDescent="0.2">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spans="1:26" ht="12.75" customHeight="1" x14ac:dyDescent="0.2">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spans="1:26" ht="12.75" customHeight="1" x14ac:dyDescent="0.2">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spans="1:26" ht="12.75" customHeight="1" x14ac:dyDescent="0.2">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spans="1:26" ht="12.75" customHeight="1" x14ac:dyDescent="0.2">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spans="1:26" ht="12.75" customHeight="1" x14ac:dyDescent="0.2">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spans="1:26" ht="12.75" customHeight="1" x14ac:dyDescent="0.2">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spans="1:26" ht="12.75" customHeight="1" x14ac:dyDescent="0.2">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spans="1:26" ht="12.75" customHeight="1" x14ac:dyDescent="0.2">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spans="1:26" ht="12.75" customHeight="1" x14ac:dyDescent="0.2">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spans="1:26" ht="12.75" customHeight="1" x14ac:dyDescent="0.2">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spans="1:26" ht="12.75" customHeight="1" x14ac:dyDescent="0.2">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spans="1:26" ht="12.75" customHeight="1" x14ac:dyDescent="0.2">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spans="1:26" ht="12.75" customHeight="1" x14ac:dyDescent="0.2">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spans="1:26" ht="12.75" customHeight="1" x14ac:dyDescent="0.2">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spans="1:26" ht="12.75" customHeight="1" x14ac:dyDescent="0.2">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spans="1:26" ht="12.75" customHeight="1" x14ac:dyDescent="0.2">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spans="1:26" ht="12.75" customHeight="1" x14ac:dyDescent="0.2">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spans="1:26" ht="12.75" customHeight="1" x14ac:dyDescent="0.2">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spans="1:26" ht="12.75" customHeight="1" x14ac:dyDescent="0.2">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spans="1:26" ht="12.75" customHeight="1" x14ac:dyDescent="0.2">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spans="1:26" ht="12.75" customHeight="1" x14ac:dyDescent="0.2">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spans="1:26" ht="12.75" customHeight="1" x14ac:dyDescent="0.2">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spans="1:26" ht="12.75" customHeight="1" x14ac:dyDescent="0.2">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spans="1:26" ht="12.75" customHeight="1" x14ac:dyDescent="0.2">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spans="1:26" ht="12.75" customHeight="1" x14ac:dyDescent="0.2">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spans="1:26" ht="12.75" customHeight="1" x14ac:dyDescent="0.2">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spans="1:26" ht="12.75" customHeight="1" x14ac:dyDescent="0.2">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spans="1:26" ht="12.75" customHeight="1" x14ac:dyDescent="0.2">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spans="1:26" ht="12.75" customHeight="1" x14ac:dyDescent="0.2">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spans="1:26" ht="12.75" customHeight="1" x14ac:dyDescent="0.2">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spans="1:26" ht="12.75" customHeight="1" x14ac:dyDescent="0.2">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spans="1:26" ht="12.75" customHeight="1" x14ac:dyDescent="0.2">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spans="1:26" ht="12.75" customHeight="1" x14ac:dyDescent="0.2">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spans="1:26" ht="12.75" customHeight="1" x14ac:dyDescent="0.2">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spans="1:26" ht="12.75" customHeight="1" x14ac:dyDescent="0.2">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spans="1:26" ht="12.75" customHeight="1" x14ac:dyDescent="0.2">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spans="1:26" ht="12.75" customHeight="1" x14ac:dyDescent="0.2">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spans="1:26" ht="12.75" customHeight="1" x14ac:dyDescent="0.2">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spans="1:26" ht="12.75" customHeight="1" x14ac:dyDescent="0.2">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spans="1:26" ht="12.75" customHeight="1" x14ac:dyDescent="0.2">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spans="1:26" ht="12.75" customHeight="1" x14ac:dyDescent="0.2">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spans="1:26" ht="12.75" customHeight="1" x14ac:dyDescent="0.2">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spans="1:26" ht="12.75" customHeight="1" x14ac:dyDescent="0.2">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spans="1:26" ht="12.75" customHeight="1" x14ac:dyDescent="0.2">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spans="1:26" ht="12.75" customHeight="1" x14ac:dyDescent="0.2">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spans="1:26" ht="12.75" customHeight="1" x14ac:dyDescent="0.2">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spans="1:26" ht="12.75" customHeight="1" x14ac:dyDescent="0.2">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spans="1:26" ht="12.75" customHeight="1" x14ac:dyDescent="0.2">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spans="1:26" ht="12.75" customHeight="1" x14ac:dyDescent="0.2">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spans="1:26" ht="12.75" customHeight="1" x14ac:dyDescent="0.2">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spans="1:26" ht="12.75" customHeight="1" x14ac:dyDescent="0.2">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spans="1:26" ht="12.75" customHeight="1" x14ac:dyDescent="0.2">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spans="1:26" ht="12.75" customHeight="1" x14ac:dyDescent="0.2">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spans="1:26" ht="12.75" customHeight="1" x14ac:dyDescent="0.2">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spans="1:26" ht="12.75" customHeight="1" x14ac:dyDescent="0.2">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spans="1:26" ht="12.75" customHeight="1" x14ac:dyDescent="0.2">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spans="1:26" ht="12.75" customHeight="1" x14ac:dyDescent="0.2">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spans="1:26" ht="12.75" customHeight="1" x14ac:dyDescent="0.2">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spans="1:26" ht="12.75" customHeight="1" x14ac:dyDescent="0.2">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spans="1:26" ht="12.75" customHeight="1" x14ac:dyDescent="0.2">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spans="1:26" ht="12.75" customHeight="1" x14ac:dyDescent="0.2">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spans="1:26" ht="12.75" customHeight="1" x14ac:dyDescent="0.2">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spans="1:26" ht="12.75" customHeight="1" x14ac:dyDescent="0.2">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spans="1:26" ht="12.75" customHeight="1" x14ac:dyDescent="0.2">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spans="1:26" ht="12.75" customHeight="1" x14ac:dyDescent="0.2">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spans="1:26" ht="12.75" customHeight="1" x14ac:dyDescent="0.2">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spans="1:26" ht="12.75" customHeight="1" x14ac:dyDescent="0.2">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spans="1:26" ht="12.75" customHeight="1" x14ac:dyDescent="0.2">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spans="1:26" ht="12.75" customHeight="1" x14ac:dyDescent="0.2">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spans="1:26" ht="12.75" customHeight="1" x14ac:dyDescent="0.2">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spans="1:26" ht="12.75" customHeight="1" x14ac:dyDescent="0.2">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spans="1:26" ht="12.75" customHeight="1" x14ac:dyDescent="0.2">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spans="1:26" ht="12.75" customHeight="1" x14ac:dyDescent="0.2">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spans="1:26" ht="12.75" customHeight="1" x14ac:dyDescent="0.2">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spans="1:26" ht="12.75" customHeight="1" x14ac:dyDescent="0.2">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spans="1:26" ht="12.75" customHeight="1" x14ac:dyDescent="0.2">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spans="1:26" ht="12.75" customHeight="1" x14ac:dyDescent="0.2">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spans="1:26" ht="12.75" customHeight="1" x14ac:dyDescent="0.2">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spans="1:26" ht="12.75" customHeight="1" x14ac:dyDescent="0.2">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spans="1:26" ht="12.75" customHeight="1" x14ac:dyDescent="0.2">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spans="1:26" ht="12.75" customHeight="1" x14ac:dyDescent="0.2">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spans="1:26" ht="12.75" customHeight="1" x14ac:dyDescent="0.2">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spans="1:26" ht="12.75" customHeight="1" x14ac:dyDescent="0.2">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spans="1:26" ht="12.75" customHeight="1" x14ac:dyDescent="0.2">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spans="1:26" ht="12.75" customHeight="1" x14ac:dyDescent="0.2">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spans="1:26" ht="12.75" customHeight="1" x14ac:dyDescent="0.2">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spans="1:26" ht="12.75" customHeight="1" x14ac:dyDescent="0.2">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spans="1:26" ht="12.75" customHeight="1" x14ac:dyDescent="0.2">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spans="1:26" ht="12.75" customHeight="1" x14ac:dyDescent="0.2">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spans="1:26" ht="12.75" customHeight="1" x14ac:dyDescent="0.2">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spans="1:26" ht="12.75" customHeight="1" x14ac:dyDescent="0.2">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spans="1:26" ht="12.75" customHeight="1" x14ac:dyDescent="0.2">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spans="1:26" ht="12.75" customHeight="1" x14ac:dyDescent="0.2">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spans="1:26" ht="12.75" customHeight="1" x14ac:dyDescent="0.2">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spans="1:26" ht="12.75" customHeight="1" x14ac:dyDescent="0.2">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spans="1:26" ht="12.75" customHeight="1" x14ac:dyDescent="0.2">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spans="1:26" ht="12.75" customHeight="1" x14ac:dyDescent="0.2">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spans="1:26" ht="12.75" customHeight="1" x14ac:dyDescent="0.2">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spans="1:26" ht="12.75" customHeight="1" x14ac:dyDescent="0.2">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spans="1:26" ht="12.75" customHeight="1" x14ac:dyDescent="0.2">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spans="1:26" ht="12.75" customHeight="1" x14ac:dyDescent="0.2">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spans="1:26" ht="12.75" customHeight="1" x14ac:dyDescent="0.2">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spans="1:26" ht="12.75" customHeight="1" x14ac:dyDescent="0.2">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spans="1:26" ht="12.75" customHeight="1" x14ac:dyDescent="0.2">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spans="1:26" ht="12.75" customHeight="1" x14ac:dyDescent="0.2">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spans="1:26" ht="12.75" customHeight="1" x14ac:dyDescent="0.2">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spans="1:26" ht="12.75" customHeight="1" x14ac:dyDescent="0.2">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spans="1:26" ht="12.75" customHeight="1" x14ac:dyDescent="0.2">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spans="1:26" ht="12.75" customHeight="1" x14ac:dyDescent="0.2">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spans="1:26" ht="12.75" customHeight="1" x14ac:dyDescent="0.2">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spans="1:26" ht="12.75" customHeight="1" x14ac:dyDescent="0.2">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spans="1:26" ht="12.75" customHeight="1" x14ac:dyDescent="0.2">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spans="1:26" ht="12.75" customHeight="1" x14ac:dyDescent="0.2">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spans="1:26" ht="12.75" customHeight="1" x14ac:dyDescent="0.2">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spans="1:26" ht="12.75" customHeight="1" x14ac:dyDescent="0.2">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spans="1:26" ht="12.75" customHeight="1" x14ac:dyDescent="0.2">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spans="1:26" ht="12.75" customHeight="1" x14ac:dyDescent="0.2">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spans="1:26" ht="12.75" customHeight="1" x14ac:dyDescent="0.2">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spans="1:26" ht="12.75" customHeight="1" x14ac:dyDescent="0.2">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spans="1:26" ht="12.75" customHeight="1" x14ac:dyDescent="0.2">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spans="1:26" ht="12.75" customHeight="1" x14ac:dyDescent="0.2">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spans="1:26" ht="12.75" customHeight="1" x14ac:dyDescent="0.2">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spans="1:26" ht="12.75" customHeight="1" x14ac:dyDescent="0.2">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spans="1:26" ht="12.75" customHeight="1" x14ac:dyDescent="0.2">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spans="1:26" ht="12.75" customHeight="1" x14ac:dyDescent="0.2">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spans="1:26" ht="12.75" customHeight="1" x14ac:dyDescent="0.2">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spans="1:26" ht="12.75" customHeight="1" x14ac:dyDescent="0.2">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spans="1:26" ht="12.75" customHeight="1" x14ac:dyDescent="0.2">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spans="1:26" ht="12.75" customHeight="1" x14ac:dyDescent="0.2">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spans="1:26" ht="12.75" customHeight="1" x14ac:dyDescent="0.2">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spans="1:26" ht="12.75" customHeight="1" x14ac:dyDescent="0.2">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spans="1:26" ht="12.75" customHeight="1" x14ac:dyDescent="0.2">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spans="1:26" ht="12.75" customHeight="1" x14ac:dyDescent="0.2">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spans="1:26" ht="12.75" customHeight="1" x14ac:dyDescent="0.2">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spans="1:26" ht="12.75" customHeight="1" x14ac:dyDescent="0.2">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spans="1:26" ht="12.75" customHeight="1" x14ac:dyDescent="0.2">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spans="1:26" ht="12.75" customHeight="1" x14ac:dyDescent="0.2">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spans="1:26" ht="12.75" customHeight="1" x14ac:dyDescent="0.2">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spans="1:26" ht="12.75" customHeight="1" x14ac:dyDescent="0.2">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spans="1:26" ht="12.75" customHeight="1" x14ac:dyDescent="0.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spans="1:26" ht="12.75" customHeight="1" x14ac:dyDescent="0.2">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spans="1:26" ht="12.75" customHeight="1" x14ac:dyDescent="0.2">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spans="1:26" ht="12.75" customHeight="1" x14ac:dyDescent="0.2">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spans="1:26" ht="12.75" customHeight="1" x14ac:dyDescent="0.2">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spans="1:26" ht="12.75" customHeight="1" x14ac:dyDescent="0.2">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spans="1:26" ht="12.75" customHeight="1" x14ac:dyDescent="0.2">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spans="1:26" ht="12.75" customHeight="1" x14ac:dyDescent="0.2">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spans="1:26" ht="12.75" customHeight="1" x14ac:dyDescent="0.2">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spans="1:26" ht="12.75" customHeight="1" x14ac:dyDescent="0.2">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spans="1:26" ht="12.75" customHeight="1" x14ac:dyDescent="0.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spans="1:26" ht="12.75" customHeight="1" x14ac:dyDescent="0.2">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spans="1:26" ht="12.75" customHeight="1" x14ac:dyDescent="0.2">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spans="1:26" ht="12.75" customHeight="1" x14ac:dyDescent="0.2">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spans="1:26" ht="12.75" customHeight="1" x14ac:dyDescent="0.2">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spans="1:26" ht="12.75" customHeight="1" x14ac:dyDescent="0.2">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spans="1:26" ht="12.75" customHeight="1" x14ac:dyDescent="0.2">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spans="1:26" ht="12.75" customHeight="1" x14ac:dyDescent="0.2">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spans="1:26" ht="12.75" customHeight="1" x14ac:dyDescent="0.2">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spans="1:26" ht="12.75" customHeight="1" x14ac:dyDescent="0.2">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spans="1:26" ht="12.75" customHeight="1" x14ac:dyDescent="0.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spans="1:26" ht="12.75" customHeight="1" x14ac:dyDescent="0.2">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spans="1:26" ht="12.75" customHeight="1" x14ac:dyDescent="0.2">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spans="1:26" ht="12.75" customHeight="1" x14ac:dyDescent="0.2">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spans="1:26" ht="12.75" customHeight="1" x14ac:dyDescent="0.2">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spans="1:26" ht="12.75" customHeight="1" x14ac:dyDescent="0.2">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spans="1:26" ht="12.75" customHeight="1" x14ac:dyDescent="0.2">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spans="1:26" ht="12.75" customHeight="1" x14ac:dyDescent="0.2">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spans="1:26" ht="12.75" customHeight="1" x14ac:dyDescent="0.2">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spans="1:26" ht="12.75" customHeight="1" x14ac:dyDescent="0.2">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spans="1:26" ht="12.75" customHeight="1" x14ac:dyDescent="0.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spans="1:26" ht="12.75" customHeight="1" x14ac:dyDescent="0.2">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spans="1:26" ht="12.75" customHeight="1" x14ac:dyDescent="0.2">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spans="1:26" ht="12.75" customHeight="1" x14ac:dyDescent="0.2">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spans="1:26" ht="12.75" customHeight="1" x14ac:dyDescent="0.2">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spans="1:26" ht="12.75" customHeight="1" x14ac:dyDescent="0.2">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spans="1:26" ht="12.75" customHeight="1" x14ac:dyDescent="0.2">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spans="1:26" ht="12.75" customHeight="1" x14ac:dyDescent="0.2">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spans="1:26" ht="12.75" customHeight="1" x14ac:dyDescent="0.2">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spans="1:26" ht="12.75" customHeight="1" x14ac:dyDescent="0.2">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spans="1:26" ht="12.75" customHeight="1" x14ac:dyDescent="0.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spans="1:26" ht="12.75" customHeight="1" x14ac:dyDescent="0.2">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spans="1:26" ht="12.75" customHeight="1" x14ac:dyDescent="0.2">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spans="1:26" ht="12.75" customHeight="1" x14ac:dyDescent="0.2">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spans="1:26" ht="12.75" customHeight="1" x14ac:dyDescent="0.2">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spans="1:26" ht="12.75" customHeight="1" x14ac:dyDescent="0.2">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spans="1:26" ht="12.75" customHeight="1" x14ac:dyDescent="0.2">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spans="1:26" ht="12.75" customHeight="1" x14ac:dyDescent="0.2">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spans="1:26" ht="12.75" customHeight="1" x14ac:dyDescent="0.2">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spans="1:26" ht="12.75" customHeight="1" x14ac:dyDescent="0.2">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spans="1:26" ht="12.75" customHeight="1" x14ac:dyDescent="0.2">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spans="1:26" ht="12.75" customHeight="1" x14ac:dyDescent="0.2">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spans="1:26" ht="12.75" customHeight="1" x14ac:dyDescent="0.2">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spans="1:26" ht="12.75" customHeight="1" x14ac:dyDescent="0.2">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spans="1:26" ht="12.75" customHeight="1" x14ac:dyDescent="0.2">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spans="1:26" ht="12.75" customHeight="1" x14ac:dyDescent="0.2">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spans="1:26" ht="12.75" customHeight="1" x14ac:dyDescent="0.2">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spans="1:26" ht="12.75" customHeight="1" x14ac:dyDescent="0.2">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spans="1:26" ht="12.75" customHeight="1" x14ac:dyDescent="0.2">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spans="1:26" ht="12.75" customHeight="1" x14ac:dyDescent="0.2">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spans="1:26" ht="12.75" customHeight="1" x14ac:dyDescent="0.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spans="1:26" ht="12.75" customHeight="1" x14ac:dyDescent="0.2">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spans="1:26" ht="12.75" customHeight="1" x14ac:dyDescent="0.2">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spans="1:26" ht="12.75" customHeight="1" x14ac:dyDescent="0.2">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spans="1:26" ht="12.75" customHeight="1" x14ac:dyDescent="0.2">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spans="1:26" ht="12.75" customHeight="1" x14ac:dyDescent="0.2">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spans="1:26" ht="12.75" customHeight="1" x14ac:dyDescent="0.2">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spans="1:26" ht="12.75" customHeight="1" x14ac:dyDescent="0.2">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spans="1:26" ht="12.75" customHeight="1" x14ac:dyDescent="0.2">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spans="1:26" ht="12.75" customHeight="1" x14ac:dyDescent="0.2">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spans="1:26" ht="12.75" customHeight="1" x14ac:dyDescent="0.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spans="1:26" ht="12.75" customHeight="1" x14ac:dyDescent="0.2">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spans="1:26" ht="12.75" customHeight="1" x14ac:dyDescent="0.2">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spans="1:26" ht="12.75" customHeight="1" x14ac:dyDescent="0.2">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spans="1:26" ht="12.75" customHeight="1" x14ac:dyDescent="0.2">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spans="1:26" ht="12.75" customHeight="1" x14ac:dyDescent="0.2">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spans="1:26" ht="12.75" customHeight="1" x14ac:dyDescent="0.2">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spans="1:26" ht="12.75" customHeight="1" x14ac:dyDescent="0.2">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spans="1:26" ht="12.75" customHeight="1" x14ac:dyDescent="0.2">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spans="1:26" ht="12.75" customHeight="1" x14ac:dyDescent="0.2">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spans="1:26" ht="12.75" customHeight="1" x14ac:dyDescent="0.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spans="1:26" ht="12.75" customHeight="1" x14ac:dyDescent="0.2">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spans="1:26" ht="12.75" customHeight="1" x14ac:dyDescent="0.2">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spans="1:26" ht="12.75" customHeight="1" x14ac:dyDescent="0.2">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spans="1:26" ht="12.75" customHeight="1" x14ac:dyDescent="0.2">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spans="1:26" ht="12.75" customHeight="1" x14ac:dyDescent="0.2">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spans="1:26" ht="12.75" customHeight="1" x14ac:dyDescent="0.2">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spans="1:26" ht="12.75" customHeight="1" x14ac:dyDescent="0.2">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spans="1:26" ht="12.75" customHeight="1" x14ac:dyDescent="0.2">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spans="1:26" ht="12.75" customHeight="1" x14ac:dyDescent="0.2">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spans="1:26" ht="12.75" customHeight="1" x14ac:dyDescent="0.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spans="1:26" ht="12.75" customHeight="1" x14ac:dyDescent="0.2">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spans="1:26" ht="12.75" customHeight="1" x14ac:dyDescent="0.2">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spans="1:26" ht="12.75" customHeight="1" x14ac:dyDescent="0.2">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spans="1:26" ht="12.75" customHeight="1" x14ac:dyDescent="0.2">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spans="1:26" ht="12.75" customHeight="1" x14ac:dyDescent="0.2">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spans="1:26" ht="12.75" customHeight="1" x14ac:dyDescent="0.2">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spans="1:26" ht="12.75" customHeight="1" x14ac:dyDescent="0.2">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spans="1:26" ht="12.75" customHeight="1" x14ac:dyDescent="0.2">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spans="1:26" ht="12.75" customHeight="1" x14ac:dyDescent="0.2">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spans="1:26" ht="12.75" customHeight="1" x14ac:dyDescent="0.2">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spans="1:26" ht="12.75" customHeight="1" x14ac:dyDescent="0.2">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spans="1:26" ht="12.75" customHeight="1" x14ac:dyDescent="0.2">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spans="1:26" ht="12.75" customHeight="1" x14ac:dyDescent="0.2">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spans="1:26" ht="12.75" customHeight="1" x14ac:dyDescent="0.2">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spans="1:26" ht="12.75" customHeight="1" x14ac:dyDescent="0.2">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spans="1:26" ht="12.75" customHeight="1" x14ac:dyDescent="0.2">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spans="1:26" ht="12.75" customHeight="1" x14ac:dyDescent="0.2">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spans="1:26" ht="12.75" customHeight="1" x14ac:dyDescent="0.2">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spans="1:26" ht="12.75" customHeight="1" x14ac:dyDescent="0.2">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spans="1:26" ht="12.75" customHeight="1" x14ac:dyDescent="0.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spans="1:26" ht="12.75" customHeight="1" x14ac:dyDescent="0.2">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spans="1:26" ht="12.75" customHeight="1" x14ac:dyDescent="0.2">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spans="1:26" ht="12.75" customHeight="1" x14ac:dyDescent="0.2">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spans="1:26" ht="12.75" customHeight="1" x14ac:dyDescent="0.2">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spans="1:26" ht="12.75" customHeight="1" x14ac:dyDescent="0.2">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spans="1:26" ht="12.75" customHeight="1" x14ac:dyDescent="0.2">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spans="1:26" ht="12.75" customHeight="1" x14ac:dyDescent="0.2">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spans="1:26" ht="12.75" customHeight="1" x14ac:dyDescent="0.2">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spans="1:26" ht="12.75" customHeight="1" x14ac:dyDescent="0.2">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spans="1:26" ht="12.75" customHeight="1" x14ac:dyDescent="0.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spans="1:26" ht="12.75" customHeight="1" x14ac:dyDescent="0.2">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spans="1:26" ht="12.75" customHeight="1" x14ac:dyDescent="0.2">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spans="1:26" ht="12.75" customHeight="1" x14ac:dyDescent="0.2">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spans="1:26" ht="12.75" customHeight="1" x14ac:dyDescent="0.2">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spans="1:26" ht="12.75" customHeight="1" x14ac:dyDescent="0.2">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spans="1:26" ht="12.75" customHeight="1" x14ac:dyDescent="0.2">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spans="1:26" ht="12.75" customHeight="1" x14ac:dyDescent="0.2">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spans="1:26" ht="12.75" customHeight="1" x14ac:dyDescent="0.2">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spans="1:26" ht="12.75" customHeight="1" x14ac:dyDescent="0.2">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spans="1:26" ht="12.75" customHeight="1" x14ac:dyDescent="0.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spans="1:26" ht="12.75" customHeight="1" x14ac:dyDescent="0.2">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spans="1:26" ht="12.75" customHeight="1" x14ac:dyDescent="0.2">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spans="1:26" ht="12.75" customHeight="1" x14ac:dyDescent="0.2">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spans="1:26" ht="12.75" customHeight="1" x14ac:dyDescent="0.2">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spans="1:26" ht="12.75" customHeight="1" x14ac:dyDescent="0.2">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spans="1:26" ht="12.75" customHeight="1" x14ac:dyDescent="0.2">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spans="1:26" ht="12.75" customHeight="1" x14ac:dyDescent="0.2">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spans="1:26" ht="12.75" customHeight="1" x14ac:dyDescent="0.2">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spans="1:26" ht="12.75" customHeight="1" x14ac:dyDescent="0.2">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spans="1:26" ht="12.75" customHeight="1" x14ac:dyDescent="0.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spans="1:26" ht="12.75" customHeight="1" x14ac:dyDescent="0.2">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spans="1:26" ht="12.75" customHeight="1" x14ac:dyDescent="0.2">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spans="1:26" ht="12.75" customHeight="1" x14ac:dyDescent="0.2">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spans="1:26" ht="12.75" customHeight="1" x14ac:dyDescent="0.2">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spans="1:26" ht="12.75" customHeight="1" x14ac:dyDescent="0.2">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spans="1:26" ht="12.75" customHeight="1" x14ac:dyDescent="0.2">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spans="1:26" ht="12.75" customHeight="1" x14ac:dyDescent="0.2">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spans="1:26" ht="12.75" customHeight="1" x14ac:dyDescent="0.2">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spans="1:26" ht="12.75" customHeight="1" x14ac:dyDescent="0.2">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spans="1:26" ht="12.75" customHeight="1" x14ac:dyDescent="0.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spans="1:26" ht="12.75" customHeight="1" x14ac:dyDescent="0.2">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spans="1:26" ht="12.75" customHeight="1" x14ac:dyDescent="0.2">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spans="1:26" ht="12.75" customHeight="1" x14ac:dyDescent="0.2">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spans="1:26" ht="12.75" customHeight="1" x14ac:dyDescent="0.2">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spans="1:26" ht="12.75" customHeight="1" x14ac:dyDescent="0.2">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spans="1:26" ht="12.75" customHeight="1" x14ac:dyDescent="0.2">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spans="1:26" ht="12.75" customHeight="1" x14ac:dyDescent="0.2">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spans="1:26" ht="12.75" customHeight="1" x14ac:dyDescent="0.2">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spans="1:26" ht="12.75" customHeight="1" x14ac:dyDescent="0.2">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spans="1:26" ht="12.75" customHeight="1" x14ac:dyDescent="0.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spans="1:26" ht="12.75" customHeight="1" x14ac:dyDescent="0.2">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spans="1:26" ht="12.75" customHeight="1" x14ac:dyDescent="0.2">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spans="1:26" ht="12.75" customHeight="1" x14ac:dyDescent="0.2">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spans="1:26" ht="12.75" customHeight="1" x14ac:dyDescent="0.2">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spans="1:26" ht="12.75" customHeight="1" x14ac:dyDescent="0.2">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spans="1:26" ht="12.75" customHeight="1" x14ac:dyDescent="0.2">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spans="1:26" ht="12.75" customHeight="1" x14ac:dyDescent="0.2">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spans="1:26" ht="12.75" customHeight="1" x14ac:dyDescent="0.2">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spans="1:26" ht="12.75" customHeight="1" x14ac:dyDescent="0.2">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spans="1:26" ht="12.75" customHeight="1" x14ac:dyDescent="0.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spans="1:26" ht="12.75" customHeight="1" x14ac:dyDescent="0.2">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spans="1:26" ht="12.75" customHeight="1" x14ac:dyDescent="0.2">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spans="1:26" ht="12.75" customHeight="1" x14ac:dyDescent="0.2">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spans="1:26" ht="12.75" customHeight="1" x14ac:dyDescent="0.2">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spans="1:26" ht="12.75" customHeight="1" x14ac:dyDescent="0.2">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spans="1:26" ht="12.75" customHeight="1" x14ac:dyDescent="0.2">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spans="1:26" ht="12.75" customHeight="1" x14ac:dyDescent="0.2">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spans="1:26" ht="12.75" customHeight="1" x14ac:dyDescent="0.2">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spans="1:26" ht="12.75" customHeight="1" x14ac:dyDescent="0.2">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spans="1:26" ht="12.75" customHeight="1" x14ac:dyDescent="0.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spans="1:26" ht="12.75" customHeight="1" x14ac:dyDescent="0.2">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spans="1:26" ht="12.75" customHeight="1" x14ac:dyDescent="0.2">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spans="1:26" ht="12.75" customHeight="1" x14ac:dyDescent="0.2">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spans="1:26" ht="12.75" customHeight="1" x14ac:dyDescent="0.2">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spans="1:26" ht="12.75" customHeight="1" x14ac:dyDescent="0.2">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spans="1:26" ht="12.75" customHeight="1" x14ac:dyDescent="0.2">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spans="1:26" ht="12.75" customHeight="1" x14ac:dyDescent="0.2">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spans="1:26" ht="12.75" customHeight="1" x14ac:dyDescent="0.2">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spans="1:26" ht="12.75" customHeight="1" x14ac:dyDescent="0.2">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spans="1:26" ht="12.75" customHeight="1" x14ac:dyDescent="0.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spans="1:26" ht="12.75" customHeight="1" x14ac:dyDescent="0.2">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spans="1:26" ht="12.75" customHeight="1" x14ac:dyDescent="0.2">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spans="1:26" ht="12.75" customHeight="1" x14ac:dyDescent="0.2">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spans="1:26" ht="12.75" customHeight="1" x14ac:dyDescent="0.2">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spans="1:26" ht="12.75" customHeight="1" x14ac:dyDescent="0.2">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spans="1:26" ht="12.75" customHeight="1" x14ac:dyDescent="0.2">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spans="1:26" ht="12.75" customHeight="1" x14ac:dyDescent="0.2">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spans="1:26" ht="12.75" customHeight="1" x14ac:dyDescent="0.2">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spans="1:26" ht="12.75" customHeight="1" x14ac:dyDescent="0.2">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spans="1:26" ht="12.75" customHeight="1" x14ac:dyDescent="0.2">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spans="1:26" ht="12.75" customHeight="1" x14ac:dyDescent="0.2">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spans="1:26" ht="12.75" customHeight="1" x14ac:dyDescent="0.2">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spans="1:26" ht="12.75" customHeight="1" x14ac:dyDescent="0.2">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spans="1:26" ht="12.75" customHeight="1" x14ac:dyDescent="0.2">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spans="1:26" ht="12.75" customHeight="1" x14ac:dyDescent="0.2">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spans="1:26" ht="12.75" customHeight="1" x14ac:dyDescent="0.2">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spans="1:26" ht="12.75" customHeight="1" x14ac:dyDescent="0.2">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spans="1:26" ht="12.75" customHeight="1" x14ac:dyDescent="0.2">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spans="1:26" ht="12.75" customHeight="1" x14ac:dyDescent="0.2">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spans="1:26" ht="12.75" customHeight="1" x14ac:dyDescent="0.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spans="1:26" ht="12.75" customHeight="1" x14ac:dyDescent="0.2">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spans="1:26" ht="12.75" customHeight="1" x14ac:dyDescent="0.2">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spans="1:26" ht="12.75" customHeight="1" x14ac:dyDescent="0.2">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spans="1:26" ht="12.75" customHeight="1" x14ac:dyDescent="0.2">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spans="1:26" ht="12.75" customHeight="1" x14ac:dyDescent="0.2">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spans="1:26" ht="12.75" customHeight="1" x14ac:dyDescent="0.2">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spans="1:26" ht="12.75" customHeight="1" x14ac:dyDescent="0.2">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spans="1:26" ht="12.75" customHeight="1" x14ac:dyDescent="0.2">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spans="1:26" ht="12.75" customHeight="1" x14ac:dyDescent="0.2">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spans="1:26" ht="12.75" customHeight="1" x14ac:dyDescent="0.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spans="1:26" ht="12.75" customHeight="1" x14ac:dyDescent="0.2">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spans="1:26" ht="12.75" customHeight="1" x14ac:dyDescent="0.2">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spans="1:26" ht="12.75" customHeight="1" x14ac:dyDescent="0.2">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spans="1:26" ht="12.75" customHeight="1" x14ac:dyDescent="0.2">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spans="1:26" ht="12.75" customHeight="1" x14ac:dyDescent="0.2">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spans="1:26" ht="12.75" customHeight="1" x14ac:dyDescent="0.2">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spans="1:26" ht="12.75" customHeight="1" x14ac:dyDescent="0.2">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spans="1:26" ht="12.75" customHeight="1" x14ac:dyDescent="0.2">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spans="1:26" ht="12.75" customHeight="1" x14ac:dyDescent="0.2">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spans="1:26" ht="12.75" customHeight="1" x14ac:dyDescent="0.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spans="1:26" ht="12.75" customHeight="1" x14ac:dyDescent="0.2">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spans="1:26" ht="12.75" customHeight="1" x14ac:dyDescent="0.2">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spans="1:26" ht="12.75" customHeight="1" x14ac:dyDescent="0.2">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spans="1:26" ht="12.75" customHeight="1" x14ac:dyDescent="0.2">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spans="1:26" ht="12.75" customHeight="1" x14ac:dyDescent="0.2">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spans="1:26" ht="12.75" customHeight="1" x14ac:dyDescent="0.2">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spans="1:26" ht="12.75" customHeight="1" x14ac:dyDescent="0.2">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spans="1:26" ht="12.75" customHeight="1" x14ac:dyDescent="0.2">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spans="1:26" ht="12.75" customHeight="1" x14ac:dyDescent="0.2">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spans="1:26" ht="12.75" customHeight="1" x14ac:dyDescent="0.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spans="1:26" ht="12.75" customHeight="1" x14ac:dyDescent="0.2">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spans="1:26" ht="12.75" customHeight="1" x14ac:dyDescent="0.2">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spans="1:26" ht="12.75" customHeight="1" x14ac:dyDescent="0.2">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spans="1:26" ht="12.75" customHeight="1" x14ac:dyDescent="0.2">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spans="1:26" ht="12.75" customHeight="1" x14ac:dyDescent="0.2">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spans="1:26" ht="12.75" customHeight="1" x14ac:dyDescent="0.2">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spans="1:26" ht="12.75" customHeight="1" x14ac:dyDescent="0.2">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spans="1:26" ht="12.75" customHeight="1" x14ac:dyDescent="0.2">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spans="1:26" ht="12.75" customHeight="1" x14ac:dyDescent="0.2">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spans="1:26" ht="12.75" customHeight="1" x14ac:dyDescent="0.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spans="1:26" ht="12.75" customHeight="1" x14ac:dyDescent="0.2">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spans="1:26" ht="12.75" customHeight="1" x14ac:dyDescent="0.2">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spans="1:26" ht="12.75" customHeight="1" x14ac:dyDescent="0.2">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spans="1:26" ht="12.75" customHeight="1" x14ac:dyDescent="0.2">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spans="1:26" ht="12.75" customHeight="1" x14ac:dyDescent="0.2">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spans="1:26" ht="12.75" customHeight="1" x14ac:dyDescent="0.2">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spans="1:26" ht="12.75" customHeight="1" x14ac:dyDescent="0.2">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spans="1:26" ht="12.75" customHeight="1" x14ac:dyDescent="0.2">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spans="1:26" ht="12.75" customHeight="1" x14ac:dyDescent="0.2">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spans="1:26" ht="12.75" customHeight="1" x14ac:dyDescent="0.2">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spans="1:26" ht="12.75" customHeight="1" x14ac:dyDescent="0.2">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spans="1:26" ht="12.75" customHeight="1" x14ac:dyDescent="0.2">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spans="1:26" ht="12.75" customHeight="1" x14ac:dyDescent="0.2">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spans="1:26" ht="12.75" customHeight="1" x14ac:dyDescent="0.2">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spans="1:26" ht="12.75" customHeight="1" x14ac:dyDescent="0.2">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spans="1:26" ht="12.75" customHeight="1" x14ac:dyDescent="0.2">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spans="1:26" ht="12.75" customHeight="1" x14ac:dyDescent="0.2">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spans="1:26" ht="12.75" customHeight="1" x14ac:dyDescent="0.2">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spans="1:26" ht="12.75" customHeight="1" x14ac:dyDescent="0.2">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spans="1:26" ht="12.75" customHeight="1" x14ac:dyDescent="0.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spans="1:26" ht="12.75" customHeight="1" x14ac:dyDescent="0.2">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spans="1:26" ht="12.75" customHeight="1" x14ac:dyDescent="0.2">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spans="1:26" ht="12.75" customHeight="1" x14ac:dyDescent="0.2">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spans="1:26" ht="12.75" customHeight="1" x14ac:dyDescent="0.2">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spans="1:26" ht="12.75" customHeight="1" x14ac:dyDescent="0.2">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spans="1:26" ht="12.75" customHeight="1" x14ac:dyDescent="0.2">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spans="1:26" ht="12.75" customHeight="1" x14ac:dyDescent="0.2">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spans="1:26" ht="12.75" customHeight="1" x14ac:dyDescent="0.2">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spans="1:26" ht="12.75" customHeight="1" x14ac:dyDescent="0.2">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spans="1:26" ht="12.75" customHeight="1" x14ac:dyDescent="0.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spans="1:26" ht="12.75" customHeight="1" x14ac:dyDescent="0.2">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spans="1:26" ht="12.75" customHeight="1" x14ac:dyDescent="0.2">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spans="1:26" ht="12.75" customHeight="1" x14ac:dyDescent="0.2">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spans="1:26" ht="12.75" customHeight="1" x14ac:dyDescent="0.2">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spans="1:26" ht="12.75" customHeight="1" x14ac:dyDescent="0.2">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spans="1:26" ht="12.75" customHeight="1" x14ac:dyDescent="0.2">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spans="1:26" ht="12.75" customHeight="1" x14ac:dyDescent="0.2">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spans="1:26" ht="12.75" customHeight="1" x14ac:dyDescent="0.2">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spans="1:26" ht="12.75" customHeight="1" x14ac:dyDescent="0.2">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spans="1:26" ht="12.75" customHeight="1" x14ac:dyDescent="0.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spans="1:26" ht="12.75" customHeight="1" x14ac:dyDescent="0.2">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spans="1:26" ht="12.75" customHeight="1" x14ac:dyDescent="0.2">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spans="1:26" ht="12.75" customHeight="1" x14ac:dyDescent="0.2">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spans="1:26" ht="12.75" customHeight="1" x14ac:dyDescent="0.2">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spans="1:26" ht="12.75" customHeight="1" x14ac:dyDescent="0.2">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spans="1:26" ht="12.75" customHeight="1" x14ac:dyDescent="0.2">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spans="1:26" ht="12.75" customHeight="1" x14ac:dyDescent="0.2">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spans="1:26" ht="12.75" customHeight="1" x14ac:dyDescent="0.2">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spans="1:26" ht="12.75" customHeight="1" x14ac:dyDescent="0.2">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spans="1:26" ht="12.75" customHeight="1" x14ac:dyDescent="0.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spans="1:26" ht="12.75" customHeight="1" x14ac:dyDescent="0.2">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spans="1:26" ht="12.75" customHeight="1" x14ac:dyDescent="0.2">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spans="1:26" ht="12.75" customHeight="1" x14ac:dyDescent="0.2">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spans="1:26" ht="12.75" customHeight="1" x14ac:dyDescent="0.2">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spans="1:26" ht="12.75" customHeight="1" x14ac:dyDescent="0.2">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spans="1:26" ht="12.75" customHeight="1" x14ac:dyDescent="0.2">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spans="1:26" ht="12.75" customHeight="1" x14ac:dyDescent="0.2">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spans="1:26" ht="12.75" customHeight="1" x14ac:dyDescent="0.2">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spans="1:26" ht="12.75" customHeight="1" x14ac:dyDescent="0.2">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spans="1:26" ht="12.75" customHeight="1" x14ac:dyDescent="0.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spans="1:26" ht="12.75" customHeight="1" x14ac:dyDescent="0.2">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spans="1:26" ht="12.75" customHeight="1" x14ac:dyDescent="0.2">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spans="1:26" ht="12.75" customHeight="1" x14ac:dyDescent="0.2">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spans="1:26" ht="12.75" customHeight="1" x14ac:dyDescent="0.2">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spans="1:26" ht="12.75" customHeight="1" x14ac:dyDescent="0.2">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spans="1:26" ht="12.75" customHeight="1" x14ac:dyDescent="0.2">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spans="1:26" ht="12.75" customHeight="1" x14ac:dyDescent="0.2">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spans="1:26" ht="12.75" customHeight="1" x14ac:dyDescent="0.2">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spans="1:26" ht="12.75" customHeight="1" x14ac:dyDescent="0.2">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spans="1:26" ht="12.75" customHeight="1" x14ac:dyDescent="0.2">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spans="1:26" ht="12.75" customHeight="1" x14ac:dyDescent="0.2">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spans="1:26" ht="12.75" customHeight="1" x14ac:dyDescent="0.2">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spans="1:26" ht="12.75" customHeight="1" x14ac:dyDescent="0.2">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spans="1:26" ht="12.75" customHeight="1" x14ac:dyDescent="0.2">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spans="1:26" ht="12.75" customHeight="1" x14ac:dyDescent="0.2">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spans="1:26" ht="12.75" customHeight="1" x14ac:dyDescent="0.2">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spans="1:26" ht="12.75" customHeight="1" x14ac:dyDescent="0.2">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spans="1:26" ht="12.75" customHeight="1" x14ac:dyDescent="0.2">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spans="1:26" ht="12.75" customHeight="1" x14ac:dyDescent="0.2">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spans="1:26" ht="12.75" customHeight="1" x14ac:dyDescent="0.2">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spans="1:26" ht="12.75" customHeight="1" x14ac:dyDescent="0.2">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spans="1:26" ht="12.75" customHeight="1" x14ac:dyDescent="0.2">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spans="1:26" ht="12.75" customHeight="1" x14ac:dyDescent="0.2">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spans="1:26" ht="12.75" customHeight="1" x14ac:dyDescent="0.2">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spans="1:26" ht="12.75" customHeight="1" x14ac:dyDescent="0.2">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spans="1:26" ht="12.75" customHeight="1" x14ac:dyDescent="0.2">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spans="1:26" ht="12.75" customHeight="1" x14ac:dyDescent="0.2">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spans="1:26" ht="12.75" customHeight="1" x14ac:dyDescent="0.2">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spans="1:26" ht="12.75" customHeight="1" x14ac:dyDescent="0.2">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spans="1:26" ht="12.75" customHeight="1" x14ac:dyDescent="0.2">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spans="1:26" ht="12.75" customHeight="1" x14ac:dyDescent="0.2">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spans="1:26" ht="12.75" customHeight="1" x14ac:dyDescent="0.2">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spans="1:26" ht="12.75" customHeight="1" x14ac:dyDescent="0.2">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spans="1:26" ht="12.75" customHeight="1" x14ac:dyDescent="0.2">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spans="1:26" ht="12.75" customHeight="1" x14ac:dyDescent="0.2">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spans="1:26" ht="12.75" customHeight="1" x14ac:dyDescent="0.2">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spans="1:26" ht="12.75" customHeight="1" x14ac:dyDescent="0.2">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spans="1:26" ht="12.75" customHeight="1" x14ac:dyDescent="0.2">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spans="1:26" ht="12.75" customHeight="1" x14ac:dyDescent="0.2">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spans="1:26" ht="12.75" customHeight="1" x14ac:dyDescent="0.2">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spans="1:26" ht="12.75" customHeight="1" x14ac:dyDescent="0.2">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spans="1:26" ht="12.75" customHeight="1" x14ac:dyDescent="0.2">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spans="1:26" ht="12.75" customHeight="1" x14ac:dyDescent="0.2">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spans="1:26" ht="12.75" customHeight="1" x14ac:dyDescent="0.2">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spans="1:26" ht="12.75" customHeight="1" x14ac:dyDescent="0.2">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spans="1:26" ht="12.75" customHeight="1" x14ac:dyDescent="0.2">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spans="1:26" ht="12.75" customHeight="1" x14ac:dyDescent="0.2">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spans="1:26" ht="12.75" customHeight="1" x14ac:dyDescent="0.2">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spans="1:26" ht="12.75" customHeight="1" x14ac:dyDescent="0.2">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spans="1:26" ht="12.75" customHeight="1" x14ac:dyDescent="0.2">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spans="1:26" ht="12.75" customHeight="1" x14ac:dyDescent="0.2">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spans="1:26" ht="12.75" customHeight="1" x14ac:dyDescent="0.2">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spans="1:26" ht="12.75" customHeight="1" x14ac:dyDescent="0.2">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spans="1:26" ht="12.75" customHeight="1" x14ac:dyDescent="0.2">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spans="1:26" ht="12.75" customHeight="1" x14ac:dyDescent="0.2">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spans="1:26" ht="12.75" customHeight="1" x14ac:dyDescent="0.2">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spans="1:26" ht="12.75" customHeight="1" x14ac:dyDescent="0.2">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spans="1:26" ht="12.75" customHeight="1" x14ac:dyDescent="0.2">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spans="1:26" ht="12.75" customHeight="1" x14ac:dyDescent="0.2">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spans="1:26" ht="12.75" customHeight="1" x14ac:dyDescent="0.2">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spans="1:26" ht="12.75" customHeight="1" x14ac:dyDescent="0.2">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spans="1:26" ht="12.75" customHeight="1" x14ac:dyDescent="0.2">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spans="1:26" ht="12.75" customHeight="1" x14ac:dyDescent="0.2">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spans="1:26" ht="12.75" customHeight="1" x14ac:dyDescent="0.2">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spans="1:26" ht="12.75" customHeight="1" x14ac:dyDescent="0.2">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spans="1:26" ht="12.75" customHeight="1" x14ac:dyDescent="0.2">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spans="1:26" ht="12.75" customHeight="1" x14ac:dyDescent="0.2">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spans="1:26" ht="12.75" customHeight="1" x14ac:dyDescent="0.2">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spans="1:26" ht="12.75" customHeight="1" x14ac:dyDescent="0.2">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spans="1:26" ht="12.75" customHeight="1" x14ac:dyDescent="0.2">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spans="1:26" ht="12.75" customHeight="1" x14ac:dyDescent="0.2">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spans="1:26" ht="12.75" customHeight="1" x14ac:dyDescent="0.2">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spans="1:26" ht="12.75" customHeight="1" x14ac:dyDescent="0.2">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spans="1:26" ht="12.75" customHeight="1" x14ac:dyDescent="0.2">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spans="1:26" ht="12.75" customHeight="1" x14ac:dyDescent="0.2">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spans="1:26" ht="12.75" customHeight="1" x14ac:dyDescent="0.2">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spans="1:26" ht="12.75" customHeight="1" x14ac:dyDescent="0.2">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spans="1:26" ht="12.75" customHeight="1" x14ac:dyDescent="0.2">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spans="1:26" ht="12.75" customHeight="1" x14ac:dyDescent="0.2">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spans="1:26" ht="12.75" customHeight="1" x14ac:dyDescent="0.2">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spans="1:26" ht="12.75" customHeight="1" x14ac:dyDescent="0.2">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spans="1:26" ht="12.75" customHeight="1" x14ac:dyDescent="0.2">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spans="1:26" ht="12.75" customHeight="1" x14ac:dyDescent="0.2">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spans="1:26" ht="12.75" customHeight="1" x14ac:dyDescent="0.2">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spans="1:26" ht="12.75" customHeight="1" x14ac:dyDescent="0.2">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spans="1:26" ht="12.75" customHeight="1" x14ac:dyDescent="0.2">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spans="1:26" ht="12.75" customHeight="1" x14ac:dyDescent="0.2">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spans="1:26" ht="12.75" customHeight="1" x14ac:dyDescent="0.2">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spans="1:26" ht="12.75" customHeight="1" x14ac:dyDescent="0.2">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spans="1:26" ht="12.75" customHeight="1" x14ac:dyDescent="0.2">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spans="1:26" ht="12.75" customHeight="1" x14ac:dyDescent="0.2">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spans="1:26" ht="12.75" customHeight="1" x14ac:dyDescent="0.2">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spans="1:26" ht="12.75" customHeight="1" x14ac:dyDescent="0.2">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spans="1:26" ht="12.75" customHeight="1" x14ac:dyDescent="0.2">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spans="1:26" ht="12.75" customHeight="1" x14ac:dyDescent="0.2">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spans="1:26" ht="12.75" customHeight="1" x14ac:dyDescent="0.2">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spans="1:26" ht="12.75" customHeight="1" x14ac:dyDescent="0.2">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spans="1:26" ht="12.75" customHeight="1" x14ac:dyDescent="0.2">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spans="1:26" ht="12.75" customHeight="1" x14ac:dyDescent="0.2">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spans="1:26" ht="12.75" customHeight="1" x14ac:dyDescent="0.2">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spans="1:26" ht="12.75" customHeight="1" x14ac:dyDescent="0.2">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spans="1:26" ht="12.75" customHeight="1" x14ac:dyDescent="0.2">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spans="1:26" ht="12.75" customHeight="1" x14ac:dyDescent="0.2">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spans="1:26" ht="12.75" customHeight="1" x14ac:dyDescent="0.2">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spans="1:26" ht="12.75" customHeight="1" x14ac:dyDescent="0.2">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spans="1:26" ht="12.75" customHeight="1" x14ac:dyDescent="0.2">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spans="1:26" ht="12.75" customHeight="1" x14ac:dyDescent="0.2">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spans="1:26" ht="12.75" customHeight="1" x14ac:dyDescent="0.2">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spans="1:26" ht="12.75" customHeight="1" x14ac:dyDescent="0.2">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spans="1:26" ht="12.75" customHeight="1" x14ac:dyDescent="0.2">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spans="1:26" ht="12.75" customHeight="1" x14ac:dyDescent="0.2">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spans="1:26" ht="12.75" customHeight="1" x14ac:dyDescent="0.2">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spans="1:26" ht="12.75" customHeight="1" x14ac:dyDescent="0.2">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spans="1:26" ht="12.75" customHeight="1" x14ac:dyDescent="0.2">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spans="1:26" ht="12.75" customHeight="1" x14ac:dyDescent="0.2">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spans="1:26" ht="12.75" customHeight="1" x14ac:dyDescent="0.2">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spans="1:26" ht="12.75" customHeight="1" x14ac:dyDescent="0.2">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spans="1:26" ht="12.75" customHeight="1" x14ac:dyDescent="0.2">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spans="1:26" ht="12.75" customHeight="1" x14ac:dyDescent="0.2">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spans="1:26" ht="12.75" customHeight="1" x14ac:dyDescent="0.2">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spans="1:26" ht="12.75" customHeight="1" x14ac:dyDescent="0.2">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spans="1:26" ht="12.75" customHeight="1" x14ac:dyDescent="0.2">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spans="1:26" ht="12.75" customHeight="1" x14ac:dyDescent="0.2">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spans="1:26" ht="12.75" customHeight="1" x14ac:dyDescent="0.2">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spans="1:26" ht="12.75" customHeight="1" x14ac:dyDescent="0.2">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spans="1:26" ht="12.75" customHeight="1" x14ac:dyDescent="0.2">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spans="1:26" ht="12.75" customHeight="1" x14ac:dyDescent="0.2">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spans="1:26" ht="12.75" customHeight="1" x14ac:dyDescent="0.2">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spans="1:26" ht="12.75" customHeight="1" x14ac:dyDescent="0.2">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spans="1:26" ht="12.75" customHeight="1" x14ac:dyDescent="0.2">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spans="1:26" ht="12.75" customHeight="1" x14ac:dyDescent="0.2">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spans="1:26" ht="12.75" customHeight="1" x14ac:dyDescent="0.2">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spans="1:26" ht="12.75" customHeight="1" x14ac:dyDescent="0.2">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spans="1:26" ht="12.75" customHeight="1" x14ac:dyDescent="0.2">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spans="1:26" ht="12.75" customHeight="1" x14ac:dyDescent="0.2">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spans="1:26" ht="12.75" customHeight="1" x14ac:dyDescent="0.2">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spans="1:26" ht="12.75" customHeight="1" x14ac:dyDescent="0.2">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spans="1:26" ht="12.75" customHeight="1" x14ac:dyDescent="0.2">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spans="1:26" ht="12.75" customHeight="1" x14ac:dyDescent="0.2">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spans="1:26" ht="12.75" customHeight="1" x14ac:dyDescent="0.2">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spans="1:26" ht="12.75" customHeight="1" x14ac:dyDescent="0.2">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spans="1:26" ht="12.75" customHeight="1" x14ac:dyDescent="0.2">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spans="1:26" ht="12.75" customHeight="1" x14ac:dyDescent="0.2">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spans="1:26" ht="12.75" customHeight="1" x14ac:dyDescent="0.2">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spans="1:26" ht="12.75" customHeight="1" x14ac:dyDescent="0.2">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spans="1:26" ht="12.75" customHeight="1" x14ac:dyDescent="0.2">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spans="1:26" ht="12.75" customHeight="1" x14ac:dyDescent="0.2">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spans="1:26" ht="12.75" customHeight="1" x14ac:dyDescent="0.2">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spans="1:26" ht="12.75" customHeight="1" x14ac:dyDescent="0.2">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spans="1:26" ht="12.75" customHeight="1" x14ac:dyDescent="0.2">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spans="1:26" ht="12.75" customHeight="1" x14ac:dyDescent="0.2">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spans="1:26" ht="12.75" customHeight="1" x14ac:dyDescent="0.2">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spans="1:26" ht="12.75" customHeight="1" x14ac:dyDescent="0.2">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spans="1:26" ht="12.75" customHeight="1" x14ac:dyDescent="0.2">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spans="1:26" ht="12.75" customHeight="1" x14ac:dyDescent="0.2">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spans="1:26" ht="12.75" customHeight="1" x14ac:dyDescent="0.2">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spans="1:26" ht="12.75" customHeight="1" x14ac:dyDescent="0.2">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spans="1:26" ht="12.75" customHeight="1" x14ac:dyDescent="0.2">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spans="1:26" ht="12.75" customHeight="1" x14ac:dyDescent="0.2">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spans="1:26" ht="12.75" customHeight="1" x14ac:dyDescent="0.2">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spans="1:26" ht="12.75" customHeight="1" x14ac:dyDescent="0.2">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spans="1:26" ht="12.75" customHeight="1" x14ac:dyDescent="0.2">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spans="1:26" ht="12.75" customHeight="1" x14ac:dyDescent="0.2">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spans="1:26" ht="12.75" customHeight="1" x14ac:dyDescent="0.2">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spans="1:26" ht="12.75" customHeight="1" x14ac:dyDescent="0.2">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spans="1:26" ht="12.75" customHeight="1" x14ac:dyDescent="0.2">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spans="1:26" ht="12.75" customHeight="1" x14ac:dyDescent="0.2">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spans="1:26" ht="12.75" customHeight="1" x14ac:dyDescent="0.2">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spans="1:26" ht="12.75" customHeight="1" x14ac:dyDescent="0.2">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spans="1:26" ht="12.75" customHeight="1" x14ac:dyDescent="0.2">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spans="1:26" ht="12.75" customHeight="1" x14ac:dyDescent="0.2">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spans="1:26" ht="12.75" customHeight="1" x14ac:dyDescent="0.2">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spans="1:26" ht="12.75" customHeight="1" x14ac:dyDescent="0.2">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spans="1:26" ht="12.75" customHeight="1" x14ac:dyDescent="0.2">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spans="1:26" ht="12.75" customHeight="1" x14ac:dyDescent="0.2">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spans="1:26" ht="12.75" customHeight="1" x14ac:dyDescent="0.2">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spans="1:26" ht="12.75" customHeight="1" x14ac:dyDescent="0.2">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spans="1:26" ht="12.75" customHeight="1" x14ac:dyDescent="0.2">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spans="1:26" ht="12.75" customHeight="1" x14ac:dyDescent="0.2">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spans="1:26" ht="12.75" customHeight="1" x14ac:dyDescent="0.2">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spans="1:26" ht="12.75" customHeight="1" x14ac:dyDescent="0.2">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spans="1:26" ht="12.75" customHeight="1" x14ac:dyDescent="0.2">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spans="1:26" ht="12.75" customHeight="1" x14ac:dyDescent="0.2">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spans="1:26" ht="12.75" customHeight="1" x14ac:dyDescent="0.2">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spans="1:26" ht="12.75" customHeight="1" x14ac:dyDescent="0.2">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spans="1:26" ht="12.75" customHeight="1" x14ac:dyDescent="0.2">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spans="1:26" ht="12.75" customHeight="1" x14ac:dyDescent="0.2">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spans="1:26" ht="12.75" customHeight="1" x14ac:dyDescent="0.2">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spans="1:26" ht="12.75" customHeight="1" x14ac:dyDescent="0.2">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spans="1:26" ht="12.75" customHeight="1" x14ac:dyDescent="0.2">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spans="1:26" ht="12.75" customHeight="1" x14ac:dyDescent="0.2">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spans="1:26" ht="12.75" customHeight="1" x14ac:dyDescent="0.2">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spans="1:26" ht="12.75" customHeight="1" x14ac:dyDescent="0.2">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spans="1:26" ht="12.75" customHeight="1" x14ac:dyDescent="0.2">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spans="1:26" ht="12.75" customHeight="1" x14ac:dyDescent="0.2">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spans="1:26" ht="12.75" customHeight="1" x14ac:dyDescent="0.2">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spans="1:26" ht="12.75" customHeight="1" x14ac:dyDescent="0.2">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spans="1:26" ht="12.75" customHeight="1" x14ac:dyDescent="0.2">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spans="1:26" ht="12.75" customHeight="1" x14ac:dyDescent="0.2">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spans="1:26" ht="12.75" customHeight="1" x14ac:dyDescent="0.2">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spans="1:26" ht="12.75" customHeight="1" x14ac:dyDescent="0.2">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spans="1:26" ht="12.75" customHeight="1" x14ac:dyDescent="0.2">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spans="1:26" ht="12.75" customHeight="1" x14ac:dyDescent="0.2">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spans="1:26" ht="12.75" customHeight="1" x14ac:dyDescent="0.2">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spans="1:26" ht="12.75" customHeight="1" x14ac:dyDescent="0.2">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spans="1:26" ht="12.75" customHeight="1" x14ac:dyDescent="0.2">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spans="1:26" ht="12.75" customHeight="1" x14ac:dyDescent="0.2">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spans="1:26" ht="12.75" customHeight="1" x14ac:dyDescent="0.2">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spans="1:26" ht="12.75" customHeight="1" x14ac:dyDescent="0.2">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spans="1:26" ht="12.75" customHeight="1" x14ac:dyDescent="0.2">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spans="1:26" ht="12.75" customHeight="1" x14ac:dyDescent="0.2">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spans="1:26" ht="12.75" customHeight="1" x14ac:dyDescent="0.2">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spans="1:26" ht="12.75" customHeight="1" x14ac:dyDescent="0.2">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spans="1:26" ht="12.75" customHeight="1" x14ac:dyDescent="0.2">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spans="1:26" ht="12.75" customHeight="1" x14ac:dyDescent="0.2">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spans="1:26" ht="12.75" customHeight="1" x14ac:dyDescent="0.2">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spans="1:26" ht="12.75" customHeight="1" x14ac:dyDescent="0.2">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spans="1:26" ht="12.75" customHeight="1" x14ac:dyDescent="0.2">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spans="1:26" ht="12.75" customHeight="1" x14ac:dyDescent="0.2">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spans="1:26" ht="12.75" customHeight="1" x14ac:dyDescent="0.2">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spans="1:26" ht="12.75" customHeight="1" x14ac:dyDescent="0.2">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spans="1:26" ht="12.75" customHeight="1" x14ac:dyDescent="0.2">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spans="1:26" ht="12.75" customHeight="1" x14ac:dyDescent="0.2">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spans="1:26" ht="12.75" customHeight="1" x14ac:dyDescent="0.2">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spans="1:26" ht="12.75" customHeight="1" x14ac:dyDescent="0.2">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spans="1:26" ht="12.75" customHeight="1" x14ac:dyDescent="0.2">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spans="1:26" ht="12.75" customHeight="1" x14ac:dyDescent="0.2">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spans="1:26" ht="12.75" customHeight="1" x14ac:dyDescent="0.2">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mergeCells count="70">
    <mergeCell ref="C106:D106"/>
    <mergeCell ref="C113:D113"/>
    <mergeCell ref="B90:D90"/>
    <mergeCell ref="C91:D91"/>
    <mergeCell ref="C60:D60"/>
    <mergeCell ref="C63:D63"/>
    <mergeCell ref="C69:D69"/>
    <mergeCell ref="B73:D73"/>
    <mergeCell ref="C74:D74"/>
    <mergeCell ref="C77:D77"/>
    <mergeCell ref="C85:D85"/>
    <mergeCell ref="C225:D225"/>
    <mergeCell ref="C227:D227"/>
    <mergeCell ref="C230:D230"/>
    <mergeCell ref="C235:D235"/>
    <mergeCell ref="C133:D133"/>
    <mergeCell ref="C139:D139"/>
    <mergeCell ref="B183:D183"/>
    <mergeCell ref="C150:D150"/>
    <mergeCell ref="C153:D153"/>
    <mergeCell ref="C167:D167"/>
    <mergeCell ref="C184:D184"/>
    <mergeCell ref="C222:D222"/>
    <mergeCell ref="C250:D250"/>
    <mergeCell ref="B256:D256"/>
    <mergeCell ref="C257:D257"/>
    <mergeCell ref="C261:D261"/>
    <mergeCell ref="C197:D197"/>
    <mergeCell ref="C205:D205"/>
    <mergeCell ref="C207:D207"/>
    <mergeCell ref="C209:D209"/>
    <mergeCell ref="C213:D213"/>
    <mergeCell ref="B217:D217"/>
    <mergeCell ref="C218:D218"/>
    <mergeCell ref="B238:D238"/>
    <mergeCell ref="C239:D239"/>
    <mergeCell ref="C243:D243"/>
    <mergeCell ref="C245:D245"/>
    <mergeCell ref="C248:D248"/>
    <mergeCell ref="A1:P1"/>
    <mergeCell ref="A2:P2"/>
    <mergeCell ref="A3:D3"/>
    <mergeCell ref="E3:J3"/>
    <mergeCell ref="K3:P3"/>
    <mergeCell ref="A4:D4"/>
    <mergeCell ref="B5:D5"/>
    <mergeCell ref="C6:D6"/>
    <mergeCell ref="C11:D11"/>
    <mergeCell ref="C15:D15"/>
    <mergeCell ref="B18:D18"/>
    <mergeCell ref="C19:D19"/>
    <mergeCell ref="C22:D22"/>
    <mergeCell ref="C24:D24"/>
    <mergeCell ref="C28:D28"/>
    <mergeCell ref="C54:D54"/>
    <mergeCell ref="C143:D143"/>
    <mergeCell ref="C147:D147"/>
    <mergeCell ref="B149:D149"/>
    <mergeCell ref="C33:D33"/>
    <mergeCell ref="C38:D38"/>
    <mergeCell ref="C46:D46"/>
    <mergeCell ref="B49:D49"/>
    <mergeCell ref="C50:D50"/>
    <mergeCell ref="C120:D120"/>
    <mergeCell ref="C127:D127"/>
    <mergeCell ref="C93:D93"/>
    <mergeCell ref="C97:D97"/>
    <mergeCell ref="C99:D99"/>
    <mergeCell ref="C101:D101"/>
    <mergeCell ref="B105:D105"/>
  </mergeCell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000"/>
  <sheetViews>
    <sheetView workbookViewId="0">
      <selection activeCell="B2" sqref="B2:V2"/>
    </sheetView>
  </sheetViews>
  <sheetFormatPr defaultColWidth="12.5703125" defaultRowHeight="15" customHeight="1" x14ac:dyDescent="0.2"/>
  <cols>
    <col min="1" max="1" width="8.85546875" customWidth="1"/>
    <col min="2" max="26" width="8.5703125" customWidth="1"/>
  </cols>
  <sheetData>
    <row r="1" spans="1:1" ht="12.75" customHeight="1" x14ac:dyDescent="0.2"/>
    <row r="2" spans="1:1" ht="12.75" customHeight="1" x14ac:dyDescent="0.2">
      <c r="A2" s="39" t="s">
        <v>45</v>
      </c>
    </row>
    <row r="3" spans="1:1" ht="12.75" customHeight="1" x14ac:dyDescent="0.2">
      <c r="A3" s="40"/>
    </row>
    <row r="4" spans="1:1" ht="12.75" customHeight="1" x14ac:dyDescent="0.2">
      <c r="A4" s="39" t="s">
        <v>252</v>
      </c>
    </row>
    <row r="5" spans="1:1" ht="12.75" customHeight="1" x14ac:dyDescent="0.2">
      <c r="A5" s="39"/>
    </row>
    <row r="6" spans="1:1" ht="12.75" customHeight="1" x14ac:dyDescent="0.2">
      <c r="A6" s="39" t="s">
        <v>253</v>
      </c>
    </row>
    <row r="7" spans="1:1" ht="12.75" customHeight="1" x14ac:dyDescent="0.2">
      <c r="A7" s="39" t="s">
        <v>254</v>
      </c>
    </row>
    <row r="8" spans="1:1" ht="12.75" customHeight="1" x14ac:dyDescent="0.2">
      <c r="A8" s="39" t="s">
        <v>255</v>
      </c>
    </row>
    <row r="9" spans="1:1" ht="12.75" customHeight="1" x14ac:dyDescent="0.2">
      <c r="A9" s="39" t="s">
        <v>256</v>
      </c>
    </row>
    <row r="10" spans="1:1" ht="12.75" customHeight="1" x14ac:dyDescent="0.2">
      <c r="A10" s="39" t="s">
        <v>257</v>
      </c>
    </row>
    <row r="11" spans="1:1" ht="12.75" customHeight="1" x14ac:dyDescent="0.2">
      <c r="A11" s="39"/>
    </row>
    <row r="12" spans="1:1" ht="12.75" customHeight="1" x14ac:dyDescent="0.2">
      <c r="A12" s="39" t="s">
        <v>258</v>
      </c>
    </row>
    <row r="13" spans="1:1" ht="12.75" customHeight="1" x14ac:dyDescent="0.2">
      <c r="A13" s="39" t="s">
        <v>259</v>
      </c>
    </row>
    <row r="14" spans="1:1" ht="12.75" customHeight="1" x14ac:dyDescent="0.2">
      <c r="A14" s="39" t="s">
        <v>260</v>
      </c>
    </row>
    <row r="15" spans="1:1" ht="12.75" customHeight="1" x14ac:dyDescent="0.2">
      <c r="A15" s="39" t="s">
        <v>261</v>
      </c>
    </row>
    <row r="16" spans="1:1" ht="12.75" customHeight="1" x14ac:dyDescent="0.2">
      <c r="A16" s="39"/>
    </row>
    <row r="17" spans="1:1" ht="12.75" customHeight="1" x14ac:dyDescent="0.2">
      <c r="A17" s="39" t="s">
        <v>262</v>
      </c>
    </row>
    <row r="18" spans="1:1" ht="12.75" customHeight="1" x14ac:dyDescent="0.2">
      <c r="A18" s="39" t="s">
        <v>263</v>
      </c>
    </row>
    <row r="19" spans="1:1" ht="12.75" customHeight="1" x14ac:dyDescent="0.2"/>
    <row r="20" spans="1:1" ht="12.75" customHeight="1" x14ac:dyDescent="0.2"/>
    <row r="21" spans="1:1" ht="12.75" customHeight="1" x14ac:dyDescent="0.2"/>
    <row r="22" spans="1:1" ht="12.75" customHeight="1" x14ac:dyDescent="0.2"/>
    <row r="23" spans="1:1" ht="12.75" customHeight="1" x14ac:dyDescent="0.2"/>
    <row r="24" spans="1:1" ht="12.75" customHeight="1" x14ac:dyDescent="0.2"/>
    <row r="25" spans="1:1" ht="12.75" customHeight="1" x14ac:dyDescent="0.2"/>
    <row r="26" spans="1:1" ht="12.75" customHeight="1" x14ac:dyDescent="0.2"/>
    <row r="27" spans="1:1" ht="12.75" customHeight="1" x14ac:dyDescent="0.2"/>
    <row r="28" spans="1:1" ht="12.75" customHeight="1" x14ac:dyDescent="0.2"/>
    <row r="29" spans="1:1" ht="12.75" customHeight="1" x14ac:dyDescent="0.2"/>
    <row r="30" spans="1:1" ht="12.75" customHeight="1" x14ac:dyDescent="0.2"/>
    <row r="31" spans="1:1" ht="12.75" customHeight="1" x14ac:dyDescent="0.2"/>
    <row r="32" spans="1:1"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N1001"/>
  <sheetViews>
    <sheetView showGridLines="0" zoomScale="85" zoomScaleNormal="85" workbookViewId="0">
      <selection activeCell="B2" sqref="B2:V2"/>
    </sheetView>
  </sheetViews>
  <sheetFormatPr defaultColWidth="12.5703125" defaultRowHeight="15" customHeight="1" x14ac:dyDescent="0.2"/>
  <cols>
    <col min="1" max="1" width="3" style="16" customWidth="1"/>
    <col min="2" max="2" width="12.85546875" style="16" customWidth="1"/>
    <col min="3" max="3" width="29.28515625" style="16" bestFit="1" customWidth="1"/>
    <col min="4" max="4" width="40.5703125" style="16" customWidth="1"/>
    <col min="5" max="5" width="10" style="16" bestFit="1" customWidth="1"/>
    <col min="6" max="6" width="11.28515625" style="16" customWidth="1"/>
    <col min="7" max="7" width="9.85546875" style="16" customWidth="1"/>
    <col min="8" max="8" width="12" style="16" bestFit="1" customWidth="1"/>
    <col min="9" max="9" width="9.85546875" style="16" customWidth="1"/>
    <col min="10" max="10" width="13" style="16" bestFit="1" customWidth="1"/>
    <col min="11" max="12" width="13.140625" style="16" customWidth="1"/>
    <col min="13" max="14" width="13.7109375" style="16" customWidth="1"/>
    <col min="15" max="15" width="8.42578125" style="16" customWidth="1"/>
    <col min="16" max="22" width="7.42578125" style="16" hidden="1" customWidth="1"/>
    <col min="23" max="23" width="31" style="16" hidden="1" customWidth="1"/>
    <col min="24" max="24" width="15.42578125" style="16" customWidth="1"/>
    <col min="25" max="25" width="13.85546875" style="16" customWidth="1"/>
    <col min="26" max="26" width="7" style="16" customWidth="1"/>
    <col min="27" max="27" width="7.140625" style="16" customWidth="1"/>
    <col min="28" max="28" width="15" style="16" hidden="1" customWidth="1"/>
    <col min="29" max="29" width="13.85546875" style="16" customWidth="1"/>
    <col min="30" max="30" width="7.85546875" style="16" customWidth="1"/>
    <col min="31" max="31" width="8.42578125" style="16" customWidth="1"/>
    <col min="32" max="32" width="12.85546875" style="16" customWidth="1"/>
    <col min="33" max="33" width="19.5703125" style="16" customWidth="1"/>
    <col min="34" max="34" width="8.5703125" style="16" customWidth="1"/>
    <col min="35" max="35" width="19.7109375" style="16" customWidth="1"/>
    <col min="36" max="36" width="15.140625" style="16" customWidth="1"/>
    <col min="37" max="37" width="12.140625" style="16" customWidth="1"/>
    <col min="38" max="38" width="10.28515625" style="16" customWidth="1"/>
    <col min="39" max="39" width="15.42578125" style="16" customWidth="1"/>
    <col min="40" max="40" width="9.42578125" style="16" customWidth="1"/>
    <col min="41" max="16384" width="12.5703125" style="16"/>
  </cols>
  <sheetData>
    <row r="1" spans="1:40" ht="12.75" customHeight="1" x14ac:dyDescent="0.2">
      <c r="A1" s="3"/>
      <c r="B1" s="3"/>
      <c r="C1" s="3"/>
      <c r="D1" s="4"/>
      <c r="E1" s="3"/>
      <c r="F1" s="5"/>
      <c r="G1" s="5"/>
      <c r="H1" s="5"/>
      <c r="I1" s="5"/>
      <c r="J1" s="5"/>
      <c r="K1" s="5"/>
      <c r="L1" s="5"/>
      <c r="M1" s="5"/>
      <c r="N1" s="5"/>
      <c r="O1" s="5"/>
      <c r="P1" s="22"/>
      <c r="Q1" s="3"/>
      <c r="R1" s="5"/>
      <c r="S1" s="3"/>
      <c r="T1" s="3"/>
      <c r="U1" s="3"/>
      <c r="V1" s="23"/>
      <c r="W1" s="24"/>
      <c r="X1" s="105"/>
      <c r="Y1" s="105"/>
      <c r="Z1" s="105"/>
      <c r="AA1" s="105"/>
      <c r="AB1" s="105"/>
      <c r="AC1" s="105"/>
      <c r="AD1" s="105"/>
      <c r="AE1" s="105"/>
      <c r="AF1" s="5"/>
      <c r="AG1" s="105"/>
      <c r="AH1" s="105"/>
      <c r="AI1" s="5"/>
      <c r="AJ1" s="105"/>
      <c r="AK1" s="105"/>
      <c r="AL1" s="5"/>
      <c r="AM1" s="105"/>
      <c r="AN1" s="105"/>
    </row>
    <row r="2" spans="1:40" ht="22.5" customHeight="1" x14ac:dyDescent="0.35">
      <c r="A2" s="3"/>
      <c r="B2" s="373" t="s">
        <v>50</v>
      </c>
      <c r="C2" s="298"/>
      <c r="D2" s="298"/>
      <c r="E2" s="298"/>
      <c r="F2" s="298"/>
      <c r="G2" s="298"/>
      <c r="H2" s="298"/>
      <c r="I2" s="298"/>
      <c r="J2" s="298"/>
      <c r="K2" s="298"/>
      <c r="L2" s="298"/>
      <c r="M2" s="298"/>
      <c r="N2" s="298"/>
      <c r="O2" s="298"/>
      <c r="P2" s="298"/>
      <c r="Q2" s="298"/>
      <c r="R2" s="298"/>
      <c r="S2" s="298"/>
      <c r="T2" s="298"/>
      <c r="U2" s="298"/>
      <c r="V2" s="298"/>
      <c r="W2" s="298"/>
      <c r="X2" s="298"/>
      <c r="Y2" s="298"/>
      <c r="Z2" s="298"/>
      <c r="AA2" s="298"/>
      <c r="AB2" s="298"/>
      <c r="AC2" s="298"/>
      <c r="AD2" s="298"/>
      <c r="AE2" s="298"/>
    </row>
    <row r="3" spans="1:40" ht="12.75" customHeight="1" thickBot="1" x14ac:dyDescent="0.25">
      <c r="A3" s="3"/>
      <c r="B3" s="3"/>
      <c r="C3" s="3"/>
      <c r="D3" s="4"/>
      <c r="E3" s="3"/>
      <c r="F3" s="5"/>
      <c r="G3" s="5"/>
      <c r="H3" s="5"/>
      <c r="I3" s="5"/>
      <c r="J3" s="5"/>
      <c r="K3" s="5"/>
      <c r="L3" s="5"/>
      <c r="M3" s="5"/>
      <c r="N3" s="5"/>
      <c r="O3" s="5"/>
      <c r="P3" s="22"/>
      <c r="Q3" s="3"/>
      <c r="R3" s="5"/>
      <c r="S3" s="3"/>
      <c r="T3" s="3"/>
      <c r="U3" s="3"/>
      <c r="V3" s="23"/>
      <c r="W3" s="24"/>
      <c r="X3" s="105"/>
      <c r="Y3" s="105"/>
      <c r="Z3" s="105"/>
      <c r="AA3" s="105"/>
      <c r="AB3" s="105"/>
      <c r="AC3" s="105"/>
      <c r="AD3" s="105"/>
      <c r="AE3" s="105"/>
      <c r="AF3" s="5"/>
      <c r="AG3" s="105"/>
      <c r="AH3" s="105"/>
      <c r="AI3" s="5"/>
      <c r="AJ3" s="105"/>
      <c r="AK3" s="105"/>
      <c r="AL3" s="5"/>
      <c r="AM3" s="105"/>
      <c r="AN3" s="105"/>
    </row>
    <row r="4" spans="1:40" ht="23.25" customHeight="1" x14ac:dyDescent="0.2">
      <c r="A4" s="3"/>
      <c r="B4" s="106" t="s">
        <v>51</v>
      </c>
      <c r="C4" s="374" t="str">
        <f>+Naming!A4</f>
        <v>NO-11</v>
      </c>
      <c r="D4" s="375"/>
      <c r="E4" s="376"/>
      <c r="F4" s="5"/>
      <c r="G4" s="5"/>
      <c r="H4" s="5"/>
      <c r="I4" s="5"/>
      <c r="J4" s="5"/>
      <c r="K4" s="5"/>
      <c r="L4" s="5"/>
      <c r="M4" s="5"/>
      <c r="N4" s="5"/>
      <c r="O4" s="5"/>
      <c r="P4" s="22"/>
      <c r="Q4" s="3"/>
      <c r="R4" s="5"/>
      <c r="S4" s="3"/>
      <c r="T4" s="3"/>
      <c r="U4" s="3"/>
      <c r="V4" s="23"/>
      <c r="W4" s="24"/>
      <c r="X4" s="105"/>
      <c r="Y4" s="105"/>
      <c r="Z4" s="105"/>
      <c r="AA4" s="105"/>
      <c r="AB4" s="105"/>
      <c r="AC4" s="105"/>
      <c r="AD4" s="105"/>
      <c r="AE4" s="105"/>
      <c r="AF4" s="5"/>
      <c r="AG4" s="105"/>
      <c r="AH4" s="105"/>
      <c r="AI4" s="5"/>
      <c r="AJ4" s="105"/>
      <c r="AK4" s="105"/>
      <c r="AL4" s="5"/>
      <c r="AM4" s="105"/>
      <c r="AN4" s="105"/>
    </row>
    <row r="5" spans="1:40" ht="23.25" customHeight="1" x14ac:dyDescent="0.2">
      <c r="A5" s="3"/>
      <c r="B5" s="107" t="s">
        <v>52</v>
      </c>
      <c r="C5" s="377" t="str">
        <f>+Naming!B4</f>
        <v>NHÀ Ở CHUNG CƯ CAO TẦNG TẠI Ô ĐẤT KÝ HIỆU NO-11</v>
      </c>
      <c r="D5" s="378"/>
      <c r="E5" s="379"/>
      <c r="F5" s="5"/>
      <c r="G5" s="5"/>
      <c r="H5" s="5"/>
      <c r="I5" s="5"/>
      <c r="J5" s="5"/>
      <c r="K5" s="5"/>
      <c r="L5" s="5"/>
      <c r="M5" s="5"/>
      <c r="N5" s="5"/>
      <c r="O5" s="5"/>
      <c r="P5" s="22"/>
      <c r="Q5" s="3"/>
      <c r="R5" s="5"/>
      <c r="S5" s="3"/>
      <c r="T5" s="3"/>
      <c r="U5" s="3"/>
      <c r="V5" s="23"/>
      <c r="W5" s="24"/>
      <c r="X5" s="105"/>
      <c r="Y5" s="105"/>
      <c r="Z5" s="105"/>
      <c r="AA5" s="105"/>
      <c r="AB5" s="105"/>
      <c r="AC5" s="105"/>
      <c r="AD5" s="105"/>
      <c r="AE5" s="105"/>
      <c r="AF5" s="5"/>
      <c r="AG5" s="105"/>
      <c r="AH5" s="105"/>
      <c r="AI5" s="5"/>
      <c r="AJ5" s="105"/>
      <c r="AK5" s="105"/>
      <c r="AL5" s="5"/>
      <c r="AM5" s="105"/>
      <c r="AN5" s="105"/>
    </row>
    <row r="6" spans="1:40" ht="23.25" customHeight="1" x14ac:dyDescent="0.2">
      <c r="A6" s="3"/>
      <c r="B6" s="107" t="s">
        <v>53</v>
      </c>
      <c r="C6" s="380" t="s">
        <v>424</v>
      </c>
      <c r="D6" s="381"/>
      <c r="E6" s="382"/>
      <c r="F6" s="5"/>
      <c r="G6" s="5"/>
      <c r="H6" s="5"/>
      <c r="I6" s="5"/>
      <c r="J6" s="5"/>
      <c r="K6" s="5"/>
      <c r="L6" s="5"/>
      <c r="M6" s="5"/>
      <c r="N6" s="5"/>
      <c r="O6" s="5"/>
      <c r="P6" s="22"/>
      <c r="Q6" s="3"/>
      <c r="R6" s="5"/>
      <c r="S6" s="3"/>
      <c r="T6" s="3"/>
      <c r="U6" s="3"/>
      <c r="V6" s="23"/>
      <c r="W6" s="24"/>
      <c r="X6" s="108"/>
      <c r="Y6" s="105"/>
      <c r="Z6" s="105"/>
      <c r="AA6" s="105"/>
      <c r="AB6" s="108"/>
      <c r="AC6" s="105"/>
      <c r="AD6" s="105"/>
      <c r="AE6" s="105"/>
      <c r="AF6" s="5"/>
      <c r="AG6" s="105"/>
      <c r="AH6" s="105"/>
      <c r="AI6" s="5"/>
      <c r="AJ6" s="105"/>
      <c r="AK6" s="105"/>
      <c r="AL6" s="5"/>
      <c r="AM6" s="105"/>
      <c r="AN6" s="105"/>
    </row>
    <row r="7" spans="1:40" ht="23.25" customHeight="1" x14ac:dyDescent="0.2">
      <c r="A7" s="3"/>
      <c r="B7" s="109" t="s">
        <v>54</v>
      </c>
      <c r="C7" s="383" t="str">
        <f>+Cover!C8</f>
        <v>14/8/2025</v>
      </c>
      <c r="D7" s="378"/>
      <c r="E7" s="379"/>
      <c r="F7" s="5"/>
      <c r="G7" s="5"/>
      <c r="H7" s="5"/>
      <c r="I7" s="5"/>
      <c r="J7" s="5"/>
      <c r="K7" s="5"/>
      <c r="L7" s="5"/>
      <c r="M7" s="5"/>
      <c r="N7" s="5"/>
      <c r="O7" s="5"/>
      <c r="P7" s="22"/>
      <c r="Q7" s="3"/>
      <c r="R7" s="5"/>
      <c r="S7" s="3"/>
      <c r="T7" s="3"/>
      <c r="U7" s="3"/>
      <c r="V7" s="23"/>
      <c r="W7" s="24"/>
      <c r="X7" s="105"/>
      <c r="Y7" s="105"/>
      <c r="Z7" s="105"/>
      <c r="AA7" s="105"/>
      <c r="AB7" s="105"/>
      <c r="AC7" s="105"/>
      <c r="AD7" s="105"/>
      <c r="AE7" s="105"/>
      <c r="AF7" s="5"/>
      <c r="AG7" s="105"/>
      <c r="AH7" s="105"/>
      <c r="AI7" s="5"/>
      <c r="AJ7" s="105"/>
      <c r="AK7" s="105"/>
      <c r="AL7" s="5"/>
      <c r="AM7" s="105"/>
      <c r="AN7" s="105"/>
    </row>
    <row r="8" spans="1:40" ht="23.25" customHeight="1" x14ac:dyDescent="0.2">
      <c r="A8" s="3"/>
      <c r="B8" s="107" t="s">
        <v>55</v>
      </c>
      <c r="C8" s="383">
        <f>+Cover!C9</f>
        <v>0</v>
      </c>
      <c r="D8" s="378"/>
      <c r="E8" s="379"/>
      <c r="F8" s="5"/>
      <c r="G8" s="5"/>
      <c r="H8" s="5"/>
      <c r="I8" s="5"/>
      <c r="J8" s="5"/>
      <c r="K8" s="5"/>
      <c r="L8" s="5"/>
      <c r="M8" s="5"/>
      <c r="N8" s="5"/>
      <c r="O8" s="5"/>
      <c r="P8" s="22"/>
      <c r="Q8" s="3"/>
      <c r="R8" s="5"/>
      <c r="S8" s="3"/>
      <c r="T8" s="3"/>
      <c r="U8" s="3"/>
      <c r="V8" s="23"/>
      <c r="W8" s="24"/>
      <c r="X8" s="105"/>
      <c r="Y8" s="105"/>
      <c r="Z8" s="105"/>
      <c r="AA8" s="105"/>
      <c r="AB8" s="105"/>
      <c r="AC8" s="105"/>
      <c r="AD8" s="105"/>
      <c r="AE8" s="105"/>
      <c r="AF8" s="5"/>
      <c r="AG8" s="105"/>
      <c r="AH8" s="105"/>
      <c r="AI8" s="5"/>
      <c r="AJ8" s="105"/>
      <c r="AK8" s="105"/>
      <c r="AL8" s="5"/>
      <c r="AM8" s="105"/>
      <c r="AN8" s="105"/>
    </row>
    <row r="9" spans="1:40" ht="23.25" customHeight="1" thickBot="1" x14ac:dyDescent="0.25">
      <c r="A9" s="3"/>
      <c r="B9" s="110" t="s">
        <v>56</v>
      </c>
      <c r="C9" s="398"/>
      <c r="D9" s="399"/>
      <c r="E9" s="400"/>
      <c r="F9" s="5"/>
      <c r="G9" s="5"/>
      <c r="H9" s="5"/>
      <c r="I9" s="5"/>
      <c r="J9" s="5"/>
      <c r="K9" s="5"/>
      <c r="L9" s="5"/>
      <c r="M9" s="5"/>
      <c r="N9" s="5"/>
      <c r="O9" s="5"/>
      <c r="P9" s="22"/>
      <c r="Q9" s="3"/>
      <c r="R9" s="5"/>
      <c r="S9" s="3"/>
      <c r="T9" s="3"/>
      <c r="U9" s="3"/>
      <c r="V9" s="23"/>
      <c r="W9" s="24"/>
      <c r="X9" s="105"/>
      <c r="Y9" s="105"/>
      <c r="Z9" s="105"/>
      <c r="AA9" s="105"/>
      <c r="AB9" s="105"/>
      <c r="AC9" s="105"/>
      <c r="AD9" s="105"/>
      <c r="AE9" s="105"/>
      <c r="AF9" s="5"/>
      <c r="AG9" s="105"/>
      <c r="AH9" s="105"/>
      <c r="AI9" s="5"/>
      <c r="AJ9" s="105"/>
      <c r="AK9" s="105"/>
      <c r="AL9" s="5"/>
      <c r="AM9" s="105"/>
      <c r="AN9" s="105"/>
    </row>
    <row r="10" spans="1:40" ht="12.75" customHeight="1" x14ac:dyDescent="0.2">
      <c r="A10" s="3"/>
      <c r="B10" s="3"/>
      <c r="C10" s="3"/>
      <c r="D10" s="4"/>
      <c r="E10" s="3"/>
      <c r="F10" s="5"/>
      <c r="G10" s="5"/>
      <c r="H10" s="5"/>
      <c r="I10" s="5"/>
      <c r="J10" s="5"/>
      <c r="K10" s="5"/>
      <c r="L10" s="5"/>
      <c r="M10" s="5"/>
      <c r="N10" s="5"/>
      <c r="O10" s="5"/>
      <c r="P10" s="401" t="s">
        <v>57</v>
      </c>
      <c r="Q10" s="402"/>
      <c r="R10" s="402"/>
      <c r="S10" s="402"/>
      <c r="T10" s="402"/>
      <c r="U10" s="402"/>
      <c r="V10" s="402"/>
      <c r="W10" s="403"/>
      <c r="X10" s="404" t="s">
        <v>58</v>
      </c>
      <c r="Y10" s="405"/>
      <c r="Z10" s="405"/>
      <c r="AA10" s="406"/>
      <c r="AB10" s="407" t="s">
        <v>59</v>
      </c>
      <c r="AC10" s="375"/>
      <c r="AD10" s="375"/>
      <c r="AE10" s="408"/>
      <c r="AF10" s="356"/>
      <c r="AG10" s="298"/>
      <c r="AH10" s="298"/>
      <c r="AI10" s="384"/>
      <c r="AJ10" s="298"/>
      <c r="AK10" s="298"/>
      <c r="AL10" s="384"/>
      <c r="AM10" s="298"/>
      <c r="AN10" s="298"/>
    </row>
    <row r="11" spans="1:40" ht="12" customHeight="1" x14ac:dyDescent="0.2">
      <c r="A11" s="3"/>
      <c r="B11" s="3"/>
      <c r="C11" s="3"/>
      <c r="D11" s="4"/>
      <c r="E11" s="3"/>
      <c r="F11" s="5"/>
      <c r="G11" s="5"/>
      <c r="H11" s="5"/>
      <c r="I11" s="5"/>
      <c r="J11" s="5"/>
      <c r="K11" s="5"/>
      <c r="L11" s="5"/>
      <c r="M11" s="5"/>
      <c r="N11" s="5"/>
      <c r="O11" s="5"/>
      <c r="P11" s="385" t="s">
        <v>60</v>
      </c>
      <c r="Q11" s="298"/>
      <c r="R11" s="298"/>
      <c r="S11" s="298"/>
      <c r="T11" s="298"/>
      <c r="U11" s="298"/>
      <c r="V11" s="298"/>
      <c r="W11" s="386"/>
      <c r="X11" s="388" t="s">
        <v>61</v>
      </c>
      <c r="Y11" s="389" t="s">
        <v>420</v>
      </c>
      <c r="Z11" s="390"/>
      <c r="AA11" s="391"/>
      <c r="AB11" s="388" t="s">
        <v>62</v>
      </c>
      <c r="AC11" s="389" t="s">
        <v>421</v>
      </c>
      <c r="AD11" s="390"/>
      <c r="AE11" s="391"/>
      <c r="AF11" s="357"/>
      <c r="AG11" s="357"/>
      <c r="AH11" s="298"/>
      <c r="AI11" s="357"/>
      <c r="AJ11" s="357"/>
      <c r="AK11" s="298"/>
      <c r="AL11" s="357"/>
      <c r="AM11" s="357"/>
      <c r="AN11" s="298"/>
    </row>
    <row r="12" spans="1:40" ht="12.75" customHeight="1" x14ac:dyDescent="0.2">
      <c r="A12" s="3"/>
      <c r="B12" s="3"/>
      <c r="C12" s="3"/>
      <c r="D12" s="4"/>
      <c r="E12" s="3"/>
      <c r="F12" s="5"/>
      <c r="G12" s="5"/>
      <c r="H12" s="5"/>
      <c r="I12" s="5"/>
      <c r="J12" s="5"/>
      <c r="K12" s="5"/>
      <c r="L12" s="5"/>
      <c r="M12" s="5"/>
      <c r="N12" s="5"/>
      <c r="O12" s="5"/>
      <c r="P12" s="387"/>
      <c r="Q12" s="298"/>
      <c r="R12" s="298"/>
      <c r="S12" s="298"/>
      <c r="T12" s="298"/>
      <c r="U12" s="298"/>
      <c r="V12" s="298"/>
      <c r="W12" s="386"/>
      <c r="X12" s="340"/>
      <c r="Y12" s="392"/>
      <c r="Z12" s="393"/>
      <c r="AA12" s="394"/>
      <c r="AB12" s="340"/>
      <c r="AC12" s="392"/>
      <c r="AD12" s="393"/>
      <c r="AE12" s="394"/>
      <c r="AF12" s="298"/>
      <c r="AG12" s="298"/>
      <c r="AH12" s="298"/>
      <c r="AI12" s="298"/>
      <c r="AJ12" s="298"/>
      <c r="AK12" s="298"/>
      <c r="AL12" s="298"/>
      <c r="AM12" s="298"/>
      <c r="AN12" s="298"/>
    </row>
    <row r="13" spans="1:40" ht="12.75" customHeight="1" x14ac:dyDescent="0.2">
      <c r="A13" s="3"/>
      <c r="B13" s="358" t="s">
        <v>63</v>
      </c>
      <c r="C13" s="358" t="s">
        <v>64</v>
      </c>
      <c r="D13" s="363" t="s">
        <v>65</v>
      </c>
      <c r="E13" s="358" t="s">
        <v>478</v>
      </c>
      <c r="F13" s="358" t="s">
        <v>66</v>
      </c>
      <c r="G13" s="359" t="s">
        <v>524</v>
      </c>
      <c r="H13" s="360"/>
      <c r="I13" s="359" t="s">
        <v>518</v>
      </c>
      <c r="J13" s="360"/>
      <c r="K13" s="358" t="s">
        <v>519</v>
      </c>
      <c r="L13" s="117"/>
      <c r="M13" s="117"/>
      <c r="N13" s="117"/>
      <c r="O13" s="117"/>
      <c r="P13" s="364" t="s">
        <v>67</v>
      </c>
      <c r="Q13" s="365" t="s">
        <v>68</v>
      </c>
      <c r="R13" s="365" t="s">
        <v>69</v>
      </c>
      <c r="S13" s="365" t="s">
        <v>70</v>
      </c>
      <c r="T13" s="365" t="s">
        <v>71</v>
      </c>
      <c r="U13" s="365" t="s">
        <v>72</v>
      </c>
      <c r="V13" s="410" t="s">
        <v>73</v>
      </c>
      <c r="W13" s="411" t="s">
        <v>479</v>
      </c>
      <c r="X13" s="388" t="s">
        <v>74</v>
      </c>
      <c r="Y13" s="388" t="s">
        <v>412</v>
      </c>
      <c r="Z13" s="372" t="s">
        <v>75</v>
      </c>
      <c r="AA13" s="372" t="s">
        <v>76</v>
      </c>
      <c r="AB13" s="388" t="s">
        <v>74</v>
      </c>
      <c r="AC13" s="388" t="s">
        <v>422</v>
      </c>
      <c r="AD13" s="372" t="s">
        <v>75</v>
      </c>
      <c r="AE13" s="372" t="s">
        <v>76</v>
      </c>
      <c r="AF13" s="357"/>
      <c r="AG13" s="357"/>
      <c r="AH13" s="356"/>
      <c r="AI13" s="412">
        <f>+'[1]TK_TV-Tổng hợp Chi phí'!$D$6+'[1]TK_TV-Tổng hợp Chi phí'!$D$7</f>
        <v>1079947000</v>
      </c>
      <c r="AJ13" s="412">
        <f>+AI13*0.98</f>
        <v>1058348060</v>
      </c>
      <c r="AK13" s="356"/>
      <c r="AL13" s="357"/>
      <c r="AM13" s="357"/>
      <c r="AN13" s="356"/>
    </row>
    <row r="14" spans="1:40" ht="21.75" customHeight="1" x14ac:dyDescent="0.2">
      <c r="A14" s="3"/>
      <c r="B14" s="341"/>
      <c r="C14" s="341"/>
      <c r="D14" s="341"/>
      <c r="E14" s="341"/>
      <c r="F14" s="341"/>
      <c r="G14" s="361"/>
      <c r="H14" s="362"/>
      <c r="I14" s="361"/>
      <c r="J14" s="362"/>
      <c r="K14" s="341"/>
      <c r="L14" s="114"/>
      <c r="M14" s="114" t="s">
        <v>526</v>
      </c>
      <c r="N14" s="114"/>
      <c r="O14" s="114"/>
      <c r="P14" s="341"/>
      <c r="Q14" s="341"/>
      <c r="R14" s="341"/>
      <c r="S14" s="341"/>
      <c r="T14" s="341"/>
      <c r="U14" s="341"/>
      <c r="V14" s="341"/>
      <c r="W14" s="341"/>
      <c r="X14" s="341"/>
      <c r="Y14" s="341"/>
      <c r="Z14" s="341"/>
      <c r="AA14" s="341"/>
      <c r="AB14" s="341"/>
      <c r="AC14" s="341"/>
      <c r="AD14" s="341"/>
      <c r="AE14" s="341"/>
      <c r="AF14" s="298"/>
      <c r="AG14" s="298"/>
      <c r="AH14" s="298"/>
      <c r="AI14" s="298"/>
      <c r="AJ14" s="298"/>
      <c r="AK14" s="298"/>
      <c r="AL14" s="298"/>
      <c r="AM14" s="298"/>
      <c r="AN14" s="298"/>
    </row>
    <row r="15" spans="1:40" ht="15" customHeight="1" x14ac:dyDescent="0.2">
      <c r="A15" s="5"/>
      <c r="B15" s="370" t="s">
        <v>77</v>
      </c>
      <c r="C15" s="371"/>
      <c r="D15" s="8"/>
      <c r="E15" s="9"/>
      <c r="F15" s="9"/>
      <c r="G15" s="9"/>
      <c r="H15" s="9"/>
      <c r="I15" s="9"/>
      <c r="J15" s="9"/>
      <c r="K15" s="9"/>
      <c r="L15" s="9"/>
      <c r="M15" s="9"/>
      <c r="N15" s="9"/>
      <c r="O15" s="9"/>
      <c r="P15" s="10"/>
      <c r="Q15" s="9"/>
      <c r="R15" s="9"/>
      <c r="S15" s="9"/>
      <c r="T15" s="9"/>
      <c r="U15" s="9"/>
      <c r="V15" s="11"/>
      <c r="W15" s="12" t="str">
        <f t="shared" ref="W15:W27" si="0">IF(P15="","-",CONCATENATE(P15,"-",Q15,"-",R15,"-",S15,"-",T15,"-",U15,"-",V15))</f>
        <v>-</v>
      </c>
      <c r="X15" s="9"/>
      <c r="Y15" s="9"/>
      <c r="Z15" s="9"/>
      <c r="AA15" s="9"/>
      <c r="AB15" s="9"/>
      <c r="AC15" s="9"/>
      <c r="AD15" s="9"/>
      <c r="AE15" s="9"/>
      <c r="AF15" s="5"/>
      <c r="AG15" s="5"/>
      <c r="AH15" s="5"/>
      <c r="AI15" s="5"/>
      <c r="AJ15" s="5">
        <v>0.35</v>
      </c>
      <c r="AK15" s="124">
        <f>+AJ13*AJ15</f>
        <v>370421821</v>
      </c>
      <c r="AL15" s="5"/>
      <c r="AM15" s="5"/>
      <c r="AN15" s="5"/>
    </row>
    <row r="16" spans="1:40" ht="25.5" x14ac:dyDescent="0.2">
      <c r="A16" s="5"/>
      <c r="B16" s="366" t="s">
        <v>494</v>
      </c>
      <c r="C16" s="7" t="s">
        <v>399</v>
      </c>
      <c r="D16" s="8"/>
      <c r="E16" s="9" t="s">
        <v>39</v>
      </c>
      <c r="F16" s="9" t="s">
        <v>89</v>
      </c>
      <c r="G16" s="9"/>
      <c r="H16" s="9"/>
      <c r="I16" s="9" t="s">
        <v>521</v>
      </c>
      <c r="J16" s="9"/>
      <c r="K16" s="9" t="s">
        <v>522</v>
      </c>
      <c r="L16" s="9"/>
      <c r="M16" s="9"/>
      <c r="N16" s="9"/>
      <c r="O16" s="9"/>
      <c r="P16" s="17" t="s">
        <v>452</v>
      </c>
      <c r="Q16" s="9" t="s">
        <v>489</v>
      </c>
      <c r="R16" s="9" t="s">
        <v>11</v>
      </c>
      <c r="S16" s="9" t="s">
        <v>14</v>
      </c>
      <c r="T16" s="9" t="s">
        <v>38</v>
      </c>
      <c r="U16" s="9" t="s">
        <v>26</v>
      </c>
      <c r="V16" s="11" t="s">
        <v>13</v>
      </c>
      <c r="W16" s="12" t="str">
        <f t="shared" si="0"/>
        <v>XVNT-LDTV-ZZ-XX-RP-G-0001</v>
      </c>
      <c r="X16" s="9" t="s">
        <v>401</v>
      </c>
      <c r="Y16" s="9">
        <f>31-9</f>
        <v>22</v>
      </c>
      <c r="Z16" s="9"/>
      <c r="AA16" s="9"/>
      <c r="AB16" s="9"/>
      <c r="AC16" s="9"/>
      <c r="AD16" s="9"/>
      <c r="AE16" s="9"/>
      <c r="AF16" s="5"/>
      <c r="AG16" s="5"/>
      <c r="AH16" s="5"/>
      <c r="AI16" s="5"/>
      <c r="AJ16" s="5"/>
      <c r="AK16" s="124">
        <f>+AK15*0.94</f>
        <v>348196511.74000001</v>
      </c>
      <c r="AL16" s="5"/>
      <c r="AM16" s="5"/>
      <c r="AN16" s="5"/>
    </row>
    <row r="17" spans="1:40" ht="15" customHeight="1" x14ac:dyDescent="0.2">
      <c r="A17" s="5"/>
      <c r="B17" s="338"/>
      <c r="C17" s="7" t="s">
        <v>400</v>
      </c>
      <c r="D17" s="8"/>
      <c r="E17" s="9" t="s">
        <v>39</v>
      </c>
      <c r="F17" s="9" t="s">
        <v>89</v>
      </c>
      <c r="G17" s="9"/>
      <c r="H17" s="9"/>
      <c r="I17" s="9" t="s">
        <v>521</v>
      </c>
      <c r="J17" s="9"/>
      <c r="K17" s="9"/>
      <c r="L17" s="9"/>
      <c r="M17" s="9"/>
      <c r="N17" s="9"/>
      <c r="O17" s="9"/>
      <c r="P17" s="17" t="s">
        <v>452</v>
      </c>
      <c r="Q17" s="9" t="s">
        <v>489</v>
      </c>
      <c r="R17" s="9" t="s">
        <v>11</v>
      </c>
      <c r="S17" s="9" t="s">
        <v>14</v>
      </c>
      <c r="T17" s="9" t="s">
        <v>38</v>
      </c>
      <c r="U17" s="9" t="s">
        <v>26</v>
      </c>
      <c r="V17" s="11" t="s">
        <v>13</v>
      </c>
      <c r="W17" s="12" t="str">
        <f t="shared" si="0"/>
        <v>XVNT-LDTV-ZZ-XX-RP-G-0001</v>
      </c>
      <c r="X17" s="9" t="s">
        <v>401</v>
      </c>
      <c r="Y17" s="9"/>
      <c r="Z17" s="9"/>
      <c r="AA17" s="9"/>
      <c r="AB17" s="9"/>
      <c r="AC17" s="9"/>
      <c r="AD17" s="9"/>
      <c r="AE17" s="9"/>
      <c r="AF17" s="5"/>
      <c r="AG17" s="5"/>
      <c r="AH17" s="5"/>
      <c r="AI17" s="5"/>
      <c r="AJ17" s="5"/>
      <c r="AK17" s="5"/>
      <c r="AL17" s="5"/>
      <c r="AM17" s="5"/>
      <c r="AN17" s="5"/>
    </row>
    <row r="18" spans="1:40" ht="15" customHeight="1" x14ac:dyDescent="0.2">
      <c r="A18" s="5"/>
      <c r="B18" s="338"/>
      <c r="C18" s="7" t="s">
        <v>397</v>
      </c>
      <c r="D18" s="8"/>
      <c r="E18" s="9" t="s">
        <v>39</v>
      </c>
      <c r="F18" s="9" t="s">
        <v>89</v>
      </c>
      <c r="G18" s="9"/>
      <c r="H18" s="9"/>
      <c r="I18" s="9" t="s">
        <v>521</v>
      </c>
      <c r="J18" s="9"/>
      <c r="K18" s="9"/>
      <c r="L18" s="9"/>
      <c r="M18" s="9"/>
      <c r="N18" s="9"/>
      <c r="O18" s="9"/>
      <c r="P18" s="17" t="s">
        <v>452</v>
      </c>
      <c r="Q18" s="9" t="s">
        <v>489</v>
      </c>
      <c r="R18" s="9" t="s">
        <v>11</v>
      </c>
      <c r="S18" s="9" t="s">
        <v>14</v>
      </c>
      <c r="T18" s="9" t="s">
        <v>38</v>
      </c>
      <c r="U18" s="9" t="s">
        <v>40</v>
      </c>
      <c r="V18" s="11" t="s">
        <v>13</v>
      </c>
      <c r="W18" s="12" t="str">
        <f t="shared" si="0"/>
        <v>XVNT-LDTV-ZZ-XX-RP-Z-0001</v>
      </c>
      <c r="X18" s="9" t="s">
        <v>398</v>
      </c>
      <c r="Y18" s="9"/>
      <c r="Z18" s="9"/>
      <c r="AA18" s="9"/>
      <c r="AB18" s="9"/>
      <c r="AC18" s="9"/>
      <c r="AD18" s="9"/>
      <c r="AE18" s="9"/>
      <c r="AF18" s="5"/>
      <c r="AG18" s="5"/>
      <c r="AH18" s="5"/>
      <c r="AI18" s="5"/>
      <c r="AJ18" s="5"/>
      <c r="AK18" s="5"/>
      <c r="AL18" s="5"/>
      <c r="AM18" s="5"/>
      <c r="AN18" s="5"/>
    </row>
    <row r="19" spans="1:40" ht="15" customHeight="1" x14ac:dyDescent="0.2">
      <c r="A19" s="5"/>
      <c r="B19" s="338"/>
      <c r="C19" s="7" t="s">
        <v>79</v>
      </c>
      <c r="D19" s="8"/>
      <c r="E19" s="9" t="s">
        <v>18</v>
      </c>
      <c r="F19" s="9" t="s">
        <v>89</v>
      </c>
      <c r="G19" s="9"/>
      <c r="H19" s="9"/>
      <c r="I19" s="9" t="s">
        <v>521</v>
      </c>
      <c r="J19" s="9"/>
      <c r="K19" s="9"/>
      <c r="L19" s="9"/>
      <c r="M19" s="9"/>
      <c r="N19" s="9"/>
      <c r="O19" s="9"/>
      <c r="P19" s="17" t="s">
        <v>452</v>
      </c>
      <c r="Q19" s="9" t="s">
        <v>489</v>
      </c>
      <c r="R19" s="9" t="s">
        <v>11</v>
      </c>
      <c r="S19" s="9" t="s">
        <v>14</v>
      </c>
      <c r="T19" s="9" t="s">
        <v>38</v>
      </c>
      <c r="U19" s="9" t="s">
        <v>35</v>
      </c>
      <c r="V19" s="11" t="s">
        <v>13</v>
      </c>
      <c r="W19" s="12" t="str">
        <f t="shared" si="0"/>
        <v>XVNT-LDTV-ZZ-XX-RP-S-0001</v>
      </c>
      <c r="X19" s="9" t="s">
        <v>398</v>
      </c>
      <c r="Y19" s="9"/>
      <c r="Z19" s="9"/>
      <c r="AA19" s="9"/>
      <c r="AB19" s="9"/>
      <c r="AC19" s="9"/>
      <c r="AD19" s="9"/>
      <c r="AE19" s="9"/>
      <c r="AF19" s="5"/>
      <c r="AG19" s="5"/>
      <c r="AH19" s="5"/>
      <c r="AI19" s="5"/>
      <c r="AJ19" s="5"/>
      <c r="AK19" s="5"/>
      <c r="AL19" s="5"/>
      <c r="AM19" s="5"/>
      <c r="AN19" s="5"/>
    </row>
    <row r="20" spans="1:40" ht="30" customHeight="1" x14ac:dyDescent="0.2">
      <c r="A20" s="5"/>
      <c r="B20" s="338"/>
      <c r="C20" s="7" t="s">
        <v>458</v>
      </c>
      <c r="D20" s="8"/>
      <c r="E20" s="9" t="s">
        <v>32</v>
      </c>
      <c r="F20" s="9" t="s">
        <v>89</v>
      </c>
      <c r="G20" s="9"/>
      <c r="H20" s="9"/>
      <c r="I20" s="9" t="s">
        <v>521</v>
      </c>
      <c r="J20" s="9"/>
      <c r="K20" s="9" t="s">
        <v>523</v>
      </c>
      <c r="L20" s="9"/>
      <c r="M20" s="9"/>
      <c r="N20" s="9"/>
      <c r="O20" s="9"/>
      <c r="P20" s="17" t="s">
        <v>452</v>
      </c>
      <c r="Q20" s="9" t="s">
        <v>489</v>
      </c>
      <c r="R20" s="9" t="s">
        <v>11</v>
      </c>
      <c r="S20" s="9" t="s">
        <v>14</v>
      </c>
      <c r="T20" s="9" t="s">
        <v>31</v>
      </c>
      <c r="U20" s="9" t="s">
        <v>40</v>
      </c>
      <c r="V20" s="11" t="s">
        <v>13</v>
      </c>
      <c r="W20" s="12" t="str">
        <f t="shared" si="0"/>
        <v>XVNT-LDTV-ZZ-XX-M2-Z-0001</v>
      </c>
      <c r="X20" s="9" t="s">
        <v>398</v>
      </c>
      <c r="Y20" s="9" t="s">
        <v>520</v>
      </c>
      <c r="Z20" s="9"/>
      <c r="AA20" s="9"/>
      <c r="AB20" s="9"/>
      <c r="AC20" s="9"/>
      <c r="AD20" s="9"/>
      <c r="AE20" s="9"/>
      <c r="AF20" s="5"/>
      <c r="AG20" s="5"/>
      <c r="AH20" s="5"/>
      <c r="AI20" s="5"/>
      <c r="AJ20" s="5"/>
      <c r="AK20" s="5"/>
      <c r="AL20" s="5"/>
      <c r="AM20" s="5"/>
      <c r="AN20" s="5"/>
    </row>
    <row r="21" spans="1:40" ht="15" customHeight="1" x14ac:dyDescent="0.2">
      <c r="A21" s="5"/>
      <c r="B21" s="367"/>
      <c r="C21" s="7" t="s">
        <v>78</v>
      </c>
      <c r="D21" s="8"/>
      <c r="E21" s="9" t="s">
        <v>39</v>
      </c>
      <c r="F21" s="9" t="s">
        <v>89</v>
      </c>
      <c r="G21" s="9"/>
      <c r="H21" s="9"/>
      <c r="I21" s="9" t="s">
        <v>521</v>
      </c>
      <c r="J21" s="9"/>
      <c r="K21" s="9"/>
      <c r="L21" s="9"/>
      <c r="M21" s="9"/>
      <c r="N21" s="9"/>
      <c r="O21" s="9"/>
      <c r="P21" s="17" t="s">
        <v>452</v>
      </c>
      <c r="Q21" s="9" t="s">
        <v>489</v>
      </c>
      <c r="R21" s="9" t="s">
        <v>11</v>
      </c>
      <c r="S21" s="9" t="s">
        <v>14</v>
      </c>
      <c r="T21" s="9" t="s">
        <v>38</v>
      </c>
      <c r="U21" s="9" t="s">
        <v>40</v>
      </c>
      <c r="V21" s="11" t="s">
        <v>13</v>
      </c>
      <c r="W21" s="12" t="str">
        <f t="shared" si="0"/>
        <v>XVNT-LDTV-ZZ-XX-RP-Z-0001</v>
      </c>
      <c r="X21" s="9" t="s">
        <v>398</v>
      </c>
      <c r="Y21" s="9"/>
      <c r="Z21" s="9"/>
      <c r="AA21" s="9"/>
      <c r="AB21" s="9"/>
      <c r="AC21" s="9"/>
      <c r="AD21" s="9"/>
      <c r="AE21" s="9"/>
      <c r="AF21" s="5"/>
      <c r="AG21" s="5"/>
      <c r="AH21" s="5"/>
      <c r="AI21" s="5"/>
      <c r="AJ21" s="5"/>
      <c r="AK21" s="5"/>
      <c r="AL21" s="5"/>
      <c r="AM21" s="5"/>
      <c r="AN21" s="5"/>
    </row>
    <row r="22" spans="1:40" ht="15" customHeight="1" x14ac:dyDescent="0.2">
      <c r="A22" s="5"/>
      <c r="B22" s="370" t="s">
        <v>501</v>
      </c>
      <c r="C22" s="371"/>
      <c r="D22" s="8"/>
      <c r="E22" s="9"/>
      <c r="F22" s="9"/>
      <c r="G22" s="9"/>
      <c r="H22" s="122">
        <f>+M22</f>
        <v>25929527.469999999</v>
      </c>
      <c r="I22" s="9"/>
      <c r="K22" s="9"/>
      <c r="L22" s="9"/>
      <c r="M22" s="122">
        <f>+AJ13*AJ15*AJ22/100</f>
        <v>25929527.469999999</v>
      </c>
      <c r="N22" s="122"/>
      <c r="O22" s="9"/>
      <c r="P22" s="17"/>
      <c r="Q22" s="9"/>
      <c r="R22" s="9"/>
      <c r="S22" s="9"/>
      <c r="T22" s="9"/>
      <c r="U22" s="9"/>
      <c r="V22" s="11"/>
      <c r="W22" s="12"/>
      <c r="X22" s="9"/>
      <c r="Y22" s="9"/>
      <c r="Z22" s="9"/>
      <c r="AA22" s="9"/>
      <c r="AB22" s="9"/>
      <c r="AC22" s="9"/>
      <c r="AD22" s="9"/>
      <c r="AE22" s="9"/>
      <c r="AF22" s="5"/>
      <c r="AG22" s="5"/>
      <c r="AH22" s="5"/>
      <c r="AI22" s="5"/>
      <c r="AJ22" s="5">
        <v>7</v>
      </c>
      <c r="AK22" s="5"/>
      <c r="AL22" s="5"/>
      <c r="AM22" s="5"/>
      <c r="AN22" s="5"/>
    </row>
    <row r="23" spans="1:40" ht="15" customHeight="1" x14ac:dyDescent="0.2">
      <c r="A23" s="5"/>
      <c r="B23" s="368" t="s">
        <v>502</v>
      </c>
      <c r="C23" s="7" t="s">
        <v>503</v>
      </c>
      <c r="D23" s="8"/>
      <c r="E23" s="9" t="s">
        <v>509</v>
      </c>
      <c r="F23" s="9" t="s">
        <v>89</v>
      </c>
      <c r="G23" s="118">
        <v>1</v>
      </c>
      <c r="H23" s="118"/>
      <c r="I23" s="9"/>
      <c r="J23" s="9"/>
      <c r="K23" s="120">
        <v>45453</v>
      </c>
      <c r="L23" s="120"/>
      <c r="M23" s="9"/>
      <c r="N23" s="9"/>
      <c r="O23" s="9"/>
      <c r="P23" s="17" t="s">
        <v>452</v>
      </c>
      <c r="Q23" s="9" t="s">
        <v>446</v>
      </c>
      <c r="R23" s="9" t="s">
        <v>11</v>
      </c>
      <c r="S23" s="9" t="s">
        <v>14</v>
      </c>
      <c r="T23" s="9" t="s">
        <v>513</v>
      </c>
      <c r="U23" s="9" t="s">
        <v>510</v>
      </c>
      <c r="V23" s="11" t="s">
        <v>13</v>
      </c>
      <c r="W23" s="12" t="str">
        <f t="shared" si="0"/>
        <v>XVNT-IICM-ZZ-XX-MP-W-0001</v>
      </c>
      <c r="X23" s="9" t="s">
        <v>498</v>
      </c>
      <c r="Y23" s="9">
        <v>30</v>
      </c>
      <c r="Z23" s="9"/>
      <c r="AA23" s="9"/>
      <c r="AB23" s="9"/>
      <c r="AC23" s="9"/>
      <c r="AD23" s="9"/>
      <c r="AE23" s="9"/>
      <c r="AF23" s="5"/>
      <c r="AG23" s="5"/>
      <c r="AH23" s="5"/>
      <c r="AI23" s="5"/>
      <c r="AJ23" s="5"/>
      <c r="AK23" s="5"/>
      <c r="AL23" s="5"/>
      <c r="AM23" s="5"/>
      <c r="AN23" s="5"/>
    </row>
    <row r="24" spans="1:40" ht="15" customHeight="1" x14ac:dyDescent="0.2">
      <c r="A24" s="5"/>
      <c r="B24" s="369"/>
      <c r="C24" s="7" t="s">
        <v>504</v>
      </c>
      <c r="D24" s="8"/>
      <c r="E24" s="9" t="s">
        <v>509</v>
      </c>
      <c r="F24" s="9" t="s">
        <v>89</v>
      </c>
      <c r="G24" s="118">
        <v>1</v>
      </c>
      <c r="H24" s="118"/>
      <c r="I24" s="9"/>
      <c r="J24" s="9"/>
      <c r="K24" s="120">
        <f>+K23</f>
        <v>45453</v>
      </c>
      <c r="L24" s="120"/>
      <c r="M24" s="9"/>
      <c r="N24" s="9"/>
      <c r="O24" s="9"/>
      <c r="P24" s="17" t="s">
        <v>452</v>
      </c>
      <c r="Q24" s="9" t="s">
        <v>446</v>
      </c>
      <c r="R24" s="9" t="s">
        <v>11</v>
      </c>
      <c r="S24" s="9" t="s">
        <v>14</v>
      </c>
      <c r="T24" s="9" t="s">
        <v>513</v>
      </c>
      <c r="U24" s="9" t="s">
        <v>510</v>
      </c>
      <c r="V24" s="11" t="s">
        <v>17</v>
      </c>
      <c r="W24" s="12" t="str">
        <f t="shared" si="0"/>
        <v>XVNT-IICM-ZZ-XX-MP-W-0002</v>
      </c>
      <c r="X24" s="9" t="s">
        <v>498</v>
      </c>
      <c r="Y24" s="9">
        <v>30</v>
      </c>
      <c r="Z24" s="9"/>
      <c r="AA24" s="9"/>
      <c r="AB24" s="9"/>
      <c r="AC24" s="9"/>
      <c r="AD24" s="9"/>
      <c r="AE24" s="9"/>
      <c r="AF24" s="5"/>
      <c r="AG24" s="5"/>
      <c r="AH24" s="5"/>
      <c r="AI24" s="5"/>
      <c r="AJ24" s="5"/>
      <c r="AK24" s="5"/>
      <c r="AL24" s="5"/>
      <c r="AM24" s="5"/>
      <c r="AN24" s="5"/>
    </row>
    <row r="25" spans="1:40" ht="15" customHeight="1" x14ac:dyDescent="0.2">
      <c r="A25" s="5"/>
      <c r="B25" s="368" t="s">
        <v>505</v>
      </c>
      <c r="C25" s="7" t="s">
        <v>506</v>
      </c>
      <c r="D25" s="8"/>
      <c r="E25" s="9" t="s">
        <v>509</v>
      </c>
      <c r="F25" s="9" t="s">
        <v>89</v>
      </c>
      <c r="G25" s="118">
        <v>1</v>
      </c>
      <c r="H25" s="118"/>
      <c r="I25" s="9"/>
      <c r="J25" s="9"/>
      <c r="K25" s="120">
        <f t="shared" ref="K25:K27" si="1">+K24</f>
        <v>45453</v>
      </c>
      <c r="L25" s="120"/>
      <c r="M25" s="9"/>
      <c r="N25" s="9"/>
      <c r="O25" s="9"/>
      <c r="P25" s="17" t="s">
        <v>452</v>
      </c>
      <c r="Q25" s="9" t="s">
        <v>446</v>
      </c>
      <c r="R25" s="9" t="s">
        <v>11</v>
      </c>
      <c r="S25" s="9" t="s">
        <v>14</v>
      </c>
      <c r="T25" s="9" t="s">
        <v>513</v>
      </c>
      <c r="U25" s="9" t="s">
        <v>510</v>
      </c>
      <c r="V25" s="11" t="s">
        <v>90</v>
      </c>
      <c r="W25" s="12" t="str">
        <f t="shared" si="0"/>
        <v>XVNT-IICM-ZZ-XX-MP-W-0003</v>
      </c>
      <c r="X25" s="9" t="s">
        <v>498</v>
      </c>
      <c r="Y25" s="9">
        <v>30</v>
      </c>
      <c r="Z25" s="9"/>
      <c r="AA25" s="9"/>
      <c r="AB25" s="9"/>
      <c r="AC25" s="9"/>
      <c r="AD25" s="9"/>
      <c r="AE25" s="9"/>
      <c r="AF25" s="5"/>
      <c r="AG25" s="5"/>
      <c r="AH25" s="5"/>
      <c r="AI25" s="5"/>
      <c r="AJ25" s="5"/>
      <c r="AK25" s="5"/>
      <c r="AL25" s="5"/>
      <c r="AM25" s="5"/>
      <c r="AN25" s="5"/>
    </row>
    <row r="26" spans="1:40" ht="15" customHeight="1" x14ac:dyDescent="0.2">
      <c r="A26" s="5"/>
      <c r="B26" s="342"/>
      <c r="C26" s="7" t="s">
        <v>507</v>
      </c>
      <c r="D26" s="8"/>
      <c r="E26" s="9" t="s">
        <v>509</v>
      </c>
      <c r="F26" s="9" t="s">
        <v>89</v>
      </c>
      <c r="G26" s="118">
        <v>1</v>
      </c>
      <c r="H26" s="118"/>
      <c r="I26" s="9"/>
      <c r="J26" s="9"/>
      <c r="K26" s="120">
        <f t="shared" si="1"/>
        <v>45453</v>
      </c>
      <c r="L26" s="120"/>
      <c r="M26" s="9"/>
      <c r="N26" s="9"/>
      <c r="O26" s="9"/>
      <c r="P26" s="17" t="s">
        <v>452</v>
      </c>
      <c r="Q26" s="9" t="s">
        <v>446</v>
      </c>
      <c r="R26" s="9" t="s">
        <v>11</v>
      </c>
      <c r="S26" s="9" t="s">
        <v>14</v>
      </c>
      <c r="T26" s="9" t="s">
        <v>513</v>
      </c>
      <c r="U26" s="9" t="s">
        <v>510</v>
      </c>
      <c r="V26" s="11" t="s">
        <v>511</v>
      </c>
      <c r="W26" s="12" t="str">
        <f t="shared" si="0"/>
        <v>XVNT-IICM-ZZ-XX-MP-W-0004</v>
      </c>
      <c r="X26" s="9" t="s">
        <v>498</v>
      </c>
      <c r="Y26" s="9">
        <v>30</v>
      </c>
      <c r="Z26" s="9"/>
      <c r="AA26" s="9"/>
      <c r="AB26" s="9"/>
      <c r="AC26" s="9"/>
      <c r="AD26" s="9"/>
      <c r="AE26" s="9"/>
      <c r="AF26" s="5"/>
      <c r="AG26" s="5"/>
      <c r="AH26" s="5"/>
      <c r="AI26" s="5"/>
      <c r="AJ26" s="5"/>
      <c r="AK26" s="5"/>
      <c r="AL26" s="5"/>
      <c r="AM26" s="5"/>
      <c r="AN26" s="5"/>
    </row>
    <row r="27" spans="1:40" ht="15" customHeight="1" x14ac:dyDescent="0.2">
      <c r="A27" s="5"/>
      <c r="B27" s="369"/>
      <c r="C27" s="7" t="s">
        <v>508</v>
      </c>
      <c r="D27" s="8"/>
      <c r="E27" s="9" t="s">
        <v>509</v>
      </c>
      <c r="F27" s="9" t="s">
        <v>89</v>
      </c>
      <c r="G27" s="118">
        <v>1</v>
      </c>
      <c r="H27" s="118"/>
      <c r="I27" s="9"/>
      <c r="J27" s="9"/>
      <c r="K27" s="120">
        <f t="shared" si="1"/>
        <v>45453</v>
      </c>
      <c r="L27" s="120"/>
      <c r="M27" s="9"/>
      <c r="N27" s="9"/>
      <c r="O27" s="9"/>
      <c r="P27" s="17" t="s">
        <v>452</v>
      </c>
      <c r="Q27" s="9" t="s">
        <v>446</v>
      </c>
      <c r="R27" s="9" t="s">
        <v>11</v>
      </c>
      <c r="S27" s="9" t="s">
        <v>14</v>
      </c>
      <c r="T27" s="9" t="s">
        <v>513</v>
      </c>
      <c r="U27" s="9" t="s">
        <v>510</v>
      </c>
      <c r="V27" s="11" t="s">
        <v>512</v>
      </c>
      <c r="W27" s="12" t="str">
        <f t="shared" si="0"/>
        <v>XVNT-IICM-ZZ-XX-MP-W-0005</v>
      </c>
      <c r="X27" s="9" t="s">
        <v>498</v>
      </c>
      <c r="Y27" s="9">
        <v>30</v>
      </c>
      <c r="Z27" s="9"/>
      <c r="AA27" s="9"/>
      <c r="AB27" s="9"/>
      <c r="AC27" s="9"/>
      <c r="AD27" s="9"/>
      <c r="AE27" s="9"/>
      <c r="AF27" s="5"/>
      <c r="AG27" s="5"/>
      <c r="AH27" s="5"/>
      <c r="AI27" s="5"/>
      <c r="AJ27" s="5"/>
      <c r="AK27" s="5"/>
      <c r="AL27" s="5"/>
      <c r="AM27" s="5"/>
      <c r="AN27" s="5"/>
    </row>
    <row r="28" spans="1:40" ht="15" customHeight="1" x14ac:dyDescent="0.2">
      <c r="A28" s="5"/>
      <c r="B28" s="343" t="s">
        <v>499</v>
      </c>
      <c r="C28" s="345"/>
      <c r="D28" s="8"/>
      <c r="E28" s="9"/>
      <c r="F28" s="9"/>
      <c r="G28" s="9"/>
      <c r="H28" s="9"/>
      <c r="I28" s="9"/>
      <c r="J28" s="122"/>
      <c r="K28" s="9"/>
      <c r="L28" s="122">
        <f>+L29+L55</f>
        <v>185210910.5</v>
      </c>
      <c r="M28" s="122">
        <f>+AJ13*AJ15*AJ28/100</f>
        <v>185210910.5</v>
      </c>
      <c r="N28" s="122"/>
      <c r="O28" s="9"/>
      <c r="P28" s="10"/>
      <c r="Q28" s="9"/>
      <c r="R28" s="9"/>
      <c r="S28" s="9"/>
      <c r="T28" s="9"/>
      <c r="U28" s="9"/>
      <c r="V28" s="11"/>
      <c r="W28" s="14"/>
      <c r="X28" s="9"/>
      <c r="Y28" s="9"/>
      <c r="Z28" s="9"/>
      <c r="AA28" s="9"/>
      <c r="AB28" s="9"/>
      <c r="AC28" s="9"/>
      <c r="AD28" s="9"/>
      <c r="AE28" s="9"/>
      <c r="AF28" s="5"/>
      <c r="AG28" s="5">
        <f>+L28/AJ13%</f>
        <v>17.5</v>
      </c>
      <c r="AH28" s="5"/>
      <c r="AI28" s="5"/>
      <c r="AJ28" s="5">
        <v>50</v>
      </c>
      <c r="AK28" s="5"/>
      <c r="AL28" s="5"/>
      <c r="AM28" s="5"/>
      <c r="AN28" s="5"/>
    </row>
    <row r="29" spans="1:40" ht="15" customHeight="1" x14ac:dyDescent="0.2">
      <c r="A29" s="5"/>
      <c r="B29" s="125"/>
      <c r="C29" s="121"/>
      <c r="D29" s="8"/>
      <c r="E29" s="9"/>
      <c r="F29" s="9"/>
      <c r="G29" s="9"/>
      <c r="H29" s="9"/>
      <c r="I29" s="9"/>
      <c r="J29" s="122">
        <f>+L29</f>
        <v>185210910.5</v>
      </c>
      <c r="K29" s="9"/>
      <c r="L29" s="122">
        <f>+M28-M55</f>
        <v>185210910.5</v>
      </c>
      <c r="M29" s="122"/>
      <c r="N29" s="122"/>
      <c r="O29" s="9"/>
      <c r="P29" s="10"/>
      <c r="Q29" s="9"/>
      <c r="R29" s="9"/>
      <c r="S29" s="9"/>
      <c r="T29" s="9"/>
      <c r="U29" s="9"/>
      <c r="V29" s="11"/>
      <c r="W29" s="14"/>
      <c r="X29" s="9"/>
      <c r="Y29" s="9"/>
      <c r="Z29" s="9"/>
      <c r="AA29" s="9"/>
      <c r="AB29" s="9"/>
      <c r="AC29" s="9"/>
      <c r="AD29" s="9"/>
      <c r="AE29" s="9"/>
      <c r="AF29" s="5"/>
      <c r="AG29" s="5"/>
      <c r="AH29" s="5"/>
      <c r="AI29" s="5"/>
      <c r="AJ29" s="5"/>
      <c r="AK29" s="5"/>
      <c r="AL29" s="5"/>
      <c r="AM29" s="5"/>
      <c r="AN29" s="5"/>
    </row>
    <row r="30" spans="1:40" ht="15" customHeight="1" x14ac:dyDescent="0.2">
      <c r="A30" s="5"/>
      <c r="B30" s="366" t="s">
        <v>80</v>
      </c>
      <c r="C30" s="80" t="s">
        <v>82</v>
      </c>
      <c r="D30" s="8" t="s">
        <v>402</v>
      </c>
      <c r="E30" s="9" t="s">
        <v>34</v>
      </c>
      <c r="F30" s="9" t="s">
        <v>85</v>
      </c>
      <c r="G30" s="9"/>
      <c r="H30" s="9"/>
      <c r="I30" s="9">
        <v>100</v>
      </c>
      <c r="J30" s="9"/>
      <c r="K30" s="119">
        <v>45453</v>
      </c>
      <c r="L30" s="119"/>
      <c r="M30" s="9"/>
      <c r="N30" s="9"/>
      <c r="O30" s="9"/>
      <c r="P30" s="17" t="s">
        <v>452</v>
      </c>
      <c r="Q30" s="9" t="s">
        <v>446</v>
      </c>
      <c r="R30" s="9" t="s">
        <v>11</v>
      </c>
      <c r="S30" s="9" t="s">
        <v>14</v>
      </c>
      <c r="T30" s="9" t="s">
        <v>33</v>
      </c>
      <c r="U30" s="9" t="s">
        <v>428</v>
      </c>
      <c r="V30" s="18" t="s">
        <v>13</v>
      </c>
      <c r="W30" s="12" t="str">
        <f t="shared" ref="W30:W58" si="2">IF(P30="","-",CONCATENATE(P30,"-",Q30,"-",R30,"-",S30,"-",T30,"-",U30,"-",V30))</f>
        <v>XVNT-IICM-ZZ-XX-M3-G1-0001</v>
      </c>
      <c r="X30" s="9" t="s">
        <v>498</v>
      </c>
      <c r="Y30" s="9">
        <v>40</v>
      </c>
      <c r="Z30" s="1">
        <v>200</v>
      </c>
      <c r="AA30" s="1">
        <v>200</v>
      </c>
      <c r="AB30" s="9" t="s">
        <v>498</v>
      </c>
      <c r="AC30" s="9">
        <v>30</v>
      </c>
      <c r="AD30" s="1">
        <v>200</v>
      </c>
      <c r="AE30" s="1">
        <v>200</v>
      </c>
      <c r="AF30" s="5"/>
      <c r="AG30" s="5"/>
      <c r="AH30" s="5"/>
      <c r="AI30" s="5"/>
      <c r="AJ30" s="5"/>
      <c r="AK30" s="5"/>
      <c r="AL30" s="5"/>
      <c r="AM30" s="5"/>
      <c r="AN30" s="5"/>
    </row>
    <row r="31" spans="1:40" ht="15" customHeight="1" x14ac:dyDescent="0.2">
      <c r="A31" s="5"/>
      <c r="B31" s="338"/>
      <c r="C31" s="80" t="s">
        <v>396</v>
      </c>
      <c r="D31" s="8" t="s">
        <v>403</v>
      </c>
      <c r="E31" s="9" t="s">
        <v>34</v>
      </c>
      <c r="F31" s="9" t="s">
        <v>85</v>
      </c>
      <c r="G31" s="9"/>
      <c r="H31" s="9"/>
      <c r="I31" s="9">
        <v>100</v>
      </c>
      <c r="J31" s="9"/>
      <c r="K31" s="120">
        <v>45461</v>
      </c>
      <c r="L31" s="120"/>
      <c r="M31" s="9"/>
      <c r="N31" s="9"/>
      <c r="O31" s="9"/>
      <c r="P31" s="17" t="s">
        <v>452</v>
      </c>
      <c r="Q31" s="9" t="s">
        <v>446</v>
      </c>
      <c r="R31" s="9" t="s">
        <v>11</v>
      </c>
      <c r="S31" s="9" t="s">
        <v>14</v>
      </c>
      <c r="T31" s="9" t="s">
        <v>33</v>
      </c>
      <c r="U31" s="9" t="s">
        <v>428</v>
      </c>
      <c r="V31" s="18" t="s">
        <v>13</v>
      </c>
      <c r="W31" s="12" t="str">
        <f t="shared" si="2"/>
        <v>XVNT-IICM-ZZ-XX-M3-G1-0001</v>
      </c>
      <c r="X31" s="9" t="s">
        <v>498</v>
      </c>
      <c r="Y31" s="9"/>
      <c r="Z31" s="1">
        <v>200</v>
      </c>
      <c r="AA31" s="1">
        <v>200</v>
      </c>
      <c r="AB31" s="9" t="s">
        <v>498</v>
      </c>
      <c r="AC31" s="9">
        <v>30</v>
      </c>
      <c r="AD31" s="1">
        <v>200</v>
      </c>
      <c r="AE31" s="1">
        <v>200</v>
      </c>
      <c r="AF31" s="5"/>
      <c r="AG31" s="5"/>
      <c r="AH31" s="5"/>
      <c r="AI31" s="5"/>
      <c r="AJ31" s="5"/>
      <c r="AK31" s="5"/>
      <c r="AL31" s="5"/>
      <c r="AM31" s="5"/>
      <c r="AN31" s="5"/>
    </row>
    <row r="32" spans="1:40" ht="15" customHeight="1" x14ac:dyDescent="0.2">
      <c r="A32" s="5"/>
      <c r="B32" s="338"/>
      <c r="C32" s="80" t="s">
        <v>395</v>
      </c>
      <c r="D32" s="8" t="s">
        <v>404</v>
      </c>
      <c r="E32" s="9" t="s">
        <v>34</v>
      </c>
      <c r="F32" s="9" t="s">
        <v>85</v>
      </c>
      <c r="G32" s="9"/>
      <c r="H32" s="9"/>
      <c r="I32" s="9">
        <v>100</v>
      </c>
      <c r="J32" s="9"/>
      <c r="K32" s="120">
        <v>45461</v>
      </c>
      <c r="L32" s="120"/>
      <c r="M32" s="9"/>
      <c r="N32" s="9"/>
      <c r="O32" s="9"/>
      <c r="P32" s="17" t="s">
        <v>452</v>
      </c>
      <c r="Q32" s="9" t="s">
        <v>446</v>
      </c>
      <c r="R32" s="9" t="s">
        <v>11</v>
      </c>
      <c r="S32" s="9" t="s">
        <v>14</v>
      </c>
      <c r="T32" s="9" t="s">
        <v>33</v>
      </c>
      <c r="U32" s="9" t="s">
        <v>428</v>
      </c>
      <c r="V32" s="18" t="s">
        <v>13</v>
      </c>
      <c r="W32" s="12" t="str">
        <f t="shared" si="2"/>
        <v>XVNT-IICM-ZZ-XX-M3-G1-0001</v>
      </c>
      <c r="X32" s="9" t="s">
        <v>498</v>
      </c>
      <c r="Y32" s="9"/>
      <c r="Z32" s="1">
        <v>200</v>
      </c>
      <c r="AA32" s="1">
        <v>200</v>
      </c>
      <c r="AB32" s="9" t="s">
        <v>498</v>
      </c>
      <c r="AC32" s="9">
        <v>30</v>
      </c>
      <c r="AD32" s="1">
        <v>200</v>
      </c>
      <c r="AE32" s="1">
        <v>200</v>
      </c>
      <c r="AF32" s="5"/>
      <c r="AG32" s="5"/>
      <c r="AH32" s="5"/>
      <c r="AI32" s="5"/>
      <c r="AJ32" s="5"/>
      <c r="AK32" s="5"/>
      <c r="AL32" s="5"/>
      <c r="AM32" s="5"/>
      <c r="AN32" s="5"/>
    </row>
    <row r="33" spans="1:40" ht="15" customHeight="1" x14ac:dyDescent="0.2">
      <c r="A33" s="5"/>
      <c r="B33" s="54" t="s">
        <v>83</v>
      </c>
      <c r="C33" s="13" t="s">
        <v>21</v>
      </c>
      <c r="D33" s="8" t="s">
        <v>405</v>
      </c>
      <c r="E33" s="9" t="s">
        <v>34</v>
      </c>
      <c r="F33" s="9" t="s">
        <v>85</v>
      </c>
      <c r="G33" s="9"/>
      <c r="H33" s="9"/>
      <c r="I33" s="9">
        <v>100</v>
      </c>
      <c r="J33" s="9"/>
      <c r="K33" s="120">
        <v>45459</v>
      </c>
      <c r="L33" s="120"/>
      <c r="M33" s="9"/>
      <c r="N33" s="9"/>
      <c r="O33" s="9"/>
      <c r="P33" s="17" t="s">
        <v>452</v>
      </c>
      <c r="Q33" s="9" t="s">
        <v>446</v>
      </c>
      <c r="R33" s="9" t="s">
        <v>11</v>
      </c>
      <c r="S33" s="9" t="s">
        <v>14</v>
      </c>
      <c r="T33" s="9" t="s">
        <v>20</v>
      </c>
      <c r="U33" s="9" t="s">
        <v>40</v>
      </c>
      <c r="V33" s="18" t="s">
        <v>13</v>
      </c>
      <c r="W33" s="12" t="str">
        <f t="shared" si="2"/>
        <v>XVNT-IICM-ZZ-XX-CM-Z-0001</v>
      </c>
      <c r="X33" s="9" t="s">
        <v>498</v>
      </c>
      <c r="Y33" s="9">
        <v>40</v>
      </c>
      <c r="Z33" s="1">
        <v>300</v>
      </c>
      <c r="AA33" s="1"/>
      <c r="AB33" s="9" t="s">
        <v>498</v>
      </c>
      <c r="AC33" s="9">
        <v>30</v>
      </c>
      <c r="AD33" s="1">
        <v>300</v>
      </c>
      <c r="AE33" s="1"/>
      <c r="AF33" s="5"/>
      <c r="AG33" s="19"/>
      <c r="AH33" s="5"/>
      <c r="AI33" s="5"/>
      <c r="AJ33" s="5"/>
      <c r="AK33" s="5"/>
      <c r="AL33" s="5"/>
      <c r="AM33" s="5"/>
      <c r="AN33" s="5"/>
    </row>
    <row r="34" spans="1:40" ht="15" customHeight="1" x14ac:dyDescent="0.2">
      <c r="A34" s="5"/>
      <c r="B34" s="351" t="s">
        <v>495</v>
      </c>
      <c r="C34" s="353" t="s">
        <v>463</v>
      </c>
      <c r="D34" s="8" t="s">
        <v>459</v>
      </c>
      <c r="E34" s="9" t="s">
        <v>34</v>
      </c>
      <c r="F34" s="9" t="s">
        <v>86</v>
      </c>
      <c r="G34" s="9"/>
      <c r="H34" s="9"/>
      <c r="I34" s="9">
        <v>100</v>
      </c>
      <c r="J34" s="9"/>
      <c r="K34" s="119">
        <v>45453</v>
      </c>
      <c r="L34" s="119"/>
      <c r="M34" s="9"/>
      <c r="N34" s="9"/>
      <c r="O34" s="9"/>
      <c r="P34" s="17" t="s">
        <v>452</v>
      </c>
      <c r="Q34" s="9" t="s">
        <v>446</v>
      </c>
      <c r="R34" s="9" t="s">
        <v>453</v>
      </c>
      <c r="S34" s="9" t="s">
        <v>14</v>
      </c>
      <c r="T34" s="9" t="s">
        <v>33</v>
      </c>
      <c r="U34" s="9" t="s">
        <v>19</v>
      </c>
      <c r="V34" s="18" t="s">
        <v>13</v>
      </c>
      <c r="W34" s="12" t="str">
        <f t="shared" si="2"/>
        <v>XVNT-IICM-DTC-XX-M3-C-0001</v>
      </c>
      <c r="X34" s="9" t="s">
        <v>498</v>
      </c>
      <c r="Y34" s="9">
        <v>40</v>
      </c>
      <c r="Z34" s="1">
        <v>350</v>
      </c>
      <c r="AA34" s="1">
        <v>350</v>
      </c>
      <c r="AB34" s="9" t="s">
        <v>498</v>
      </c>
      <c r="AC34" s="9">
        <v>30</v>
      </c>
      <c r="AD34" s="1">
        <v>400</v>
      </c>
      <c r="AE34" s="1">
        <v>350</v>
      </c>
      <c r="AF34" s="5"/>
      <c r="AG34" s="19"/>
      <c r="AH34" s="5"/>
      <c r="AI34" s="5"/>
      <c r="AJ34" s="5"/>
      <c r="AK34" s="5"/>
      <c r="AL34" s="5"/>
      <c r="AM34" s="5"/>
      <c r="AN34" s="5"/>
    </row>
    <row r="35" spans="1:40" ht="15" customHeight="1" x14ac:dyDescent="0.2">
      <c r="A35" s="5"/>
      <c r="B35" s="351"/>
      <c r="C35" s="354"/>
      <c r="D35" s="8" t="s">
        <v>460</v>
      </c>
      <c r="E35" s="9" t="s">
        <v>34</v>
      </c>
      <c r="F35" s="9" t="s">
        <v>86</v>
      </c>
      <c r="G35" s="9"/>
      <c r="H35" s="9"/>
      <c r="I35" s="9">
        <v>100</v>
      </c>
      <c r="J35" s="9"/>
      <c r="K35" s="119">
        <v>45453</v>
      </c>
      <c r="L35" s="119"/>
      <c r="M35" s="9"/>
      <c r="N35" s="9"/>
      <c r="O35" s="9"/>
      <c r="P35" s="17" t="s">
        <v>452</v>
      </c>
      <c r="Q35" s="9" t="s">
        <v>446</v>
      </c>
      <c r="R35" s="9" t="s">
        <v>453</v>
      </c>
      <c r="S35" s="9" t="s">
        <v>14</v>
      </c>
      <c r="T35" s="9" t="s">
        <v>33</v>
      </c>
      <c r="U35" s="9" t="s">
        <v>19</v>
      </c>
      <c r="V35" s="18" t="s">
        <v>13</v>
      </c>
      <c r="W35" s="12" t="str">
        <f t="shared" si="2"/>
        <v>XVNT-IICM-DTC-XX-M3-C-0001</v>
      </c>
      <c r="X35" s="9" t="s">
        <v>498</v>
      </c>
      <c r="Y35" s="9">
        <v>40</v>
      </c>
      <c r="Z35" s="1">
        <v>350</v>
      </c>
      <c r="AA35" s="1">
        <v>350</v>
      </c>
      <c r="AB35" s="9" t="s">
        <v>498</v>
      </c>
      <c r="AC35" s="9">
        <v>30</v>
      </c>
      <c r="AD35" s="1">
        <v>350</v>
      </c>
      <c r="AE35" s="1">
        <v>350</v>
      </c>
      <c r="AF35" s="5"/>
      <c r="AG35" s="19"/>
      <c r="AH35" s="5"/>
      <c r="AI35" s="5"/>
      <c r="AJ35" s="5"/>
      <c r="AK35" s="5"/>
      <c r="AL35" s="5"/>
      <c r="AM35" s="5"/>
      <c r="AN35" s="5"/>
    </row>
    <row r="36" spans="1:40" ht="15" customHeight="1" x14ac:dyDescent="0.2">
      <c r="A36" s="5"/>
      <c r="B36" s="351"/>
      <c r="C36" s="354"/>
      <c r="D36" s="8" t="s">
        <v>461</v>
      </c>
      <c r="E36" s="9" t="s">
        <v>34</v>
      </c>
      <c r="F36" s="9" t="s">
        <v>86</v>
      </c>
      <c r="G36" s="9"/>
      <c r="H36" s="9"/>
      <c r="I36" s="9">
        <v>100</v>
      </c>
      <c r="J36" s="9"/>
      <c r="K36" s="119">
        <v>45453</v>
      </c>
      <c r="L36" s="119"/>
      <c r="M36" s="9"/>
      <c r="N36" s="9"/>
      <c r="O36" s="9"/>
      <c r="P36" s="17" t="s">
        <v>452</v>
      </c>
      <c r="Q36" s="9" t="s">
        <v>446</v>
      </c>
      <c r="R36" s="9" t="s">
        <v>453</v>
      </c>
      <c r="S36" s="9" t="s">
        <v>14</v>
      </c>
      <c r="T36" s="9" t="s">
        <v>33</v>
      </c>
      <c r="U36" s="9" t="s">
        <v>19</v>
      </c>
      <c r="V36" s="18" t="s">
        <v>13</v>
      </c>
      <c r="W36" s="12" t="str">
        <f t="shared" si="2"/>
        <v>XVNT-IICM-DTC-XX-M3-C-0001</v>
      </c>
      <c r="X36" s="9" t="s">
        <v>498</v>
      </c>
      <c r="Y36" s="9">
        <v>40</v>
      </c>
      <c r="Z36" s="1">
        <v>350</v>
      </c>
      <c r="AA36" s="1">
        <v>350</v>
      </c>
      <c r="AB36" s="9" t="s">
        <v>498</v>
      </c>
      <c r="AC36" s="9">
        <v>30</v>
      </c>
      <c r="AD36" s="1">
        <v>400</v>
      </c>
      <c r="AE36" s="1">
        <v>350</v>
      </c>
      <c r="AF36" s="5"/>
      <c r="AG36" s="19"/>
      <c r="AH36" s="5"/>
      <c r="AI36" s="5"/>
      <c r="AJ36" s="5"/>
      <c r="AK36" s="5"/>
      <c r="AL36" s="5"/>
      <c r="AM36" s="5"/>
      <c r="AN36" s="5"/>
    </row>
    <row r="37" spans="1:40" ht="15" customHeight="1" x14ac:dyDescent="0.2">
      <c r="A37" s="5"/>
      <c r="B37" s="352"/>
      <c r="C37" s="354"/>
      <c r="D37" s="8" t="s">
        <v>462</v>
      </c>
      <c r="E37" s="9" t="s">
        <v>34</v>
      </c>
      <c r="F37" s="9" t="s">
        <v>86</v>
      </c>
      <c r="G37" s="9"/>
      <c r="H37" s="9"/>
      <c r="I37" s="9">
        <v>100</v>
      </c>
      <c r="J37" s="9"/>
      <c r="K37" s="119">
        <v>45453</v>
      </c>
      <c r="L37" s="119"/>
      <c r="M37" s="9"/>
      <c r="N37" s="9"/>
      <c r="O37" s="9"/>
      <c r="P37" s="17" t="s">
        <v>452</v>
      </c>
      <c r="Q37" s="9" t="s">
        <v>446</v>
      </c>
      <c r="R37" s="9" t="s">
        <v>453</v>
      </c>
      <c r="S37" s="9" t="s">
        <v>14</v>
      </c>
      <c r="T37" s="9" t="s">
        <v>33</v>
      </c>
      <c r="U37" s="9" t="s">
        <v>19</v>
      </c>
      <c r="V37" s="18" t="s">
        <v>13</v>
      </c>
      <c r="W37" s="12" t="str">
        <f t="shared" si="2"/>
        <v>XVNT-IICM-DTC-XX-M3-C-0001</v>
      </c>
      <c r="X37" s="9" t="s">
        <v>498</v>
      </c>
      <c r="Y37" s="9">
        <v>40</v>
      </c>
      <c r="Z37" s="1">
        <v>350</v>
      </c>
      <c r="AA37" s="1">
        <v>350</v>
      </c>
      <c r="AB37" s="9" t="s">
        <v>498</v>
      </c>
      <c r="AC37" s="9">
        <v>30</v>
      </c>
      <c r="AD37" s="1">
        <v>350</v>
      </c>
      <c r="AE37" s="1">
        <v>350</v>
      </c>
      <c r="AF37" s="5"/>
      <c r="AG37" s="19"/>
      <c r="AH37" s="5"/>
      <c r="AI37" s="5"/>
      <c r="AJ37" s="5"/>
      <c r="AK37" s="5"/>
      <c r="AL37" s="5"/>
      <c r="AM37" s="5"/>
      <c r="AN37" s="5"/>
    </row>
    <row r="38" spans="1:40" ht="15" customHeight="1" x14ac:dyDescent="0.2">
      <c r="A38" s="5"/>
      <c r="B38" s="348" t="s">
        <v>472</v>
      </c>
      <c r="C38" s="112" t="s">
        <v>454</v>
      </c>
      <c r="D38" s="8" t="s">
        <v>480</v>
      </c>
      <c r="E38" s="9" t="s">
        <v>34</v>
      </c>
      <c r="F38" s="9" t="s">
        <v>86</v>
      </c>
      <c r="G38" s="9"/>
      <c r="H38" s="9"/>
      <c r="I38" s="9">
        <v>100</v>
      </c>
      <c r="J38" s="9"/>
      <c r="K38" s="119">
        <v>45453</v>
      </c>
      <c r="L38" s="119"/>
      <c r="M38" s="9"/>
      <c r="N38" s="9"/>
      <c r="O38" s="9"/>
      <c r="P38" s="17" t="s">
        <v>452</v>
      </c>
      <c r="Q38" s="9" t="s">
        <v>446</v>
      </c>
      <c r="R38" s="9" t="s">
        <v>449</v>
      </c>
      <c r="S38" s="9" t="s">
        <v>14</v>
      </c>
      <c r="T38" s="9" t="s">
        <v>33</v>
      </c>
      <c r="U38" s="9" t="s">
        <v>19</v>
      </c>
      <c r="V38" s="18" t="s">
        <v>13</v>
      </c>
      <c r="W38" s="12" t="str">
        <f t="shared" si="2"/>
        <v>XVNT-IICM-NG1-XX-M3-C-0001</v>
      </c>
      <c r="X38" s="9" t="s">
        <v>498</v>
      </c>
      <c r="Y38" s="9">
        <v>40</v>
      </c>
      <c r="Z38" s="1">
        <v>400</v>
      </c>
      <c r="AA38" s="1">
        <v>350</v>
      </c>
      <c r="AB38" s="9" t="s">
        <v>498</v>
      </c>
      <c r="AC38" s="9">
        <v>30</v>
      </c>
      <c r="AD38" s="1">
        <v>400</v>
      </c>
      <c r="AE38" s="1">
        <v>350</v>
      </c>
      <c r="AF38" s="5"/>
      <c r="AG38" s="19"/>
      <c r="AH38" s="5"/>
      <c r="AI38" s="5"/>
      <c r="AJ38" s="5"/>
      <c r="AK38" s="5"/>
      <c r="AL38" s="5"/>
      <c r="AM38" s="5"/>
      <c r="AN38" s="5"/>
    </row>
    <row r="39" spans="1:40" ht="15" customHeight="1" x14ac:dyDescent="0.2">
      <c r="A39" s="5"/>
      <c r="B39" s="348"/>
      <c r="C39" s="112" t="s">
        <v>455</v>
      </c>
      <c r="D39" s="8" t="s">
        <v>480</v>
      </c>
      <c r="E39" s="9" t="s">
        <v>34</v>
      </c>
      <c r="F39" s="9" t="s">
        <v>86</v>
      </c>
      <c r="G39" s="9"/>
      <c r="H39" s="9"/>
      <c r="I39" s="9">
        <v>100</v>
      </c>
      <c r="J39" s="9"/>
      <c r="K39" s="119">
        <v>45453</v>
      </c>
      <c r="L39" s="119"/>
      <c r="M39" s="9"/>
      <c r="N39" s="9"/>
      <c r="O39" s="9"/>
      <c r="P39" s="17" t="s">
        <v>452</v>
      </c>
      <c r="Q39" s="9" t="s">
        <v>446</v>
      </c>
      <c r="R39" s="9" t="s">
        <v>450</v>
      </c>
      <c r="S39" s="9" t="s">
        <v>14</v>
      </c>
      <c r="T39" s="9" t="s">
        <v>33</v>
      </c>
      <c r="U39" s="9" t="s">
        <v>19</v>
      </c>
      <c r="V39" s="18" t="s">
        <v>13</v>
      </c>
      <c r="W39" s="12" t="str">
        <f t="shared" si="2"/>
        <v>XVNT-IICM-NG2-XX-M3-C-0001</v>
      </c>
      <c r="X39" s="9" t="s">
        <v>498</v>
      </c>
      <c r="Y39" s="9">
        <v>40</v>
      </c>
      <c r="Z39" s="1">
        <v>400</v>
      </c>
      <c r="AA39" s="1">
        <v>350</v>
      </c>
      <c r="AB39" s="9" t="s">
        <v>498</v>
      </c>
      <c r="AC39" s="9">
        <v>30</v>
      </c>
      <c r="AD39" s="1">
        <v>400</v>
      </c>
      <c r="AE39" s="1">
        <v>350</v>
      </c>
      <c r="AF39" s="5"/>
      <c r="AG39" s="19"/>
      <c r="AH39" s="5"/>
      <c r="AI39" s="5"/>
      <c r="AJ39" s="5"/>
      <c r="AK39" s="5"/>
      <c r="AL39" s="5"/>
      <c r="AM39" s="5"/>
      <c r="AN39" s="5"/>
    </row>
    <row r="40" spans="1:40" ht="15" customHeight="1" x14ac:dyDescent="0.2">
      <c r="A40" s="5"/>
      <c r="B40" s="348"/>
      <c r="C40" s="355" t="s">
        <v>481</v>
      </c>
      <c r="D40" s="8" t="s">
        <v>480</v>
      </c>
      <c r="E40" s="9" t="s">
        <v>34</v>
      </c>
      <c r="F40" s="9" t="s">
        <v>86</v>
      </c>
      <c r="G40" s="9"/>
      <c r="H40" s="9"/>
      <c r="I40" s="9">
        <v>100</v>
      </c>
      <c r="J40" s="9"/>
      <c r="K40" s="119">
        <v>45453</v>
      </c>
      <c r="L40" s="119"/>
      <c r="M40" s="9"/>
      <c r="N40" s="9"/>
      <c r="O40" s="9"/>
      <c r="P40" s="17" t="s">
        <v>452</v>
      </c>
      <c r="Q40" s="9" t="s">
        <v>446</v>
      </c>
      <c r="R40" s="9" t="s">
        <v>451</v>
      </c>
      <c r="S40" s="9" t="s">
        <v>14</v>
      </c>
      <c r="T40" s="9" t="s">
        <v>33</v>
      </c>
      <c r="U40" s="9" t="s">
        <v>19</v>
      </c>
      <c r="V40" s="18" t="s">
        <v>13</v>
      </c>
      <c r="W40" s="12" t="str">
        <f t="shared" si="2"/>
        <v>XVNT-IICM-NG3-XX-M3-C-0001</v>
      </c>
      <c r="X40" s="9" t="s">
        <v>498</v>
      </c>
      <c r="Y40" s="9">
        <v>40</v>
      </c>
      <c r="Z40" s="1">
        <v>400</v>
      </c>
      <c r="AA40" s="1">
        <v>350</v>
      </c>
      <c r="AB40" s="9" t="s">
        <v>498</v>
      </c>
      <c r="AC40" s="9">
        <v>30</v>
      </c>
      <c r="AD40" s="1">
        <v>400</v>
      </c>
      <c r="AE40" s="1">
        <v>350</v>
      </c>
      <c r="AF40" s="5"/>
      <c r="AG40" s="19"/>
      <c r="AH40" s="5"/>
      <c r="AI40" s="5"/>
      <c r="AJ40" s="5"/>
      <c r="AK40" s="5"/>
      <c r="AL40" s="5"/>
      <c r="AM40" s="5"/>
      <c r="AN40" s="5"/>
    </row>
    <row r="41" spans="1:40" ht="15" customHeight="1" x14ac:dyDescent="0.2">
      <c r="A41" s="5"/>
      <c r="B41" s="348"/>
      <c r="C41" s="355"/>
      <c r="D41" s="8" t="s">
        <v>482</v>
      </c>
      <c r="E41" s="9" t="s">
        <v>34</v>
      </c>
      <c r="F41" s="9" t="s">
        <v>86</v>
      </c>
      <c r="G41" s="9"/>
      <c r="H41" s="9"/>
      <c r="I41" s="9">
        <v>100</v>
      </c>
      <c r="J41" s="9"/>
      <c r="K41" s="119">
        <v>45453</v>
      </c>
      <c r="L41" s="119"/>
      <c r="M41" s="9"/>
      <c r="N41" s="9"/>
      <c r="O41" s="9"/>
      <c r="P41" s="17" t="s">
        <v>452</v>
      </c>
      <c r="Q41" s="9" t="s">
        <v>446</v>
      </c>
      <c r="R41" s="9" t="s">
        <v>451</v>
      </c>
      <c r="S41" s="9" t="s">
        <v>14</v>
      </c>
      <c r="T41" s="9" t="s">
        <v>33</v>
      </c>
      <c r="U41" s="9" t="s">
        <v>19</v>
      </c>
      <c r="V41" s="18" t="s">
        <v>13</v>
      </c>
      <c r="W41" s="12" t="str">
        <f t="shared" si="2"/>
        <v>XVNT-IICM-NG3-XX-M3-C-0001</v>
      </c>
      <c r="X41" s="9" t="s">
        <v>498</v>
      </c>
      <c r="Y41" s="9">
        <v>40</v>
      </c>
      <c r="Z41" s="1">
        <v>400</v>
      </c>
      <c r="AA41" s="1">
        <v>350</v>
      </c>
      <c r="AB41" s="9" t="s">
        <v>498</v>
      </c>
      <c r="AC41" s="9">
        <v>30</v>
      </c>
      <c r="AD41" s="1">
        <v>400</v>
      </c>
      <c r="AE41" s="1">
        <v>350</v>
      </c>
      <c r="AF41" s="5"/>
      <c r="AG41" s="19"/>
      <c r="AH41" s="5"/>
      <c r="AI41" s="5"/>
      <c r="AJ41" s="5"/>
      <c r="AK41" s="5"/>
      <c r="AL41" s="5"/>
      <c r="AM41" s="5"/>
      <c r="AN41" s="5"/>
    </row>
    <row r="42" spans="1:40" ht="15" customHeight="1" x14ac:dyDescent="0.2">
      <c r="A42" s="5"/>
      <c r="B42" s="103" t="s">
        <v>484</v>
      </c>
      <c r="C42" s="112" t="s">
        <v>485</v>
      </c>
      <c r="D42" s="8" t="s">
        <v>486</v>
      </c>
      <c r="E42" s="9" t="s">
        <v>34</v>
      </c>
      <c r="F42" s="9" t="s">
        <v>86</v>
      </c>
      <c r="G42" s="9"/>
      <c r="H42" s="9"/>
      <c r="I42" s="9">
        <v>100</v>
      </c>
      <c r="J42" s="9"/>
      <c r="K42" s="120">
        <v>45458</v>
      </c>
      <c r="L42" s="120"/>
      <c r="M42" s="9"/>
      <c r="N42" s="9"/>
      <c r="O42" s="9"/>
      <c r="P42" s="17" t="s">
        <v>452</v>
      </c>
      <c r="Q42" s="9" t="s">
        <v>446</v>
      </c>
      <c r="R42" s="9" t="s">
        <v>11</v>
      </c>
      <c r="S42" s="9" t="s">
        <v>14</v>
      </c>
      <c r="T42" s="9" t="s">
        <v>33</v>
      </c>
      <c r="U42" s="9" t="s">
        <v>19</v>
      </c>
      <c r="V42" s="18" t="s">
        <v>13</v>
      </c>
      <c r="W42" s="12" t="str">
        <f t="shared" si="2"/>
        <v>XVNT-IICM-ZZ-XX-M3-C-0001</v>
      </c>
      <c r="X42" s="9" t="s">
        <v>498</v>
      </c>
      <c r="Y42" s="9">
        <v>40</v>
      </c>
      <c r="Z42" s="1">
        <v>300</v>
      </c>
      <c r="AA42" s="1">
        <v>300</v>
      </c>
      <c r="AB42" s="9" t="s">
        <v>498</v>
      </c>
      <c r="AC42" s="9">
        <v>30</v>
      </c>
      <c r="AD42" s="1">
        <v>300</v>
      </c>
      <c r="AE42" s="1">
        <v>300</v>
      </c>
      <c r="AF42" s="5"/>
      <c r="AG42" s="19"/>
      <c r="AH42" s="5"/>
      <c r="AI42" s="5"/>
      <c r="AJ42" s="5"/>
      <c r="AK42" s="5"/>
      <c r="AL42" s="5"/>
      <c r="AM42" s="5"/>
      <c r="AN42" s="5"/>
    </row>
    <row r="43" spans="1:40" ht="15" customHeight="1" x14ac:dyDescent="0.2">
      <c r="A43" s="5"/>
      <c r="B43" s="366" t="s">
        <v>406</v>
      </c>
      <c r="C43" s="349" t="s">
        <v>308</v>
      </c>
      <c r="D43" s="8" t="s">
        <v>514</v>
      </c>
      <c r="E43" s="9" t="s">
        <v>34</v>
      </c>
      <c r="F43" s="9" t="s">
        <v>86</v>
      </c>
      <c r="G43" s="9"/>
      <c r="H43" s="9"/>
      <c r="I43" s="9">
        <v>100</v>
      </c>
      <c r="J43" s="9"/>
      <c r="K43" s="120">
        <f>+K42</f>
        <v>45458</v>
      </c>
      <c r="L43" s="120"/>
      <c r="M43" s="9"/>
      <c r="N43" s="9"/>
      <c r="O43" s="9"/>
      <c r="P43" s="17" t="s">
        <v>452</v>
      </c>
      <c r="Q43" s="9" t="s">
        <v>446</v>
      </c>
      <c r="R43" s="9" t="s">
        <v>516</v>
      </c>
      <c r="S43" s="9" t="s">
        <v>14</v>
      </c>
      <c r="T43" s="9" t="s">
        <v>33</v>
      </c>
      <c r="U43" s="9" t="s">
        <v>22</v>
      </c>
      <c r="V43" s="18" t="s">
        <v>13</v>
      </c>
      <c r="W43" s="12" t="str">
        <f t="shared" si="2"/>
        <v>XVNT-IICM-CNN-XX-M3-D-0001</v>
      </c>
      <c r="X43" s="9" t="s">
        <v>498</v>
      </c>
      <c r="Y43" s="9">
        <v>40</v>
      </c>
      <c r="Z43" s="1">
        <v>300</v>
      </c>
      <c r="AA43" s="1">
        <v>300</v>
      </c>
      <c r="AB43" s="9" t="s">
        <v>498</v>
      </c>
      <c r="AC43" s="9">
        <v>30</v>
      </c>
      <c r="AD43" s="1">
        <v>300</v>
      </c>
      <c r="AE43" s="1">
        <v>300</v>
      </c>
      <c r="AF43" s="5"/>
      <c r="AG43" s="19"/>
      <c r="AH43" s="5"/>
      <c r="AI43" s="5"/>
      <c r="AJ43" s="5"/>
      <c r="AK43" s="5"/>
      <c r="AL43" s="5"/>
      <c r="AM43" s="5"/>
      <c r="AN43" s="5"/>
    </row>
    <row r="44" spans="1:40" ht="15" customHeight="1" x14ac:dyDescent="0.2">
      <c r="A44" s="5"/>
      <c r="B44" s="338"/>
      <c r="C44" s="349"/>
      <c r="D44" s="8" t="s">
        <v>515</v>
      </c>
      <c r="E44" s="9" t="s">
        <v>34</v>
      </c>
      <c r="F44" s="9" t="s">
        <v>86</v>
      </c>
      <c r="G44" s="9"/>
      <c r="H44" s="9"/>
      <c r="I44" s="9">
        <v>100</v>
      </c>
      <c r="J44" s="9"/>
      <c r="K44" s="120">
        <f t="shared" ref="K44:K58" si="3">+K43</f>
        <v>45458</v>
      </c>
      <c r="L44" s="120"/>
      <c r="M44" s="9"/>
      <c r="N44" s="9"/>
      <c r="O44" s="9"/>
      <c r="P44" s="17" t="s">
        <v>452</v>
      </c>
      <c r="Q44" s="9" t="s">
        <v>446</v>
      </c>
      <c r="R44" s="9" t="s">
        <v>517</v>
      </c>
      <c r="S44" s="9" t="s">
        <v>14</v>
      </c>
      <c r="T44" s="9" t="s">
        <v>33</v>
      </c>
      <c r="U44" s="9" t="s">
        <v>22</v>
      </c>
      <c r="V44" s="18" t="s">
        <v>17</v>
      </c>
      <c r="W44" s="12" t="str">
        <f t="shared" si="2"/>
        <v>XVNT-IICM-CHL-XX-M3-D-0002</v>
      </c>
      <c r="X44" s="9" t="s">
        <v>498</v>
      </c>
      <c r="Y44" s="9">
        <v>40</v>
      </c>
      <c r="Z44" s="1">
        <v>300</v>
      </c>
      <c r="AA44" s="1">
        <v>300</v>
      </c>
      <c r="AB44" s="9" t="s">
        <v>498</v>
      </c>
      <c r="AC44" s="9">
        <v>30</v>
      </c>
      <c r="AD44" s="1">
        <v>350</v>
      </c>
      <c r="AE44" s="1">
        <v>350</v>
      </c>
      <c r="AF44" s="5"/>
      <c r="AG44" s="19"/>
      <c r="AH44" s="5"/>
      <c r="AI44" s="5"/>
      <c r="AJ44" s="5"/>
      <c r="AK44" s="5"/>
      <c r="AL44" s="5"/>
      <c r="AM44" s="5"/>
      <c r="AN44" s="5"/>
    </row>
    <row r="45" spans="1:40" ht="15" customHeight="1" x14ac:dyDescent="0.2">
      <c r="A45" s="5"/>
      <c r="B45" s="338"/>
      <c r="C45" s="349"/>
      <c r="D45" s="8" t="s">
        <v>465</v>
      </c>
      <c r="E45" s="9" t="s">
        <v>34</v>
      </c>
      <c r="F45" s="9" t="s">
        <v>86</v>
      </c>
      <c r="G45" s="9"/>
      <c r="H45" s="9"/>
      <c r="I45" s="9">
        <v>50</v>
      </c>
      <c r="J45" s="9"/>
      <c r="K45" s="120">
        <f t="shared" si="3"/>
        <v>45458</v>
      </c>
      <c r="L45" s="120"/>
      <c r="M45" s="9"/>
      <c r="N45" s="9"/>
      <c r="O45" s="9"/>
      <c r="P45" s="17" t="s">
        <v>452</v>
      </c>
      <c r="Q45" s="9" t="s">
        <v>446</v>
      </c>
      <c r="R45" s="9" t="s">
        <v>456</v>
      </c>
      <c r="S45" s="9" t="s">
        <v>14</v>
      </c>
      <c r="T45" s="9" t="s">
        <v>33</v>
      </c>
      <c r="U45" s="9" t="s">
        <v>22</v>
      </c>
      <c r="V45" s="18" t="s">
        <v>13</v>
      </c>
      <c r="W45" s="12" t="str">
        <f t="shared" si="2"/>
        <v>XVNT-IICM-TNM-XX-M3-D-0001</v>
      </c>
      <c r="X45" s="9" t="s">
        <v>498</v>
      </c>
      <c r="Y45" s="9">
        <v>40</v>
      </c>
      <c r="Z45" s="1">
        <v>300</v>
      </c>
      <c r="AA45" s="1">
        <v>300</v>
      </c>
      <c r="AB45" s="9" t="s">
        <v>498</v>
      </c>
      <c r="AC45" s="9">
        <v>30</v>
      </c>
      <c r="AD45" s="1">
        <v>300</v>
      </c>
      <c r="AE45" s="1">
        <v>300</v>
      </c>
      <c r="AF45" s="5"/>
      <c r="AG45" s="19"/>
      <c r="AH45" s="5"/>
      <c r="AI45" s="5"/>
      <c r="AJ45" s="5"/>
      <c r="AK45" s="5"/>
      <c r="AL45" s="5"/>
      <c r="AM45" s="5"/>
      <c r="AN45" s="5"/>
    </row>
    <row r="46" spans="1:40" ht="15" customHeight="1" x14ac:dyDescent="0.2">
      <c r="A46" s="5"/>
      <c r="B46" s="338"/>
      <c r="C46" s="116" t="s">
        <v>496</v>
      </c>
      <c r="D46" s="8" t="s">
        <v>497</v>
      </c>
      <c r="E46" s="9" t="s">
        <v>34</v>
      </c>
      <c r="F46" s="9" t="s">
        <v>408</v>
      </c>
      <c r="G46" s="9"/>
      <c r="H46" s="9"/>
      <c r="I46" s="9">
        <v>100</v>
      </c>
      <c r="J46" s="9"/>
      <c r="K46" s="120">
        <f t="shared" si="3"/>
        <v>45458</v>
      </c>
      <c r="L46" s="120"/>
      <c r="M46" s="9"/>
      <c r="N46" s="9"/>
      <c r="O46" s="9"/>
      <c r="P46" s="17" t="s">
        <v>452</v>
      </c>
      <c r="Q46" s="9" t="s">
        <v>446</v>
      </c>
      <c r="R46" s="9" t="s">
        <v>456</v>
      </c>
      <c r="S46" s="9" t="s">
        <v>14</v>
      </c>
      <c r="T46" s="9" t="s">
        <v>33</v>
      </c>
      <c r="U46" s="9" t="s">
        <v>22</v>
      </c>
      <c r="V46" s="18" t="s">
        <v>13</v>
      </c>
      <c r="W46" s="12" t="str">
        <f t="shared" si="2"/>
        <v>XVNT-IICM-TNM-XX-M3-D-0001</v>
      </c>
      <c r="X46" s="9" t="s">
        <v>498</v>
      </c>
      <c r="Y46" s="9">
        <v>40</v>
      </c>
      <c r="Z46" s="1">
        <v>300</v>
      </c>
      <c r="AA46" s="1">
        <v>300</v>
      </c>
      <c r="AB46" s="9" t="s">
        <v>498</v>
      </c>
      <c r="AC46" s="9">
        <v>30</v>
      </c>
      <c r="AD46" s="1">
        <v>300</v>
      </c>
      <c r="AE46" s="1">
        <v>300</v>
      </c>
      <c r="AF46" s="5"/>
      <c r="AG46" s="19"/>
      <c r="AH46" s="5"/>
      <c r="AI46" s="5"/>
      <c r="AJ46" s="5"/>
      <c r="AK46" s="5"/>
      <c r="AL46" s="5"/>
      <c r="AM46" s="5"/>
      <c r="AN46" s="5"/>
    </row>
    <row r="47" spans="1:40" ht="15" customHeight="1" x14ac:dyDescent="0.2">
      <c r="A47" s="3"/>
      <c r="B47" s="338"/>
      <c r="C47" s="349" t="s">
        <v>87</v>
      </c>
      <c r="D47" s="8" t="s">
        <v>483</v>
      </c>
      <c r="E47" s="9" t="s">
        <v>34</v>
      </c>
      <c r="F47" s="9" t="s">
        <v>408</v>
      </c>
      <c r="G47" s="9"/>
      <c r="H47" s="9"/>
      <c r="I47" s="9">
        <v>100</v>
      </c>
      <c r="J47" s="9"/>
      <c r="K47" s="120">
        <f t="shared" si="3"/>
        <v>45458</v>
      </c>
      <c r="L47" s="120"/>
      <c r="M47" s="9"/>
      <c r="N47" s="9"/>
      <c r="O47" s="9"/>
      <c r="P47" s="17" t="s">
        <v>452</v>
      </c>
      <c r="Q47" s="9" t="s">
        <v>446</v>
      </c>
      <c r="R47" s="9" t="s">
        <v>457</v>
      </c>
      <c r="S47" s="9" t="s">
        <v>14</v>
      </c>
      <c r="T47" s="9" t="s">
        <v>33</v>
      </c>
      <c r="U47" s="9" t="s">
        <v>23</v>
      </c>
      <c r="V47" s="18" t="s">
        <v>13</v>
      </c>
      <c r="W47" s="12" t="str">
        <f t="shared" si="2"/>
        <v>XVNT-IICM-DCS-XX-M3-E-0001</v>
      </c>
      <c r="X47" s="9" t="s">
        <v>498</v>
      </c>
      <c r="Y47" s="9">
        <v>40</v>
      </c>
      <c r="Z47" s="1">
        <v>300</v>
      </c>
      <c r="AA47" s="1">
        <v>300</v>
      </c>
      <c r="AB47" s="9" t="s">
        <v>498</v>
      </c>
      <c r="AC47" s="9">
        <v>30</v>
      </c>
      <c r="AD47" s="1">
        <v>300</v>
      </c>
      <c r="AE47" s="1">
        <v>300</v>
      </c>
      <c r="AF47" s="5"/>
      <c r="AG47" s="19"/>
      <c r="AH47" s="5"/>
      <c r="AI47" s="5"/>
      <c r="AJ47" s="5"/>
      <c r="AK47" s="5"/>
      <c r="AL47" s="5"/>
      <c r="AM47" s="5"/>
      <c r="AN47" s="5"/>
    </row>
    <row r="48" spans="1:40" ht="15" customHeight="1" x14ac:dyDescent="0.2">
      <c r="A48" s="20"/>
      <c r="B48" s="338"/>
      <c r="C48" s="350"/>
      <c r="D48" s="8" t="s">
        <v>477</v>
      </c>
      <c r="E48" s="9" t="s">
        <v>34</v>
      </c>
      <c r="F48" s="9" t="s">
        <v>408</v>
      </c>
      <c r="G48" s="9"/>
      <c r="H48" s="9"/>
      <c r="I48" s="9">
        <v>100</v>
      </c>
      <c r="J48" s="9"/>
      <c r="K48" s="120">
        <f t="shared" si="3"/>
        <v>45458</v>
      </c>
      <c r="L48" s="120"/>
      <c r="M48" s="9"/>
      <c r="N48" s="9"/>
      <c r="O48" s="9"/>
      <c r="P48" s="17" t="s">
        <v>452</v>
      </c>
      <c r="Q48" s="9" t="s">
        <v>446</v>
      </c>
      <c r="R48" s="9" t="s">
        <v>457</v>
      </c>
      <c r="S48" s="9" t="s">
        <v>14</v>
      </c>
      <c r="T48" s="9" t="s">
        <v>33</v>
      </c>
      <c r="U48" s="9" t="s">
        <v>23</v>
      </c>
      <c r="V48" s="18" t="s">
        <v>13</v>
      </c>
      <c r="W48" s="12" t="str">
        <f t="shared" si="2"/>
        <v>XVNT-IICM-DCS-XX-M3-E-0001</v>
      </c>
      <c r="X48" s="9" t="s">
        <v>498</v>
      </c>
      <c r="Y48" s="9">
        <v>40</v>
      </c>
      <c r="Z48" s="1">
        <v>300</v>
      </c>
      <c r="AA48" s="1">
        <v>300</v>
      </c>
      <c r="AB48" s="9" t="s">
        <v>498</v>
      </c>
      <c r="AC48" s="9">
        <v>30</v>
      </c>
      <c r="AD48" s="1">
        <v>300</v>
      </c>
      <c r="AE48" s="1">
        <v>300</v>
      </c>
      <c r="AF48" s="5"/>
      <c r="AG48" s="19"/>
      <c r="AH48" s="5"/>
      <c r="AI48" s="5"/>
      <c r="AJ48" s="5"/>
      <c r="AK48" s="5"/>
      <c r="AL48" s="5"/>
      <c r="AM48" s="5"/>
      <c r="AN48" s="5"/>
    </row>
    <row r="49" spans="1:40" ht="15" customHeight="1" x14ac:dyDescent="0.2">
      <c r="A49" s="20"/>
      <c r="B49" s="338"/>
      <c r="C49" s="113" t="s">
        <v>490</v>
      </c>
      <c r="D49" s="8" t="s">
        <v>491</v>
      </c>
      <c r="E49" s="9" t="s">
        <v>34</v>
      </c>
      <c r="F49" s="9" t="s">
        <v>408</v>
      </c>
      <c r="G49" s="9"/>
      <c r="H49" s="9"/>
      <c r="I49" s="9">
        <v>100</v>
      </c>
      <c r="J49" s="9"/>
      <c r="K49" s="120">
        <f t="shared" si="3"/>
        <v>45458</v>
      </c>
      <c r="L49" s="120"/>
      <c r="M49" s="9"/>
      <c r="N49" s="9"/>
      <c r="O49" s="9"/>
      <c r="P49" s="17" t="s">
        <v>452</v>
      </c>
      <c r="Q49" s="9" t="s">
        <v>446</v>
      </c>
      <c r="R49" s="9" t="s">
        <v>492</v>
      </c>
      <c r="S49" s="9" t="s">
        <v>14</v>
      </c>
      <c r="T49" s="9" t="s">
        <v>33</v>
      </c>
      <c r="U49" s="9" t="s">
        <v>29</v>
      </c>
      <c r="V49" s="18" t="s">
        <v>13</v>
      </c>
      <c r="W49" s="12" t="str">
        <f t="shared" si="2"/>
        <v>XVNT-IICM-CXCQ-XX-M3-L-0001</v>
      </c>
      <c r="X49" s="9" t="s">
        <v>498</v>
      </c>
      <c r="Y49" s="9">
        <v>40</v>
      </c>
      <c r="Z49" s="1">
        <v>300</v>
      </c>
      <c r="AA49" s="1"/>
      <c r="AB49" s="9" t="s">
        <v>498</v>
      </c>
      <c r="AC49" s="9">
        <v>30</v>
      </c>
      <c r="AD49" s="1">
        <v>300</v>
      </c>
      <c r="AE49" s="1"/>
      <c r="AF49" s="5"/>
      <c r="AG49" s="19"/>
      <c r="AH49" s="5"/>
      <c r="AI49" s="5"/>
      <c r="AJ49" s="5"/>
      <c r="AK49" s="5"/>
      <c r="AL49" s="5"/>
      <c r="AM49" s="5"/>
      <c r="AN49" s="5"/>
    </row>
    <row r="50" spans="1:40" ht="15" customHeight="1" x14ac:dyDescent="0.2">
      <c r="A50" s="3"/>
      <c r="B50" s="338"/>
      <c r="C50" s="349" t="s">
        <v>48</v>
      </c>
      <c r="D50" s="8" t="s">
        <v>475</v>
      </c>
      <c r="E50" s="9" t="s">
        <v>34</v>
      </c>
      <c r="F50" s="9" t="s">
        <v>408</v>
      </c>
      <c r="G50" s="9"/>
      <c r="H50" s="9"/>
      <c r="I50" s="9">
        <v>100</v>
      </c>
      <c r="J50" s="9"/>
      <c r="K50" s="120">
        <f t="shared" si="3"/>
        <v>45458</v>
      </c>
      <c r="L50" s="120"/>
      <c r="M50" s="9"/>
      <c r="N50" s="9"/>
      <c r="O50" s="9"/>
      <c r="P50" s="17" t="s">
        <v>452</v>
      </c>
      <c r="Q50" s="9" t="s">
        <v>446</v>
      </c>
      <c r="R50" s="9" t="s">
        <v>47</v>
      </c>
      <c r="S50" s="9" t="s">
        <v>14</v>
      </c>
      <c r="T50" s="9" t="s">
        <v>33</v>
      </c>
      <c r="U50" s="9" t="s">
        <v>19</v>
      </c>
      <c r="V50" s="18" t="s">
        <v>13</v>
      </c>
      <c r="W50" s="12" t="str">
        <f t="shared" si="2"/>
        <v>XVNT-IICM-ATGT-XX-M3-C-0001</v>
      </c>
      <c r="X50" s="9" t="s">
        <v>498</v>
      </c>
      <c r="Y50" s="9">
        <v>40</v>
      </c>
      <c r="Z50" s="1">
        <v>300</v>
      </c>
      <c r="AA50" s="1">
        <v>300</v>
      </c>
      <c r="AB50" s="9" t="s">
        <v>498</v>
      </c>
      <c r="AC50" s="9">
        <v>30</v>
      </c>
      <c r="AD50" s="1">
        <v>300</v>
      </c>
      <c r="AE50" s="1">
        <v>300</v>
      </c>
      <c r="AF50" s="5"/>
      <c r="AG50" s="19"/>
      <c r="AH50" s="5"/>
      <c r="AI50" s="5"/>
      <c r="AJ50" s="5"/>
      <c r="AK50" s="5"/>
      <c r="AL50" s="5"/>
      <c r="AM50" s="5"/>
      <c r="AN50" s="5"/>
    </row>
    <row r="51" spans="1:40" ht="15" customHeight="1" x14ac:dyDescent="0.2">
      <c r="A51" s="3"/>
      <c r="B51" s="338"/>
      <c r="C51" s="350"/>
      <c r="D51" s="8" t="s">
        <v>476</v>
      </c>
      <c r="E51" s="9" t="s">
        <v>34</v>
      </c>
      <c r="F51" s="9" t="s">
        <v>408</v>
      </c>
      <c r="G51" s="9"/>
      <c r="H51" s="9"/>
      <c r="I51" s="9">
        <v>100</v>
      </c>
      <c r="J51" s="9"/>
      <c r="K51" s="120">
        <f t="shared" si="3"/>
        <v>45458</v>
      </c>
      <c r="L51" s="120"/>
      <c r="M51" s="9"/>
      <c r="N51" s="9"/>
      <c r="O51" s="9"/>
      <c r="P51" s="17" t="s">
        <v>452</v>
      </c>
      <c r="Q51" s="9" t="s">
        <v>446</v>
      </c>
      <c r="R51" s="9" t="s">
        <v>47</v>
      </c>
      <c r="S51" s="9" t="s">
        <v>14</v>
      </c>
      <c r="T51" s="9" t="s">
        <v>33</v>
      </c>
      <c r="U51" s="9" t="s">
        <v>19</v>
      </c>
      <c r="V51" s="18" t="s">
        <v>13</v>
      </c>
      <c r="W51" s="12" t="str">
        <f t="shared" si="2"/>
        <v>XVNT-IICM-ATGT-XX-M3-C-0001</v>
      </c>
      <c r="X51" s="9" t="s">
        <v>498</v>
      </c>
      <c r="Y51" s="9">
        <v>40</v>
      </c>
      <c r="Z51" s="1">
        <v>300</v>
      </c>
      <c r="AA51" s="1">
        <v>300</v>
      </c>
      <c r="AB51" s="9" t="s">
        <v>498</v>
      </c>
      <c r="AC51" s="9">
        <v>30</v>
      </c>
      <c r="AD51" s="1">
        <v>300</v>
      </c>
      <c r="AE51" s="1">
        <v>300</v>
      </c>
      <c r="AF51" s="5"/>
      <c r="AG51" s="19"/>
      <c r="AH51" s="5"/>
      <c r="AI51" s="5"/>
      <c r="AJ51" s="5"/>
      <c r="AK51" s="5"/>
      <c r="AL51" s="5"/>
      <c r="AM51" s="5"/>
      <c r="AN51" s="5"/>
    </row>
    <row r="52" spans="1:40" ht="15" customHeight="1" x14ac:dyDescent="0.2">
      <c r="A52" s="3"/>
      <c r="B52" s="338"/>
      <c r="C52" s="111" t="s">
        <v>473</v>
      </c>
      <c r="D52" s="8" t="s">
        <v>474</v>
      </c>
      <c r="E52" s="9" t="s">
        <v>34</v>
      </c>
      <c r="F52" s="9" t="s">
        <v>86</v>
      </c>
      <c r="G52" s="9"/>
      <c r="H52" s="9"/>
      <c r="I52" s="9">
        <v>100</v>
      </c>
      <c r="J52" s="9"/>
      <c r="K52" s="120">
        <f t="shared" si="3"/>
        <v>45458</v>
      </c>
      <c r="L52" s="120"/>
      <c r="M52" s="9"/>
      <c r="N52" s="9"/>
      <c r="O52" s="9"/>
      <c r="P52" s="17" t="s">
        <v>452</v>
      </c>
      <c r="Q52" s="9" t="s">
        <v>446</v>
      </c>
      <c r="R52" s="9" t="s">
        <v>493</v>
      </c>
      <c r="S52" s="9" t="s">
        <v>14</v>
      </c>
      <c r="T52" s="9" t="s">
        <v>33</v>
      </c>
      <c r="U52" s="9" t="s">
        <v>35</v>
      </c>
      <c r="V52" s="18" t="s">
        <v>13</v>
      </c>
      <c r="W52" s="12" t="str">
        <f t="shared" si="2"/>
        <v>XVNT-IICM-CKT-XX-M3-S-0001</v>
      </c>
      <c r="X52" s="9" t="s">
        <v>498</v>
      </c>
      <c r="Y52" s="9">
        <v>40</v>
      </c>
      <c r="Z52" s="1">
        <v>300</v>
      </c>
      <c r="AA52" s="1">
        <v>300</v>
      </c>
      <c r="AB52" s="9" t="s">
        <v>498</v>
      </c>
      <c r="AC52" s="9">
        <v>30</v>
      </c>
      <c r="AD52" s="1">
        <v>300</v>
      </c>
      <c r="AE52" s="1">
        <v>300</v>
      </c>
      <c r="AF52" s="5"/>
      <c r="AG52" s="19"/>
      <c r="AH52" s="5"/>
      <c r="AI52" s="5"/>
      <c r="AJ52" s="5"/>
      <c r="AK52" s="5"/>
      <c r="AL52" s="5"/>
      <c r="AM52" s="5"/>
      <c r="AN52" s="5"/>
    </row>
    <row r="53" spans="1:40" ht="15" customHeight="1" x14ac:dyDescent="0.2">
      <c r="A53" s="3"/>
      <c r="B53" s="115"/>
      <c r="C53" s="111"/>
      <c r="D53" s="8"/>
      <c r="E53" s="9"/>
      <c r="F53" s="9"/>
      <c r="G53" s="9"/>
      <c r="H53" s="9"/>
      <c r="I53" s="9"/>
      <c r="J53" s="9"/>
      <c r="K53" s="120"/>
      <c r="L53" s="120"/>
      <c r="M53" s="9"/>
      <c r="N53" s="9"/>
      <c r="O53" s="9"/>
      <c r="P53" s="17"/>
      <c r="Q53" s="9"/>
      <c r="R53" s="9"/>
      <c r="S53" s="9"/>
      <c r="T53" s="9"/>
      <c r="U53" s="9"/>
      <c r="V53" s="18"/>
      <c r="W53" s="12"/>
      <c r="X53" s="9"/>
      <c r="Y53" s="9"/>
      <c r="Z53" s="1"/>
      <c r="AA53" s="1"/>
      <c r="AB53" s="9"/>
      <c r="AC53" s="9"/>
      <c r="AD53" s="1"/>
      <c r="AE53" s="1"/>
      <c r="AF53" s="5"/>
      <c r="AG53" s="19"/>
      <c r="AH53" s="5"/>
      <c r="AI53" s="5"/>
      <c r="AJ53" s="5"/>
      <c r="AK53" s="5"/>
      <c r="AL53" s="5"/>
      <c r="AM53" s="5"/>
      <c r="AN53" s="5"/>
    </row>
    <row r="54" spans="1:40" ht="15" customHeight="1" x14ac:dyDescent="0.2">
      <c r="A54" s="3"/>
      <c r="B54" s="115"/>
      <c r="C54" s="111"/>
      <c r="D54" s="8"/>
      <c r="E54" s="9"/>
      <c r="F54" s="9"/>
      <c r="G54" s="9"/>
      <c r="H54" s="9"/>
      <c r="I54" s="9"/>
      <c r="J54" s="9"/>
      <c r="K54" s="120"/>
      <c r="L54" s="120"/>
      <c r="M54" s="9"/>
      <c r="N54" s="9"/>
      <c r="O54" s="9"/>
      <c r="P54" s="17"/>
      <c r="Q54" s="9"/>
      <c r="R54" s="9"/>
      <c r="S54" s="9"/>
      <c r="T54" s="9"/>
      <c r="U54" s="9"/>
      <c r="V54" s="18"/>
      <c r="W54" s="12"/>
      <c r="X54" s="9"/>
      <c r="Y54" s="9"/>
      <c r="Z54" s="1"/>
      <c r="AA54" s="1"/>
      <c r="AB54" s="9"/>
      <c r="AC54" s="9"/>
      <c r="AD54" s="1"/>
      <c r="AE54" s="1"/>
      <c r="AF54" s="5"/>
      <c r="AG54" s="19"/>
      <c r="AH54" s="5"/>
      <c r="AI54" s="5"/>
      <c r="AJ54" s="5"/>
      <c r="AK54" s="5"/>
      <c r="AL54" s="5"/>
      <c r="AM54" s="5"/>
      <c r="AN54" s="5"/>
    </row>
    <row r="55" spans="1:40" ht="15" customHeight="1" x14ac:dyDescent="0.2">
      <c r="A55" s="3"/>
      <c r="B55" s="409" t="s">
        <v>471</v>
      </c>
      <c r="C55" s="339" t="s">
        <v>470</v>
      </c>
      <c r="D55" s="8" t="s">
        <v>409</v>
      </c>
      <c r="E55" s="9" t="s">
        <v>34</v>
      </c>
      <c r="F55" s="9" t="s">
        <v>86</v>
      </c>
      <c r="G55" s="9"/>
      <c r="H55" s="9"/>
      <c r="I55" s="9">
        <v>100</v>
      </c>
      <c r="J55" s="395">
        <f>+L55</f>
        <v>0</v>
      </c>
      <c r="K55" s="120">
        <f>+K52</f>
        <v>45458</v>
      </c>
      <c r="L55" s="122">
        <f>+M55</f>
        <v>0</v>
      </c>
      <c r="M55" s="122"/>
      <c r="N55" s="122"/>
      <c r="O55" s="9"/>
      <c r="P55" s="17" t="s">
        <v>452</v>
      </c>
      <c r="Q55" s="9" t="s">
        <v>446</v>
      </c>
      <c r="R55" s="9" t="s">
        <v>448</v>
      </c>
      <c r="S55" s="9" t="s">
        <v>394</v>
      </c>
      <c r="T55" s="9" t="s">
        <v>33</v>
      </c>
      <c r="U55" s="9" t="s">
        <v>35</v>
      </c>
      <c r="V55" s="18" t="s">
        <v>13</v>
      </c>
      <c r="W55" s="12" t="str">
        <f t="shared" si="2"/>
        <v>XVNT-IICM-CRC-KCD -M3-S-0001</v>
      </c>
      <c r="X55" s="9" t="s">
        <v>498</v>
      </c>
      <c r="Y55" s="9">
        <v>40</v>
      </c>
      <c r="Z55" s="1">
        <v>350</v>
      </c>
      <c r="AA55" s="1">
        <v>350</v>
      </c>
      <c r="AB55" s="9" t="s">
        <v>498</v>
      </c>
      <c r="AC55" s="9">
        <v>30</v>
      </c>
      <c r="AD55" s="1">
        <v>350</v>
      </c>
      <c r="AE55" s="1">
        <v>350</v>
      </c>
      <c r="AF55" s="5"/>
      <c r="AG55" s="19"/>
      <c r="AH55" s="5"/>
      <c r="AI55" s="5"/>
      <c r="AK55" s="3">
        <v>10</v>
      </c>
      <c r="AL55" s="5"/>
      <c r="AM55" s="3"/>
      <c r="AN55" s="5"/>
    </row>
    <row r="56" spans="1:40" ht="15" customHeight="1" x14ac:dyDescent="0.2">
      <c r="A56" s="3"/>
      <c r="B56" s="347"/>
      <c r="C56" s="340"/>
      <c r="D56" s="8" t="s">
        <v>393</v>
      </c>
      <c r="E56" s="9" t="s">
        <v>34</v>
      </c>
      <c r="F56" s="9" t="s">
        <v>86</v>
      </c>
      <c r="G56" s="9"/>
      <c r="H56" s="9"/>
      <c r="I56" s="9">
        <v>100</v>
      </c>
      <c r="J56" s="396"/>
      <c r="K56" s="120">
        <f t="shared" si="3"/>
        <v>45458</v>
      </c>
      <c r="L56" s="120"/>
      <c r="M56" s="9"/>
      <c r="N56" s="9"/>
      <c r="O56" s="9"/>
      <c r="P56" s="17" t="s">
        <v>452</v>
      </c>
      <c r="Q56" s="9" t="s">
        <v>446</v>
      </c>
      <c r="R56" s="9" t="s">
        <v>448</v>
      </c>
      <c r="S56" s="9" t="s">
        <v>392</v>
      </c>
      <c r="T56" s="9" t="s">
        <v>33</v>
      </c>
      <c r="U56" s="9" t="s">
        <v>35</v>
      </c>
      <c r="V56" s="18" t="s">
        <v>13</v>
      </c>
      <c r="W56" s="12" t="str">
        <f t="shared" si="2"/>
        <v>XVNT-IICM-CRC-KCT -M3-S-0001</v>
      </c>
      <c r="X56" s="9" t="s">
        <v>498</v>
      </c>
      <c r="Y56" s="9">
        <v>40</v>
      </c>
      <c r="Z56" s="1">
        <v>350</v>
      </c>
      <c r="AA56" s="1">
        <v>350</v>
      </c>
      <c r="AB56" s="9" t="s">
        <v>498</v>
      </c>
      <c r="AC56" s="9">
        <v>30</v>
      </c>
      <c r="AD56" s="1">
        <v>350</v>
      </c>
      <c r="AE56" s="1">
        <v>350</v>
      </c>
      <c r="AF56" s="5"/>
      <c r="AG56" s="19"/>
      <c r="AH56" s="5"/>
      <c r="AI56" s="5"/>
      <c r="AJ56" s="3"/>
      <c r="AK56" s="5"/>
      <c r="AL56" s="5"/>
      <c r="AM56" s="3"/>
      <c r="AN56" s="5"/>
    </row>
    <row r="57" spans="1:40" ht="15" customHeight="1" x14ac:dyDescent="0.2">
      <c r="A57" s="3"/>
      <c r="B57" s="347"/>
      <c r="C57" s="340"/>
      <c r="D57" s="8" t="s">
        <v>413</v>
      </c>
      <c r="E57" s="9" t="s">
        <v>34</v>
      </c>
      <c r="F57" s="9" t="s">
        <v>86</v>
      </c>
      <c r="G57" s="9"/>
      <c r="H57" s="9"/>
      <c r="I57" s="9">
        <v>100</v>
      </c>
      <c r="J57" s="396"/>
      <c r="K57" s="120">
        <f t="shared" si="3"/>
        <v>45458</v>
      </c>
      <c r="L57" s="120"/>
      <c r="M57" s="9"/>
      <c r="N57" s="9"/>
      <c r="O57" s="9"/>
      <c r="P57" s="17" t="s">
        <v>452</v>
      </c>
      <c r="Q57" s="9" t="s">
        <v>446</v>
      </c>
      <c r="R57" s="9" t="s">
        <v>448</v>
      </c>
      <c r="S57" s="9" t="s">
        <v>46</v>
      </c>
      <c r="T57" s="9" t="s">
        <v>33</v>
      </c>
      <c r="U57" s="9" t="s">
        <v>35</v>
      </c>
      <c r="V57" s="18" t="s">
        <v>13</v>
      </c>
      <c r="W57" s="12" t="str">
        <f t="shared" si="2"/>
        <v>XVNT-IICM-CRC-MIS-M3-S-0001</v>
      </c>
      <c r="X57" s="9" t="s">
        <v>498</v>
      </c>
      <c r="Y57" s="9">
        <v>40</v>
      </c>
      <c r="Z57" s="1">
        <v>300</v>
      </c>
      <c r="AA57" s="1">
        <v>300</v>
      </c>
      <c r="AB57" s="9" t="s">
        <v>498</v>
      </c>
      <c r="AC57" s="9">
        <v>30</v>
      </c>
      <c r="AD57" s="1">
        <v>300</v>
      </c>
      <c r="AE57" s="1">
        <v>300</v>
      </c>
      <c r="AF57" s="5"/>
      <c r="AG57" s="19"/>
      <c r="AH57" s="5"/>
      <c r="AI57" s="5"/>
      <c r="AJ57" s="3"/>
      <c r="AK57" s="5"/>
      <c r="AL57" s="5"/>
      <c r="AM57" s="3"/>
      <c r="AN57" s="5"/>
    </row>
    <row r="58" spans="1:40" ht="15" customHeight="1" x14ac:dyDescent="0.2">
      <c r="A58" s="3"/>
      <c r="B58" s="347"/>
      <c r="C58" s="341"/>
      <c r="D58" s="8" t="s">
        <v>308</v>
      </c>
      <c r="E58" s="9" t="s">
        <v>34</v>
      </c>
      <c r="F58" s="9" t="s">
        <v>86</v>
      </c>
      <c r="G58" s="9"/>
      <c r="H58" s="9"/>
      <c r="I58" s="9">
        <v>100</v>
      </c>
      <c r="J58" s="397"/>
      <c r="K58" s="120">
        <f t="shared" si="3"/>
        <v>45458</v>
      </c>
      <c r="L58" s="120"/>
      <c r="M58" s="9"/>
      <c r="N58" s="9"/>
      <c r="O58" s="9"/>
      <c r="P58" s="17" t="s">
        <v>452</v>
      </c>
      <c r="Q58" s="9" t="s">
        <v>446</v>
      </c>
      <c r="R58" s="9" t="s">
        <v>448</v>
      </c>
      <c r="S58" s="9" t="s">
        <v>46</v>
      </c>
      <c r="T58" s="9" t="s">
        <v>33</v>
      </c>
      <c r="U58" s="9" t="s">
        <v>35</v>
      </c>
      <c r="V58" s="18" t="s">
        <v>13</v>
      </c>
      <c r="W58" s="12" t="str">
        <f t="shared" si="2"/>
        <v>XVNT-IICM-CRC-MIS-M3-S-0001</v>
      </c>
      <c r="X58" s="9" t="s">
        <v>498</v>
      </c>
      <c r="Y58" s="9">
        <v>40</v>
      </c>
      <c r="Z58" s="1">
        <v>300</v>
      </c>
      <c r="AA58" s="1">
        <v>300</v>
      </c>
      <c r="AB58" s="9" t="s">
        <v>498</v>
      </c>
      <c r="AC58" s="9">
        <v>30</v>
      </c>
      <c r="AD58" s="1">
        <v>300</v>
      </c>
      <c r="AE58" s="1">
        <v>300</v>
      </c>
      <c r="AF58" s="5"/>
      <c r="AG58" s="19"/>
      <c r="AH58" s="5"/>
      <c r="AI58" s="5"/>
      <c r="AJ58" s="3"/>
      <c r="AK58" s="5"/>
      <c r="AL58" s="5"/>
      <c r="AM58" s="3"/>
      <c r="AN58" s="5"/>
    </row>
    <row r="59" spans="1:40" ht="15" hidden="1" customHeight="1" x14ac:dyDescent="0.2">
      <c r="A59" s="5"/>
      <c r="B59" s="343" t="s">
        <v>427</v>
      </c>
      <c r="C59" s="344"/>
      <c r="D59" s="345"/>
      <c r="E59" s="9"/>
      <c r="F59" s="9"/>
      <c r="G59" s="9"/>
      <c r="H59" s="9"/>
      <c r="I59" s="9"/>
      <c r="J59" s="9"/>
      <c r="K59" s="9"/>
      <c r="L59" s="9"/>
      <c r="M59" s="9"/>
      <c r="N59" s="9"/>
      <c r="O59" s="9"/>
      <c r="P59" s="10"/>
      <c r="Q59" s="9"/>
      <c r="R59" s="9"/>
      <c r="S59" s="9"/>
      <c r="T59" s="9"/>
      <c r="U59" s="9"/>
      <c r="V59" s="11"/>
      <c r="W59" s="14"/>
      <c r="X59" s="9" t="s">
        <v>498</v>
      </c>
      <c r="Y59" s="9"/>
      <c r="Z59" s="9"/>
      <c r="AA59" s="9"/>
      <c r="AB59" s="9"/>
      <c r="AC59" s="9"/>
      <c r="AD59" s="9"/>
      <c r="AE59" s="9"/>
      <c r="AF59" s="5"/>
      <c r="AG59" s="5"/>
      <c r="AH59" s="5"/>
      <c r="AI59" s="5"/>
      <c r="AJ59" s="5"/>
      <c r="AK59" s="5"/>
      <c r="AL59" s="5"/>
      <c r="AM59" s="5"/>
      <c r="AN59" s="5"/>
    </row>
    <row r="60" spans="1:40" ht="15" hidden="1" customHeight="1" x14ac:dyDescent="0.2">
      <c r="A60" s="5"/>
      <c r="B60" s="346" t="s">
        <v>80</v>
      </c>
      <c r="C60" s="80" t="s">
        <v>82</v>
      </c>
      <c r="D60" s="8" t="s">
        <v>402</v>
      </c>
      <c r="E60" s="9" t="s">
        <v>34</v>
      </c>
      <c r="F60" s="9" t="s">
        <v>85</v>
      </c>
      <c r="G60" s="9"/>
      <c r="H60" s="9"/>
      <c r="I60" s="9"/>
      <c r="J60" s="9"/>
      <c r="K60" s="9"/>
      <c r="L60" s="9"/>
      <c r="M60" s="9"/>
      <c r="N60" s="9"/>
      <c r="O60" s="9"/>
      <c r="P60" s="17" t="s">
        <v>452</v>
      </c>
      <c r="Q60" s="9" t="s">
        <v>84</v>
      </c>
      <c r="R60" s="9" t="s">
        <v>11</v>
      </c>
      <c r="S60" s="9" t="s">
        <v>11</v>
      </c>
      <c r="T60" s="9" t="s">
        <v>33</v>
      </c>
      <c r="U60" s="9" t="s">
        <v>436</v>
      </c>
      <c r="V60" s="18" t="s">
        <v>13</v>
      </c>
      <c r="W60" s="12" t="str">
        <f t="shared" ref="W60:W93" si="4">IF(P60="","-",CONCATENATE(P60,"-",Q60,"-",R60,"-",S60,"-",T60,"-",U60,"-",V60))</f>
        <v>XVNT-TED-ZZ-ZZ-M3-G2-0001</v>
      </c>
      <c r="X60" s="9" t="s">
        <v>498</v>
      </c>
      <c r="Y60" s="9">
        <v>90</v>
      </c>
      <c r="Z60" s="1">
        <v>200</v>
      </c>
      <c r="AA60" s="1">
        <v>200</v>
      </c>
      <c r="AB60" s="9" t="s">
        <v>411</v>
      </c>
      <c r="AC60" s="9">
        <v>30</v>
      </c>
      <c r="AD60" s="1">
        <v>200</v>
      </c>
      <c r="AE60" s="1">
        <v>200</v>
      </c>
      <c r="AF60" s="5"/>
      <c r="AG60" s="5"/>
      <c r="AH60" s="5"/>
      <c r="AI60" s="5"/>
      <c r="AJ60" s="5"/>
      <c r="AK60" s="5"/>
      <c r="AL60" s="5"/>
      <c r="AM60" s="5"/>
      <c r="AN60" s="5"/>
    </row>
    <row r="61" spans="1:40" ht="15" hidden="1" customHeight="1" x14ac:dyDescent="0.2">
      <c r="A61" s="5"/>
      <c r="B61" s="347"/>
      <c r="C61" s="80" t="s">
        <v>396</v>
      </c>
      <c r="D61" s="8" t="s">
        <v>403</v>
      </c>
      <c r="E61" s="9" t="s">
        <v>34</v>
      </c>
      <c r="F61" s="9" t="s">
        <v>85</v>
      </c>
      <c r="G61" s="9"/>
      <c r="H61" s="9"/>
      <c r="I61" s="9"/>
      <c r="J61" s="9"/>
      <c r="K61" s="9"/>
      <c r="L61" s="9"/>
      <c r="M61" s="9"/>
      <c r="N61" s="9"/>
      <c r="O61" s="9"/>
      <c r="P61" s="17" t="s">
        <v>452</v>
      </c>
      <c r="Q61" s="9" t="s">
        <v>84</v>
      </c>
      <c r="R61" s="9" t="s">
        <v>11</v>
      </c>
      <c r="S61" s="9" t="s">
        <v>11</v>
      </c>
      <c r="T61" s="9" t="s">
        <v>33</v>
      </c>
      <c r="U61" s="9" t="s">
        <v>436</v>
      </c>
      <c r="V61" s="18" t="s">
        <v>13</v>
      </c>
      <c r="W61" s="12" t="str">
        <f t="shared" si="4"/>
        <v>XVNT-TED-ZZ-ZZ-M3-G2-0001</v>
      </c>
      <c r="X61" s="9" t="s">
        <v>498</v>
      </c>
      <c r="Y61" s="9">
        <v>90</v>
      </c>
      <c r="Z61" s="1">
        <v>200</v>
      </c>
      <c r="AA61" s="1">
        <v>200</v>
      </c>
      <c r="AB61" s="9" t="s">
        <v>411</v>
      </c>
      <c r="AC61" s="9">
        <v>30</v>
      </c>
      <c r="AD61" s="1">
        <v>200</v>
      </c>
      <c r="AE61" s="1">
        <v>200</v>
      </c>
      <c r="AF61" s="5"/>
      <c r="AG61" s="5"/>
      <c r="AH61" s="5"/>
      <c r="AI61" s="5"/>
      <c r="AJ61" s="5"/>
      <c r="AK61" s="5"/>
      <c r="AL61" s="5"/>
      <c r="AM61" s="5"/>
      <c r="AN61" s="5"/>
    </row>
    <row r="62" spans="1:40" ht="15" hidden="1" customHeight="1" x14ac:dyDescent="0.2">
      <c r="A62" s="5"/>
      <c r="B62" s="347"/>
      <c r="C62" s="80" t="s">
        <v>395</v>
      </c>
      <c r="D62" s="8" t="s">
        <v>404</v>
      </c>
      <c r="E62" s="9" t="s">
        <v>34</v>
      </c>
      <c r="F62" s="9" t="s">
        <v>85</v>
      </c>
      <c r="G62" s="9"/>
      <c r="H62" s="9"/>
      <c r="I62" s="9"/>
      <c r="J62" s="9"/>
      <c r="K62" s="9"/>
      <c r="L62" s="9"/>
      <c r="M62" s="9"/>
      <c r="N62" s="9"/>
      <c r="O62" s="9"/>
      <c r="P62" s="17" t="s">
        <v>452</v>
      </c>
      <c r="Q62" s="9" t="s">
        <v>84</v>
      </c>
      <c r="R62" s="9" t="s">
        <v>11</v>
      </c>
      <c r="S62" s="9" t="s">
        <v>11</v>
      </c>
      <c r="T62" s="9" t="s">
        <v>33</v>
      </c>
      <c r="U62" s="9" t="s">
        <v>436</v>
      </c>
      <c r="V62" s="18" t="s">
        <v>13</v>
      </c>
      <c r="W62" s="12" t="str">
        <f t="shared" si="4"/>
        <v>XVNT-TED-ZZ-ZZ-M3-G2-0001</v>
      </c>
      <c r="X62" s="9" t="s">
        <v>498</v>
      </c>
      <c r="Y62" s="9">
        <v>90</v>
      </c>
      <c r="Z62" s="1">
        <v>200</v>
      </c>
      <c r="AA62" s="1">
        <v>200</v>
      </c>
      <c r="AB62" s="9" t="s">
        <v>411</v>
      </c>
      <c r="AC62" s="9">
        <v>30</v>
      </c>
      <c r="AD62" s="1">
        <v>200</v>
      </c>
      <c r="AE62" s="1">
        <v>200</v>
      </c>
      <c r="AF62" s="5"/>
      <c r="AG62" s="5"/>
      <c r="AH62" s="5"/>
      <c r="AI62" s="5"/>
      <c r="AJ62" s="5"/>
      <c r="AK62" s="5"/>
      <c r="AL62" s="5"/>
      <c r="AM62" s="5"/>
      <c r="AN62" s="5"/>
    </row>
    <row r="63" spans="1:40" ht="15" hidden="1" customHeight="1" x14ac:dyDescent="0.2">
      <c r="A63" s="5"/>
      <c r="B63" s="54" t="s">
        <v>83</v>
      </c>
      <c r="C63" s="13" t="s">
        <v>21</v>
      </c>
      <c r="D63" s="8" t="s">
        <v>405</v>
      </c>
      <c r="E63" s="9" t="s">
        <v>34</v>
      </c>
      <c r="F63" s="9" t="s">
        <v>85</v>
      </c>
      <c r="G63" s="9"/>
      <c r="H63" s="9"/>
      <c r="I63" s="9"/>
      <c r="J63" s="9"/>
      <c r="K63" s="9"/>
      <c r="L63" s="9"/>
      <c r="M63" s="9"/>
      <c r="N63" s="9"/>
      <c r="O63" s="9"/>
      <c r="P63" s="17" t="s">
        <v>452</v>
      </c>
      <c r="Q63" s="9" t="s">
        <v>84</v>
      </c>
      <c r="R63" s="9" t="s">
        <v>11</v>
      </c>
      <c r="S63" s="9" t="s">
        <v>11</v>
      </c>
      <c r="T63" s="9" t="s">
        <v>20</v>
      </c>
      <c r="U63" s="9" t="s">
        <v>437</v>
      </c>
      <c r="V63" s="18" t="s">
        <v>13</v>
      </c>
      <c r="W63" s="12" t="str">
        <f t="shared" si="4"/>
        <v>XVNT-TED-ZZ-ZZ-CM-Z2-0001</v>
      </c>
      <c r="X63" s="9" t="s">
        <v>498</v>
      </c>
      <c r="Y63" s="9">
        <v>180</v>
      </c>
      <c r="Z63" s="1">
        <v>300</v>
      </c>
      <c r="AA63" s="1">
        <v>300</v>
      </c>
      <c r="AB63" s="9" t="s">
        <v>411</v>
      </c>
      <c r="AC63" s="9">
        <v>30</v>
      </c>
      <c r="AD63" s="1">
        <v>300</v>
      </c>
      <c r="AE63" s="1">
        <v>300</v>
      </c>
      <c r="AF63" s="5"/>
      <c r="AG63" s="19"/>
      <c r="AH63" s="5"/>
      <c r="AI63" s="5"/>
      <c r="AJ63" s="5"/>
      <c r="AK63" s="5"/>
      <c r="AL63" s="5"/>
      <c r="AM63" s="5"/>
      <c r="AN63" s="5"/>
    </row>
    <row r="64" spans="1:40" ht="15" hidden="1" customHeight="1" x14ac:dyDescent="0.2">
      <c r="A64" s="5"/>
      <c r="B64" s="348" t="s">
        <v>406</v>
      </c>
      <c r="C64" s="349" t="s">
        <v>308</v>
      </c>
      <c r="D64" s="8" t="s">
        <v>464</v>
      </c>
      <c r="E64" s="9"/>
      <c r="F64" s="9"/>
      <c r="G64" s="9"/>
      <c r="H64" s="9"/>
      <c r="I64" s="9"/>
      <c r="J64" s="9"/>
      <c r="K64" s="9"/>
      <c r="L64" s="9"/>
      <c r="M64" s="9"/>
      <c r="N64" s="9"/>
      <c r="O64" s="9"/>
      <c r="P64" s="17"/>
      <c r="Q64" s="9"/>
      <c r="R64" s="9"/>
      <c r="S64" s="9"/>
      <c r="T64" s="9"/>
      <c r="U64" s="9"/>
      <c r="V64" s="18"/>
      <c r="W64" s="12"/>
      <c r="X64" s="9" t="s">
        <v>498</v>
      </c>
      <c r="Y64" s="9"/>
      <c r="Z64" s="1"/>
      <c r="AA64" s="1"/>
      <c r="AB64" s="9"/>
      <c r="AC64" s="9"/>
      <c r="AD64" s="1"/>
      <c r="AE64" s="1"/>
      <c r="AF64" s="5"/>
      <c r="AG64" s="19"/>
      <c r="AH64" s="5"/>
      <c r="AI64" s="5"/>
      <c r="AJ64" s="5"/>
      <c r="AK64" s="5"/>
      <c r="AL64" s="5"/>
      <c r="AM64" s="5"/>
      <c r="AN64" s="5"/>
    </row>
    <row r="65" spans="1:40" ht="15" hidden="1" customHeight="1" x14ac:dyDescent="0.2">
      <c r="A65" s="5"/>
      <c r="B65" s="348"/>
      <c r="C65" s="350"/>
      <c r="D65" s="8" t="s">
        <v>465</v>
      </c>
      <c r="E65" s="9"/>
      <c r="F65" s="9"/>
      <c r="G65" s="9"/>
      <c r="H65" s="9"/>
      <c r="I65" s="9"/>
      <c r="J65" s="9"/>
      <c r="K65" s="9"/>
      <c r="L65" s="9"/>
      <c r="M65" s="9"/>
      <c r="N65" s="9"/>
      <c r="O65" s="9"/>
      <c r="P65" s="17"/>
      <c r="Q65" s="9"/>
      <c r="R65" s="9"/>
      <c r="S65" s="9"/>
      <c r="T65" s="9"/>
      <c r="U65" s="9"/>
      <c r="V65" s="18"/>
      <c r="W65" s="12"/>
      <c r="X65" s="9" t="s">
        <v>498</v>
      </c>
      <c r="Y65" s="9"/>
      <c r="Z65" s="1"/>
      <c r="AA65" s="1"/>
      <c r="AB65" s="9"/>
      <c r="AC65" s="9"/>
      <c r="AD65" s="1"/>
      <c r="AE65" s="1"/>
      <c r="AF65" s="5"/>
      <c r="AG65" s="19"/>
      <c r="AH65" s="5"/>
      <c r="AI65" s="5"/>
      <c r="AJ65" s="5"/>
      <c r="AK65" s="5"/>
      <c r="AL65" s="5"/>
      <c r="AM65" s="5"/>
      <c r="AN65" s="5"/>
    </row>
    <row r="66" spans="1:40" ht="15" hidden="1" customHeight="1" x14ac:dyDescent="0.2">
      <c r="A66" s="3"/>
      <c r="B66" s="348"/>
      <c r="C66" s="349" t="s">
        <v>87</v>
      </c>
      <c r="D66" s="8" t="s">
        <v>466</v>
      </c>
      <c r="E66" s="9" t="s">
        <v>34</v>
      </c>
      <c r="F66" s="9" t="s">
        <v>86</v>
      </c>
      <c r="G66" s="9"/>
      <c r="H66" s="9"/>
      <c r="I66" s="9"/>
      <c r="J66" s="9"/>
      <c r="K66" s="9"/>
      <c r="L66" s="9"/>
      <c r="M66" s="9"/>
      <c r="N66" s="9"/>
      <c r="O66" s="9"/>
      <c r="P66" s="17" t="s">
        <v>425</v>
      </c>
      <c r="Q66" s="9" t="s">
        <v>84</v>
      </c>
      <c r="R66" s="9" t="s">
        <v>391</v>
      </c>
      <c r="S66" s="9" t="s">
        <v>11</v>
      </c>
      <c r="T66" s="9" t="s">
        <v>33</v>
      </c>
      <c r="U66" s="9" t="s">
        <v>443</v>
      </c>
      <c r="V66" s="11" t="s">
        <v>13</v>
      </c>
      <c r="W66" s="12" t="str">
        <f t="shared" ref="W66:W69" si="5">IF(P66="","-",CONCATENATE(P66,"-",Q66,"-",R66,"-",S66,"-",T66,"-",U66,"-",V66))</f>
        <v>RR4.P3.4-TED-CSGT-ZZ-M3-E3-0001</v>
      </c>
      <c r="X66" s="9" t="s">
        <v>498</v>
      </c>
      <c r="Y66" s="9">
        <v>160</v>
      </c>
      <c r="Z66" s="1">
        <v>300</v>
      </c>
      <c r="AA66" s="1">
        <v>300</v>
      </c>
      <c r="AB66" s="9" t="s">
        <v>411</v>
      </c>
      <c r="AC66" s="9">
        <v>30</v>
      </c>
      <c r="AD66" s="1">
        <v>300</v>
      </c>
      <c r="AE66" s="1">
        <v>300</v>
      </c>
      <c r="AF66" s="5"/>
      <c r="AG66" s="19"/>
      <c r="AH66" s="5"/>
      <c r="AI66" s="5"/>
      <c r="AJ66" s="5"/>
      <c r="AK66" s="5"/>
      <c r="AL66" s="5"/>
      <c r="AM66" s="5"/>
      <c r="AN66" s="5"/>
    </row>
    <row r="67" spans="1:40" ht="15" hidden="1" customHeight="1" x14ac:dyDescent="0.2">
      <c r="A67" s="20"/>
      <c r="B67" s="348"/>
      <c r="C67" s="350"/>
      <c r="D67" s="8" t="s">
        <v>467</v>
      </c>
      <c r="E67" s="9" t="s">
        <v>34</v>
      </c>
      <c r="F67" s="9" t="s">
        <v>86</v>
      </c>
      <c r="G67" s="9"/>
      <c r="H67" s="9"/>
      <c r="I67" s="9"/>
      <c r="J67" s="9"/>
      <c r="K67" s="9"/>
      <c r="L67" s="9"/>
      <c r="M67" s="9"/>
      <c r="N67" s="9"/>
      <c r="O67" s="9"/>
      <c r="P67" s="17" t="s">
        <v>425</v>
      </c>
      <c r="Q67" s="9" t="s">
        <v>84</v>
      </c>
      <c r="R67" s="9" t="s">
        <v>391</v>
      </c>
      <c r="S67" s="9" t="s">
        <v>11</v>
      </c>
      <c r="T67" s="9" t="s">
        <v>33</v>
      </c>
      <c r="U67" s="9" t="s">
        <v>443</v>
      </c>
      <c r="V67" s="11" t="s">
        <v>17</v>
      </c>
      <c r="W67" s="12" t="str">
        <f t="shared" si="5"/>
        <v>RR4.P3.4-TED-CSGT-ZZ-M3-E3-0002</v>
      </c>
      <c r="X67" s="9" t="s">
        <v>498</v>
      </c>
      <c r="Y67" s="9">
        <v>160</v>
      </c>
      <c r="Z67" s="1">
        <v>300</v>
      </c>
      <c r="AA67" s="1">
        <v>300</v>
      </c>
      <c r="AB67" s="9" t="s">
        <v>411</v>
      </c>
      <c r="AC67" s="9">
        <v>30</v>
      </c>
      <c r="AD67" s="1">
        <v>300</v>
      </c>
      <c r="AE67" s="1">
        <v>300</v>
      </c>
      <c r="AF67" s="5"/>
      <c r="AG67" s="19"/>
      <c r="AH67" s="5"/>
      <c r="AI67" s="5"/>
      <c r="AJ67" s="5"/>
      <c r="AK67" s="5"/>
      <c r="AL67" s="5"/>
      <c r="AM67" s="5"/>
      <c r="AN67" s="5"/>
    </row>
    <row r="68" spans="1:40" ht="15" hidden="1" customHeight="1" x14ac:dyDescent="0.2">
      <c r="A68" s="3"/>
      <c r="B68" s="348"/>
      <c r="C68" s="349" t="s">
        <v>48</v>
      </c>
      <c r="D68" s="8" t="s">
        <v>468</v>
      </c>
      <c r="E68" s="9" t="s">
        <v>34</v>
      </c>
      <c r="F68" s="9" t="s">
        <v>408</v>
      </c>
      <c r="G68" s="9"/>
      <c r="H68" s="9"/>
      <c r="I68" s="9"/>
      <c r="J68" s="9"/>
      <c r="K68" s="9"/>
      <c r="L68" s="9"/>
      <c r="M68" s="9"/>
      <c r="N68" s="9"/>
      <c r="O68" s="9"/>
      <c r="P68" s="17" t="s">
        <v>425</v>
      </c>
      <c r="Q68" s="9" t="s">
        <v>84</v>
      </c>
      <c r="R68" s="9" t="s">
        <v>47</v>
      </c>
      <c r="S68" s="9" t="s">
        <v>11</v>
      </c>
      <c r="T68" s="9" t="s">
        <v>33</v>
      </c>
      <c r="U68" s="9" t="s">
        <v>444</v>
      </c>
      <c r="V68" s="11" t="s">
        <v>13</v>
      </c>
      <c r="W68" s="12" t="str">
        <f t="shared" si="5"/>
        <v>RR4.P3.4-TED-ATGT-ZZ-M3-C3-0001</v>
      </c>
      <c r="X68" s="9" t="s">
        <v>498</v>
      </c>
      <c r="Y68" s="9">
        <v>160</v>
      </c>
      <c r="Z68" s="1">
        <v>300</v>
      </c>
      <c r="AA68" s="1">
        <v>300</v>
      </c>
      <c r="AB68" s="9" t="s">
        <v>411</v>
      </c>
      <c r="AC68" s="9">
        <v>30</v>
      </c>
      <c r="AD68" s="1">
        <v>300</v>
      </c>
      <c r="AE68" s="1">
        <v>300</v>
      </c>
      <c r="AF68" s="5"/>
      <c r="AG68" s="19"/>
      <c r="AH68" s="5"/>
      <c r="AI68" s="5"/>
      <c r="AJ68" s="5"/>
      <c r="AK68" s="5"/>
      <c r="AL68" s="5"/>
      <c r="AM68" s="5"/>
      <c r="AN68" s="5"/>
    </row>
    <row r="69" spans="1:40" ht="15" hidden="1" customHeight="1" x14ac:dyDescent="0.2">
      <c r="A69" s="3"/>
      <c r="B69" s="348"/>
      <c r="C69" s="350"/>
      <c r="D69" s="8" t="s">
        <v>469</v>
      </c>
      <c r="E69" s="9" t="s">
        <v>34</v>
      </c>
      <c r="F69" s="9" t="s">
        <v>408</v>
      </c>
      <c r="G69" s="9"/>
      <c r="H69" s="9"/>
      <c r="I69" s="9"/>
      <c r="J69" s="9"/>
      <c r="K69" s="9"/>
      <c r="L69" s="9"/>
      <c r="M69" s="9"/>
      <c r="N69" s="9"/>
      <c r="O69" s="9"/>
      <c r="P69" s="17" t="s">
        <v>425</v>
      </c>
      <c r="Q69" s="9" t="s">
        <v>84</v>
      </c>
      <c r="R69" s="9" t="s">
        <v>47</v>
      </c>
      <c r="S69" s="9" t="s">
        <v>11</v>
      </c>
      <c r="T69" s="9" t="s">
        <v>33</v>
      </c>
      <c r="U69" s="9" t="s">
        <v>444</v>
      </c>
      <c r="V69" s="11" t="s">
        <v>13</v>
      </c>
      <c r="W69" s="12" t="str">
        <f t="shared" si="5"/>
        <v>RR4.P3.4-TED-ATGT-ZZ-M3-C3-0001</v>
      </c>
      <c r="X69" s="9" t="s">
        <v>498</v>
      </c>
      <c r="Y69" s="9">
        <v>160</v>
      </c>
      <c r="Z69" s="1">
        <v>300</v>
      </c>
      <c r="AA69" s="1">
        <v>300</v>
      </c>
      <c r="AB69" s="9" t="s">
        <v>411</v>
      </c>
      <c r="AC69" s="9">
        <v>30</v>
      </c>
      <c r="AD69" s="1">
        <v>300</v>
      </c>
      <c r="AE69" s="1">
        <v>300</v>
      </c>
      <c r="AF69" s="5"/>
      <c r="AG69" s="19"/>
      <c r="AH69" s="5"/>
      <c r="AI69" s="5"/>
      <c r="AJ69" s="5"/>
      <c r="AK69" s="5"/>
      <c r="AL69" s="5"/>
      <c r="AM69" s="5"/>
      <c r="AN69" s="5"/>
    </row>
    <row r="70" spans="1:40" ht="15" hidden="1" customHeight="1" x14ac:dyDescent="0.2">
      <c r="A70" s="3"/>
      <c r="B70" s="337" t="s">
        <v>426</v>
      </c>
      <c r="C70" s="339" t="s">
        <v>383</v>
      </c>
      <c r="D70" s="8" t="s">
        <v>409</v>
      </c>
      <c r="E70" s="9" t="s">
        <v>34</v>
      </c>
      <c r="F70" s="9" t="s">
        <v>86</v>
      </c>
      <c r="G70" s="9"/>
      <c r="H70" s="9"/>
      <c r="I70" s="9"/>
      <c r="J70" s="9"/>
      <c r="K70" s="9"/>
      <c r="L70" s="9"/>
      <c r="M70" s="9"/>
      <c r="N70" s="9"/>
      <c r="O70" s="9"/>
      <c r="P70" s="17" t="s">
        <v>452</v>
      </c>
      <c r="Q70" s="9" t="s">
        <v>84</v>
      </c>
      <c r="R70" s="9" t="s">
        <v>382</v>
      </c>
      <c r="S70" s="9" t="s">
        <v>394</v>
      </c>
      <c r="T70" s="9" t="s">
        <v>33</v>
      </c>
      <c r="U70" s="9" t="s">
        <v>438</v>
      </c>
      <c r="V70" s="18" t="s">
        <v>13</v>
      </c>
      <c r="W70" s="12" t="str">
        <f t="shared" si="4"/>
        <v>XVNT-TED-CVD1-KCD -M3-S2-0001</v>
      </c>
      <c r="X70" s="9" t="s">
        <v>498</v>
      </c>
      <c r="Y70" s="9">
        <v>120</v>
      </c>
      <c r="Z70" s="1">
        <v>300</v>
      </c>
      <c r="AA70" s="1">
        <v>300</v>
      </c>
      <c r="AB70" s="9" t="s">
        <v>411</v>
      </c>
      <c r="AC70" s="9">
        <v>30</v>
      </c>
      <c r="AD70" s="1">
        <v>300</v>
      </c>
      <c r="AE70" s="1">
        <v>300</v>
      </c>
      <c r="AF70" s="5"/>
      <c r="AG70" s="19"/>
      <c r="AH70" s="5"/>
      <c r="AI70" s="5"/>
      <c r="AJ70" s="3"/>
      <c r="AK70" s="5"/>
      <c r="AL70" s="5"/>
      <c r="AM70" s="3"/>
      <c r="AN70" s="5"/>
    </row>
    <row r="71" spans="1:40" ht="15" hidden="1" customHeight="1" x14ac:dyDescent="0.2">
      <c r="A71" s="3"/>
      <c r="B71" s="338"/>
      <c r="C71" s="340"/>
      <c r="D71" s="8" t="s">
        <v>393</v>
      </c>
      <c r="E71" s="9" t="s">
        <v>34</v>
      </c>
      <c r="F71" s="9" t="s">
        <v>86</v>
      </c>
      <c r="G71" s="9"/>
      <c r="H71" s="9"/>
      <c r="I71" s="9"/>
      <c r="J71" s="9"/>
      <c r="K71" s="9"/>
      <c r="L71" s="9"/>
      <c r="M71" s="9"/>
      <c r="N71" s="9"/>
      <c r="O71" s="9"/>
      <c r="P71" s="17" t="s">
        <v>452</v>
      </c>
      <c r="Q71" s="9" t="s">
        <v>84</v>
      </c>
      <c r="R71" s="9" t="s">
        <v>382</v>
      </c>
      <c r="S71" s="9" t="s">
        <v>392</v>
      </c>
      <c r="T71" s="9" t="s">
        <v>33</v>
      </c>
      <c r="U71" s="9" t="s">
        <v>438</v>
      </c>
      <c r="V71" s="18" t="s">
        <v>13</v>
      </c>
      <c r="W71" s="12" t="str">
        <f t="shared" si="4"/>
        <v>XVNT-TED-CVD1-KCT -M3-S2-0001</v>
      </c>
      <c r="X71" s="9" t="s">
        <v>498</v>
      </c>
      <c r="Y71" s="9">
        <v>120</v>
      </c>
      <c r="Z71" s="1">
        <v>300</v>
      </c>
      <c r="AA71" s="1">
        <v>300</v>
      </c>
      <c r="AB71" s="9" t="s">
        <v>411</v>
      </c>
      <c r="AC71" s="9">
        <v>30</v>
      </c>
      <c r="AD71" s="1">
        <v>300</v>
      </c>
      <c r="AE71" s="1">
        <v>300</v>
      </c>
      <c r="AF71" s="5"/>
      <c r="AG71" s="19"/>
      <c r="AH71" s="5"/>
      <c r="AI71" s="5"/>
      <c r="AJ71" s="3"/>
      <c r="AK71" s="5"/>
      <c r="AL71" s="5"/>
      <c r="AM71" s="3"/>
      <c r="AN71" s="5"/>
    </row>
    <row r="72" spans="1:40" ht="15" hidden="1" customHeight="1" x14ac:dyDescent="0.2">
      <c r="A72" s="3"/>
      <c r="B72" s="338"/>
      <c r="C72" s="340"/>
      <c r="D72" s="8" t="s">
        <v>413</v>
      </c>
      <c r="E72" s="9" t="s">
        <v>34</v>
      </c>
      <c r="F72" s="9" t="s">
        <v>86</v>
      </c>
      <c r="G72" s="9"/>
      <c r="H72" s="9"/>
      <c r="I72" s="9"/>
      <c r="J72" s="9"/>
      <c r="K72" s="9"/>
      <c r="L72" s="9"/>
      <c r="M72" s="9"/>
      <c r="N72" s="9"/>
      <c r="O72" s="9"/>
      <c r="P72" s="17" t="s">
        <v>452</v>
      </c>
      <c r="Q72" s="9" t="s">
        <v>84</v>
      </c>
      <c r="R72" s="9" t="s">
        <v>382</v>
      </c>
      <c r="S72" s="9" t="s">
        <v>46</v>
      </c>
      <c r="T72" s="9" t="s">
        <v>33</v>
      </c>
      <c r="U72" s="9" t="s">
        <v>438</v>
      </c>
      <c r="V72" s="18" t="s">
        <v>13</v>
      </c>
      <c r="W72" s="12" t="str">
        <f t="shared" si="4"/>
        <v>XVNT-TED-CVD1-MIS-M3-S2-0001</v>
      </c>
      <c r="X72" s="9" t="s">
        <v>498</v>
      </c>
      <c r="Y72" s="9">
        <v>120</v>
      </c>
      <c r="Z72" s="1">
        <v>300</v>
      </c>
      <c r="AA72" s="1">
        <v>300</v>
      </c>
      <c r="AB72" s="9" t="s">
        <v>411</v>
      </c>
      <c r="AC72" s="9">
        <v>30</v>
      </c>
      <c r="AD72" s="1">
        <v>300</v>
      </c>
      <c r="AE72" s="1">
        <v>300</v>
      </c>
      <c r="AF72" s="5"/>
      <c r="AG72" s="19"/>
      <c r="AH72" s="5"/>
      <c r="AI72" s="5"/>
      <c r="AJ72" s="3"/>
      <c r="AK72" s="5"/>
      <c r="AL72" s="5"/>
      <c r="AM72" s="3"/>
      <c r="AN72" s="5"/>
    </row>
    <row r="73" spans="1:40" ht="15" hidden="1" customHeight="1" x14ac:dyDescent="0.2">
      <c r="A73" s="3"/>
      <c r="B73" s="338"/>
      <c r="C73" s="341"/>
      <c r="D73" s="8" t="s">
        <v>308</v>
      </c>
      <c r="E73" s="9" t="s">
        <v>34</v>
      </c>
      <c r="F73" s="9" t="s">
        <v>86</v>
      </c>
      <c r="G73" s="9"/>
      <c r="H73" s="9"/>
      <c r="I73" s="9"/>
      <c r="J73" s="9"/>
      <c r="K73" s="9"/>
      <c r="L73" s="9"/>
      <c r="M73" s="9"/>
      <c r="N73" s="9"/>
      <c r="O73" s="9"/>
      <c r="P73" s="17" t="s">
        <v>452</v>
      </c>
      <c r="Q73" s="9" t="s">
        <v>84</v>
      </c>
      <c r="R73" s="9" t="s">
        <v>382</v>
      </c>
      <c r="S73" s="9" t="s">
        <v>46</v>
      </c>
      <c r="T73" s="9" t="s">
        <v>33</v>
      </c>
      <c r="U73" s="9" t="s">
        <v>438</v>
      </c>
      <c r="V73" s="18" t="s">
        <v>13</v>
      </c>
      <c r="W73" s="12" t="str">
        <f t="shared" si="4"/>
        <v>XVNT-TED-CVD1-MIS-M3-S2-0001</v>
      </c>
      <c r="X73" s="9" t="s">
        <v>498</v>
      </c>
      <c r="Y73" s="9">
        <v>120</v>
      </c>
      <c r="Z73" s="1">
        <v>300</v>
      </c>
      <c r="AA73" s="1">
        <v>300</v>
      </c>
      <c r="AB73" s="9" t="s">
        <v>411</v>
      </c>
      <c r="AC73" s="9">
        <v>30</v>
      </c>
      <c r="AD73" s="1">
        <v>300</v>
      </c>
      <c r="AE73" s="1">
        <v>300</v>
      </c>
      <c r="AF73" s="5"/>
      <c r="AG73" s="19"/>
      <c r="AH73" s="5"/>
      <c r="AI73" s="5"/>
      <c r="AJ73" s="3"/>
      <c r="AK73" s="5"/>
      <c r="AL73" s="5"/>
      <c r="AM73" s="3"/>
      <c r="AN73" s="5"/>
    </row>
    <row r="74" spans="1:40" ht="15" hidden="1" customHeight="1" x14ac:dyDescent="0.2">
      <c r="A74" s="3"/>
      <c r="B74" s="338"/>
      <c r="C74" s="339" t="s">
        <v>387</v>
      </c>
      <c r="D74" s="8" t="s">
        <v>409</v>
      </c>
      <c r="E74" s="9" t="s">
        <v>34</v>
      </c>
      <c r="F74" s="9" t="s">
        <v>86</v>
      </c>
      <c r="G74" s="9"/>
      <c r="H74" s="9"/>
      <c r="I74" s="9"/>
      <c r="J74" s="9"/>
      <c r="K74" s="9"/>
      <c r="L74" s="9"/>
      <c r="M74" s="9"/>
      <c r="N74" s="9"/>
      <c r="O74" s="9"/>
      <c r="P74" s="17" t="s">
        <v>452</v>
      </c>
      <c r="Q74" s="9" t="s">
        <v>84</v>
      </c>
      <c r="R74" s="9" t="s">
        <v>386</v>
      </c>
      <c r="S74" s="9" t="s">
        <v>394</v>
      </c>
      <c r="T74" s="9" t="s">
        <v>33</v>
      </c>
      <c r="U74" s="9" t="s">
        <v>438</v>
      </c>
      <c r="V74" s="18" t="s">
        <v>13</v>
      </c>
      <c r="W74" s="12" t="str">
        <f t="shared" si="4"/>
        <v>XVNT-TED-CBS1-KCD -M3-S2-0001</v>
      </c>
      <c r="X74" s="9" t="s">
        <v>498</v>
      </c>
      <c r="Y74" s="9">
        <v>120</v>
      </c>
      <c r="Z74" s="1">
        <v>300</v>
      </c>
      <c r="AA74" s="1">
        <v>300</v>
      </c>
      <c r="AB74" s="9" t="s">
        <v>411</v>
      </c>
      <c r="AC74" s="9">
        <v>30</v>
      </c>
      <c r="AD74" s="1">
        <v>300</v>
      </c>
      <c r="AE74" s="1">
        <v>300</v>
      </c>
      <c r="AF74" s="5"/>
      <c r="AG74" s="19"/>
      <c r="AH74" s="5"/>
      <c r="AI74" s="5"/>
      <c r="AJ74" s="3"/>
      <c r="AK74" s="5"/>
      <c r="AL74" s="5"/>
      <c r="AM74" s="3"/>
      <c r="AN74" s="5"/>
    </row>
    <row r="75" spans="1:40" ht="15" hidden="1" customHeight="1" x14ac:dyDescent="0.2">
      <c r="A75" s="3"/>
      <c r="B75" s="338"/>
      <c r="C75" s="340"/>
      <c r="D75" s="8" t="s">
        <v>393</v>
      </c>
      <c r="E75" s="9" t="s">
        <v>34</v>
      </c>
      <c r="F75" s="9" t="s">
        <v>86</v>
      </c>
      <c r="G75" s="9"/>
      <c r="H75" s="9"/>
      <c r="I75" s="9"/>
      <c r="J75" s="9"/>
      <c r="K75" s="9"/>
      <c r="L75" s="9"/>
      <c r="M75" s="9"/>
      <c r="N75" s="9"/>
      <c r="O75" s="9"/>
      <c r="P75" s="17" t="s">
        <v>452</v>
      </c>
      <c r="Q75" s="9" t="s">
        <v>84</v>
      </c>
      <c r="R75" s="9" t="s">
        <v>386</v>
      </c>
      <c r="S75" s="9" t="s">
        <v>392</v>
      </c>
      <c r="T75" s="9" t="s">
        <v>33</v>
      </c>
      <c r="U75" s="9" t="s">
        <v>438</v>
      </c>
      <c r="V75" s="18" t="s">
        <v>13</v>
      </c>
      <c r="W75" s="12" t="str">
        <f t="shared" si="4"/>
        <v>XVNT-TED-CBS1-KCT -M3-S2-0001</v>
      </c>
      <c r="X75" s="9" t="s">
        <v>498</v>
      </c>
      <c r="Y75" s="9">
        <v>120</v>
      </c>
      <c r="Z75" s="1">
        <v>300</v>
      </c>
      <c r="AA75" s="1">
        <v>300</v>
      </c>
      <c r="AB75" s="9" t="s">
        <v>411</v>
      </c>
      <c r="AC75" s="9">
        <v>30</v>
      </c>
      <c r="AD75" s="1">
        <v>300</v>
      </c>
      <c r="AE75" s="1">
        <v>300</v>
      </c>
      <c r="AF75" s="5"/>
      <c r="AG75" s="19"/>
      <c r="AH75" s="5"/>
      <c r="AI75" s="5"/>
      <c r="AJ75" s="3"/>
      <c r="AK75" s="5"/>
      <c r="AL75" s="5"/>
      <c r="AM75" s="3"/>
      <c r="AN75" s="5"/>
    </row>
    <row r="76" spans="1:40" ht="15" hidden="1" customHeight="1" x14ac:dyDescent="0.2">
      <c r="A76" s="3"/>
      <c r="B76" s="338"/>
      <c r="C76" s="340"/>
      <c r="D76" s="8" t="s">
        <v>413</v>
      </c>
      <c r="E76" s="9" t="s">
        <v>34</v>
      </c>
      <c r="F76" s="9" t="s">
        <v>86</v>
      </c>
      <c r="G76" s="9"/>
      <c r="H76" s="9"/>
      <c r="I76" s="9"/>
      <c r="J76" s="9"/>
      <c r="K76" s="9"/>
      <c r="L76" s="9"/>
      <c r="M76" s="9"/>
      <c r="N76" s="9"/>
      <c r="O76" s="9"/>
      <c r="P76" s="17" t="s">
        <v>452</v>
      </c>
      <c r="Q76" s="9" t="s">
        <v>84</v>
      </c>
      <c r="R76" s="9" t="s">
        <v>386</v>
      </c>
      <c r="S76" s="9" t="s">
        <v>46</v>
      </c>
      <c r="T76" s="9" t="s">
        <v>33</v>
      </c>
      <c r="U76" s="9" t="s">
        <v>438</v>
      </c>
      <c r="V76" s="18" t="s">
        <v>13</v>
      </c>
      <c r="W76" s="12" t="str">
        <f t="shared" si="4"/>
        <v>XVNT-TED-CBS1-MIS-M3-S2-0001</v>
      </c>
      <c r="X76" s="9" t="s">
        <v>498</v>
      </c>
      <c r="Y76" s="9">
        <v>120</v>
      </c>
      <c r="Z76" s="1">
        <v>300</v>
      </c>
      <c r="AA76" s="1">
        <v>300</v>
      </c>
      <c r="AB76" s="9" t="s">
        <v>411</v>
      </c>
      <c r="AC76" s="9">
        <v>30</v>
      </c>
      <c r="AD76" s="1">
        <v>300</v>
      </c>
      <c r="AE76" s="1">
        <v>300</v>
      </c>
      <c r="AF76" s="5"/>
      <c r="AG76" s="19"/>
      <c r="AH76" s="5"/>
      <c r="AI76" s="5"/>
      <c r="AJ76" s="3"/>
      <c r="AK76" s="5"/>
      <c r="AL76" s="5"/>
      <c r="AM76" s="3"/>
      <c r="AN76" s="5"/>
    </row>
    <row r="77" spans="1:40" ht="15" hidden="1" customHeight="1" x14ac:dyDescent="0.2">
      <c r="A77" s="3"/>
      <c r="B77" s="338"/>
      <c r="C77" s="340"/>
      <c r="D77" s="8" t="s">
        <v>308</v>
      </c>
      <c r="E77" s="9" t="s">
        <v>34</v>
      </c>
      <c r="F77" s="9" t="s">
        <v>86</v>
      </c>
      <c r="G77" s="9"/>
      <c r="H77" s="9"/>
      <c r="I77" s="9"/>
      <c r="J77" s="9"/>
      <c r="K77" s="9"/>
      <c r="L77" s="9"/>
      <c r="M77" s="9"/>
      <c r="N77" s="9"/>
      <c r="O77" s="9"/>
      <c r="P77" s="17" t="s">
        <v>452</v>
      </c>
      <c r="Q77" s="9" t="s">
        <v>84</v>
      </c>
      <c r="R77" s="9" t="s">
        <v>386</v>
      </c>
      <c r="S77" s="9" t="s">
        <v>46</v>
      </c>
      <c r="T77" s="9" t="s">
        <v>33</v>
      </c>
      <c r="U77" s="9" t="s">
        <v>438</v>
      </c>
      <c r="V77" s="18" t="s">
        <v>13</v>
      </c>
      <c r="W77" s="12" t="str">
        <f t="shared" si="4"/>
        <v>XVNT-TED-CBS1-MIS-M3-S2-0001</v>
      </c>
      <c r="X77" s="9" t="s">
        <v>498</v>
      </c>
      <c r="Y77" s="9">
        <v>120</v>
      </c>
      <c r="Z77" s="1">
        <v>300</v>
      </c>
      <c r="AA77" s="1">
        <v>300</v>
      </c>
      <c r="AB77" s="9" t="s">
        <v>411</v>
      </c>
      <c r="AC77" s="9">
        <v>30</v>
      </c>
      <c r="AD77" s="1">
        <v>300</v>
      </c>
      <c r="AE77" s="1">
        <v>300</v>
      </c>
      <c r="AF77" s="5"/>
      <c r="AG77" s="19"/>
      <c r="AH77" s="5"/>
      <c r="AI77" s="5"/>
      <c r="AJ77" s="3"/>
      <c r="AK77" s="5"/>
      <c r="AL77" s="5"/>
      <c r="AM77" s="3"/>
      <c r="AN77" s="5"/>
    </row>
    <row r="78" spans="1:40" ht="15" hidden="1" customHeight="1" x14ac:dyDescent="0.2">
      <c r="A78" s="3"/>
      <c r="B78" s="338"/>
      <c r="C78" s="339" t="s">
        <v>407</v>
      </c>
      <c r="D78" s="8" t="s">
        <v>414</v>
      </c>
      <c r="E78" s="9" t="s">
        <v>34</v>
      </c>
      <c r="F78" s="9" t="s">
        <v>86</v>
      </c>
      <c r="G78" s="9"/>
      <c r="H78" s="9"/>
      <c r="I78" s="9"/>
      <c r="J78" s="9"/>
      <c r="K78" s="9"/>
      <c r="L78" s="9"/>
      <c r="M78" s="9"/>
      <c r="N78" s="9"/>
      <c r="O78" s="9"/>
      <c r="P78" s="17" t="s">
        <v>452</v>
      </c>
      <c r="Q78" s="9" t="s">
        <v>84</v>
      </c>
      <c r="R78" s="9" t="s">
        <v>390</v>
      </c>
      <c r="S78" s="9" t="s">
        <v>394</v>
      </c>
      <c r="T78" s="9" t="s">
        <v>33</v>
      </c>
      <c r="U78" s="9" t="s">
        <v>438</v>
      </c>
      <c r="V78" s="18" t="s">
        <v>13</v>
      </c>
      <c r="W78" s="12" t="str">
        <f t="shared" si="4"/>
        <v>XVNT-TED-CCVS-KCD -M3-S2-0001</v>
      </c>
      <c r="X78" s="9" t="s">
        <v>498</v>
      </c>
      <c r="Y78" s="9">
        <v>150</v>
      </c>
      <c r="Z78" s="1">
        <v>300</v>
      </c>
      <c r="AA78" s="1">
        <v>300</v>
      </c>
      <c r="AB78" s="9" t="s">
        <v>411</v>
      </c>
      <c r="AC78" s="9">
        <v>30</v>
      </c>
      <c r="AD78" s="1">
        <v>300</v>
      </c>
      <c r="AE78" s="1">
        <v>300</v>
      </c>
      <c r="AF78" s="5"/>
      <c r="AG78" s="19"/>
      <c r="AH78" s="5"/>
      <c r="AI78" s="5"/>
      <c r="AJ78" s="3"/>
      <c r="AK78" s="5"/>
      <c r="AL78" s="5"/>
      <c r="AM78" s="3"/>
      <c r="AN78" s="5"/>
    </row>
    <row r="79" spans="1:40" ht="15" hidden="1" customHeight="1" x14ac:dyDescent="0.2">
      <c r="A79" s="3"/>
      <c r="B79" s="338"/>
      <c r="C79" s="342"/>
      <c r="D79" s="8" t="s">
        <v>415</v>
      </c>
      <c r="E79" s="9" t="s">
        <v>34</v>
      </c>
      <c r="F79" s="9" t="s">
        <v>86</v>
      </c>
      <c r="G79" s="9"/>
      <c r="H79" s="9"/>
      <c r="I79" s="9"/>
      <c r="J79" s="9"/>
      <c r="K79" s="9"/>
      <c r="L79" s="9"/>
      <c r="M79" s="9"/>
      <c r="N79" s="9"/>
      <c r="O79" s="9"/>
      <c r="P79" s="17" t="s">
        <v>452</v>
      </c>
      <c r="Q79" s="9" t="s">
        <v>84</v>
      </c>
      <c r="R79" s="9" t="s">
        <v>390</v>
      </c>
      <c r="S79" s="9" t="s">
        <v>394</v>
      </c>
      <c r="T79" s="9" t="s">
        <v>33</v>
      </c>
      <c r="U79" s="9" t="s">
        <v>438</v>
      </c>
      <c r="V79" s="18" t="s">
        <v>17</v>
      </c>
      <c r="W79" s="12" t="str">
        <f t="shared" si="4"/>
        <v>XVNT-TED-CCVS-KCD -M3-S2-0002</v>
      </c>
      <c r="X79" s="9" t="s">
        <v>498</v>
      </c>
      <c r="Y79" s="9">
        <v>150</v>
      </c>
      <c r="Z79" s="1">
        <v>300</v>
      </c>
      <c r="AA79" s="1">
        <v>300</v>
      </c>
      <c r="AB79" s="9" t="s">
        <v>411</v>
      </c>
      <c r="AC79" s="9">
        <v>30</v>
      </c>
      <c r="AD79" s="1">
        <v>300</v>
      </c>
      <c r="AE79" s="1">
        <v>300</v>
      </c>
      <c r="AF79" s="5"/>
      <c r="AG79" s="19"/>
      <c r="AH79" s="5"/>
      <c r="AI79" s="5"/>
      <c r="AJ79" s="3"/>
      <c r="AK79" s="5"/>
      <c r="AL79" s="5"/>
      <c r="AM79" s="3"/>
      <c r="AN79" s="5"/>
    </row>
    <row r="80" spans="1:40" ht="15" hidden="1" customHeight="1" x14ac:dyDescent="0.2">
      <c r="A80" s="3"/>
      <c r="B80" s="338"/>
      <c r="C80" s="342"/>
      <c r="D80" s="8" t="s">
        <v>416</v>
      </c>
      <c r="E80" s="9" t="s">
        <v>34</v>
      </c>
      <c r="F80" s="9" t="s">
        <v>86</v>
      </c>
      <c r="G80" s="9"/>
      <c r="H80" s="9"/>
      <c r="I80" s="9"/>
      <c r="J80" s="9"/>
      <c r="K80" s="9"/>
      <c r="L80" s="9"/>
      <c r="M80" s="9"/>
      <c r="N80" s="9"/>
      <c r="O80" s="9"/>
      <c r="P80" s="17" t="s">
        <v>452</v>
      </c>
      <c r="Q80" s="9" t="s">
        <v>84</v>
      </c>
      <c r="R80" s="9" t="s">
        <v>390</v>
      </c>
      <c r="S80" s="9" t="s">
        <v>394</v>
      </c>
      <c r="T80" s="9" t="s">
        <v>33</v>
      </c>
      <c r="U80" s="9" t="s">
        <v>438</v>
      </c>
      <c r="V80" s="18" t="s">
        <v>90</v>
      </c>
      <c r="W80" s="12" t="str">
        <f t="shared" si="4"/>
        <v>XVNT-TED-CCVS-KCD -M3-S2-0003</v>
      </c>
      <c r="X80" s="9" t="s">
        <v>498</v>
      </c>
      <c r="Y80" s="9">
        <v>150</v>
      </c>
      <c r="Z80" s="1">
        <v>300</v>
      </c>
      <c r="AA80" s="1">
        <v>300</v>
      </c>
      <c r="AB80" s="9" t="s">
        <v>411</v>
      </c>
      <c r="AC80" s="9">
        <v>30</v>
      </c>
      <c r="AD80" s="1">
        <v>300</v>
      </c>
      <c r="AE80" s="1">
        <v>300</v>
      </c>
      <c r="AF80" s="5"/>
      <c r="AG80" s="19"/>
      <c r="AH80" s="5"/>
      <c r="AI80" s="5"/>
      <c r="AJ80" s="3"/>
      <c r="AK80" s="5"/>
      <c r="AL80" s="5"/>
      <c r="AM80" s="3"/>
      <c r="AN80" s="5"/>
    </row>
    <row r="81" spans="1:40" ht="15" hidden="1" customHeight="1" x14ac:dyDescent="0.2">
      <c r="A81" s="3"/>
      <c r="B81" s="338"/>
      <c r="C81" s="342"/>
      <c r="D81" s="8" t="s">
        <v>417</v>
      </c>
      <c r="E81" s="9" t="s">
        <v>34</v>
      </c>
      <c r="F81" s="9" t="s">
        <v>86</v>
      </c>
      <c r="G81" s="9"/>
      <c r="H81" s="9"/>
      <c r="I81" s="9"/>
      <c r="J81" s="9"/>
      <c r="K81" s="9"/>
      <c r="L81" s="9"/>
      <c r="M81" s="9"/>
      <c r="N81" s="9"/>
      <c r="O81" s="9"/>
      <c r="P81" s="17" t="s">
        <v>452</v>
      </c>
      <c r="Q81" s="9" t="s">
        <v>84</v>
      </c>
      <c r="R81" s="9" t="s">
        <v>390</v>
      </c>
      <c r="S81" s="9" t="s">
        <v>392</v>
      </c>
      <c r="T81" s="9" t="s">
        <v>33</v>
      </c>
      <c r="U81" s="9" t="s">
        <v>438</v>
      </c>
      <c r="V81" s="18" t="s">
        <v>13</v>
      </c>
      <c r="W81" s="12" t="str">
        <f t="shared" si="4"/>
        <v>XVNT-TED-CCVS-KCT -M3-S2-0001</v>
      </c>
      <c r="X81" s="9" t="s">
        <v>498</v>
      </c>
      <c r="Y81" s="9">
        <v>150</v>
      </c>
      <c r="Z81" s="1">
        <v>300</v>
      </c>
      <c r="AA81" s="1">
        <v>300</v>
      </c>
      <c r="AB81" s="9" t="s">
        <v>411</v>
      </c>
      <c r="AC81" s="9">
        <v>30</v>
      </c>
      <c r="AD81" s="1">
        <v>300</v>
      </c>
      <c r="AE81" s="1">
        <v>300</v>
      </c>
      <c r="AF81" s="5"/>
      <c r="AG81" s="19"/>
      <c r="AH81" s="5"/>
      <c r="AI81" s="5"/>
      <c r="AJ81" s="3"/>
      <c r="AK81" s="5"/>
      <c r="AL81" s="5"/>
      <c r="AM81" s="3"/>
      <c r="AN81" s="5"/>
    </row>
    <row r="82" spans="1:40" ht="15" hidden="1" customHeight="1" x14ac:dyDescent="0.2">
      <c r="A82" s="3"/>
      <c r="B82" s="338"/>
      <c r="C82" s="342"/>
      <c r="D82" s="8" t="s">
        <v>418</v>
      </c>
      <c r="E82" s="9" t="s">
        <v>34</v>
      </c>
      <c r="F82" s="9" t="s">
        <v>86</v>
      </c>
      <c r="G82" s="9"/>
      <c r="H82" s="9"/>
      <c r="I82" s="9"/>
      <c r="J82" s="9"/>
      <c r="K82" s="9"/>
      <c r="L82" s="9"/>
      <c r="M82" s="9"/>
      <c r="N82" s="9"/>
      <c r="O82" s="9"/>
      <c r="P82" s="17" t="s">
        <v>452</v>
      </c>
      <c r="Q82" s="9" t="s">
        <v>84</v>
      </c>
      <c r="R82" s="9" t="s">
        <v>390</v>
      </c>
      <c r="S82" s="9" t="s">
        <v>392</v>
      </c>
      <c r="T82" s="9" t="s">
        <v>33</v>
      </c>
      <c r="U82" s="9" t="s">
        <v>438</v>
      </c>
      <c r="V82" s="18" t="s">
        <v>17</v>
      </c>
      <c r="W82" s="12" t="str">
        <f t="shared" si="4"/>
        <v>XVNT-TED-CCVS-KCT -M3-S2-0002</v>
      </c>
      <c r="X82" s="9" t="s">
        <v>498</v>
      </c>
      <c r="Y82" s="9">
        <v>150</v>
      </c>
      <c r="Z82" s="1">
        <v>300</v>
      </c>
      <c r="AA82" s="1">
        <v>300</v>
      </c>
      <c r="AB82" s="9" t="s">
        <v>411</v>
      </c>
      <c r="AC82" s="9">
        <v>30</v>
      </c>
      <c r="AD82" s="1">
        <v>300</v>
      </c>
      <c r="AE82" s="1">
        <v>300</v>
      </c>
      <c r="AF82" s="5"/>
      <c r="AG82" s="19"/>
      <c r="AH82" s="5"/>
      <c r="AI82" s="5"/>
      <c r="AJ82" s="3"/>
      <c r="AK82" s="5"/>
      <c r="AL82" s="5"/>
      <c r="AM82" s="3"/>
      <c r="AN82" s="5"/>
    </row>
    <row r="83" spans="1:40" ht="15" hidden="1" customHeight="1" x14ac:dyDescent="0.2">
      <c r="A83" s="3"/>
      <c r="B83" s="338"/>
      <c r="C83" s="342"/>
      <c r="D83" s="8" t="s">
        <v>419</v>
      </c>
      <c r="E83" s="9" t="s">
        <v>34</v>
      </c>
      <c r="F83" s="9" t="s">
        <v>86</v>
      </c>
      <c r="G83" s="9"/>
      <c r="H83" s="9"/>
      <c r="I83" s="9"/>
      <c r="J83" s="9"/>
      <c r="K83" s="9"/>
      <c r="L83" s="9"/>
      <c r="M83" s="9"/>
      <c r="N83" s="9"/>
      <c r="O83" s="9"/>
      <c r="P83" s="17" t="s">
        <v>452</v>
      </c>
      <c r="Q83" s="9" t="s">
        <v>84</v>
      </c>
      <c r="R83" s="9" t="s">
        <v>390</v>
      </c>
      <c r="S83" s="9" t="s">
        <v>392</v>
      </c>
      <c r="T83" s="9" t="s">
        <v>33</v>
      </c>
      <c r="U83" s="9" t="s">
        <v>438</v>
      </c>
      <c r="V83" s="18" t="s">
        <v>90</v>
      </c>
      <c r="W83" s="12" t="str">
        <f t="shared" si="4"/>
        <v>XVNT-TED-CCVS-KCT -M3-S2-0003</v>
      </c>
      <c r="X83" s="9" t="s">
        <v>498</v>
      </c>
      <c r="Y83" s="9">
        <v>150</v>
      </c>
      <c r="Z83" s="1">
        <v>300</v>
      </c>
      <c r="AA83" s="1">
        <v>300</v>
      </c>
      <c r="AB83" s="9" t="s">
        <v>411</v>
      </c>
      <c r="AC83" s="9">
        <v>30</v>
      </c>
      <c r="AD83" s="1">
        <v>300</v>
      </c>
      <c r="AE83" s="1">
        <v>300</v>
      </c>
      <c r="AF83" s="5"/>
      <c r="AG83" s="19"/>
      <c r="AH83" s="5"/>
      <c r="AI83" s="5"/>
      <c r="AJ83" s="3"/>
      <c r="AK83" s="5"/>
      <c r="AL83" s="5"/>
      <c r="AM83" s="3"/>
      <c r="AN83" s="5"/>
    </row>
    <row r="84" spans="1:40" ht="15" hidden="1" customHeight="1" x14ac:dyDescent="0.2">
      <c r="A84" s="3"/>
      <c r="B84" s="338"/>
      <c r="C84" s="342"/>
      <c r="D84" s="8" t="s">
        <v>413</v>
      </c>
      <c r="E84" s="9" t="s">
        <v>34</v>
      </c>
      <c r="F84" s="9" t="s">
        <v>86</v>
      </c>
      <c r="G84" s="9"/>
      <c r="H84" s="9"/>
      <c r="I84" s="9"/>
      <c r="J84" s="9"/>
      <c r="K84" s="9"/>
      <c r="L84" s="9"/>
      <c r="M84" s="9"/>
      <c r="N84" s="9"/>
      <c r="O84" s="9"/>
      <c r="P84" s="17" t="s">
        <v>452</v>
      </c>
      <c r="Q84" s="9" t="s">
        <v>84</v>
      </c>
      <c r="R84" s="9" t="s">
        <v>390</v>
      </c>
      <c r="S84" s="9" t="s">
        <v>46</v>
      </c>
      <c r="T84" s="9" t="s">
        <v>33</v>
      </c>
      <c r="U84" s="9" t="s">
        <v>438</v>
      </c>
      <c r="V84" s="18" t="s">
        <v>13</v>
      </c>
      <c r="W84" s="12" t="str">
        <f t="shared" si="4"/>
        <v>XVNT-TED-CCVS-MIS-M3-S2-0001</v>
      </c>
      <c r="X84" s="9" t="s">
        <v>498</v>
      </c>
      <c r="Y84" s="9">
        <v>150</v>
      </c>
      <c r="Z84" s="1">
        <v>300</v>
      </c>
      <c r="AA84" s="1">
        <v>300</v>
      </c>
      <c r="AB84" s="9" t="s">
        <v>411</v>
      </c>
      <c r="AC84" s="9">
        <v>30</v>
      </c>
      <c r="AD84" s="1">
        <v>300</v>
      </c>
      <c r="AE84" s="1">
        <v>300</v>
      </c>
      <c r="AF84" s="5"/>
      <c r="AG84" s="19"/>
      <c r="AH84" s="5"/>
      <c r="AI84" s="5"/>
      <c r="AJ84" s="3"/>
      <c r="AK84" s="5"/>
      <c r="AL84" s="5"/>
      <c r="AM84" s="3"/>
      <c r="AN84" s="5"/>
    </row>
    <row r="85" spans="1:40" ht="15" hidden="1" customHeight="1" x14ac:dyDescent="0.2">
      <c r="A85" s="3"/>
      <c r="B85" s="338"/>
      <c r="C85" s="340"/>
      <c r="D85" s="8" t="s">
        <v>308</v>
      </c>
      <c r="E85" s="9" t="s">
        <v>34</v>
      </c>
      <c r="F85" s="9" t="s">
        <v>86</v>
      </c>
      <c r="G85" s="9"/>
      <c r="H85" s="9"/>
      <c r="I85" s="9"/>
      <c r="J85" s="9"/>
      <c r="K85" s="9"/>
      <c r="L85" s="9"/>
      <c r="M85" s="9"/>
      <c r="N85" s="9"/>
      <c r="O85" s="9"/>
      <c r="P85" s="17" t="s">
        <v>452</v>
      </c>
      <c r="Q85" s="9" t="s">
        <v>84</v>
      </c>
      <c r="R85" s="9" t="s">
        <v>390</v>
      </c>
      <c r="S85" s="9" t="s">
        <v>46</v>
      </c>
      <c r="T85" s="9" t="s">
        <v>33</v>
      </c>
      <c r="U85" s="9" t="s">
        <v>438</v>
      </c>
      <c r="V85" s="18" t="s">
        <v>13</v>
      </c>
      <c r="W85" s="12" t="str">
        <f t="shared" si="4"/>
        <v>XVNT-TED-CCVS-MIS-M3-S2-0001</v>
      </c>
      <c r="X85" s="9" t="s">
        <v>498</v>
      </c>
      <c r="Y85" s="9">
        <v>120</v>
      </c>
      <c r="Z85" s="1">
        <v>300</v>
      </c>
      <c r="AA85" s="1">
        <v>300</v>
      </c>
      <c r="AB85" s="9" t="s">
        <v>411</v>
      </c>
      <c r="AC85" s="9">
        <v>30</v>
      </c>
      <c r="AD85" s="1">
        <v>300</v>
      </c>
      <c r="AE85" s="1">
        <v>300</v>
      </c>
      <c r="AF85" s="5"/>
      <c r="AG85" s="19"/>
      <c r="AH85" s="5"/>
      <c r="AI85" s="5"/>
      <c r="AJ85" s="3"/>
      <c r="AK85" s="5"/>
      <c r="AL85" s="5"/>
      <c r="AM85" s="3"/>
      <c r="AN85" s="5"/>
    </row>
    <row r="86" spans="1:40" ht="15" hidden="1" customHeight="1" x14ac:dyDescent="0.2">
      <c r="A86" s="3"/>
      <c r="B86" s="338"/>
      <c r="C86" s="339" t="s">
        <v>389</v>
      </c>
      <c r="D86" s="8" t="s">
        <v>409</v>
      </c>
      <c r="E86" s="9" t="s">
        <v>34</v>
      </c>
      <c r="F86" s="9" t="s">
        <v>86</v>
      </c>
      <c r="G86" s="9"/>
      <c r="H86" s="9"/>
      <c r="I86" s="9"/>
      <c r="J86" s="9"/>
      <c r="K86" s="9"/>
      <c r="L86" s="9"/>
      <c r="M86" s="9"/>
      <c r="N86" s="9"/>
      <c r="O86" s="9"/>
      <c r="P86" s="17" t="s">
        <v>452</v>
      </c>
      <c r="Q86" s="9" t="s">
        <v>84</v>
      </c>
      <c r="R86" s="9" t="s">
        <v>388</v>
      </c>
      <c r="S86" s="9" t="s">
        <v>394</v>
      </c>
      <c r="T86" s="9" t="s">
        <v>33</v>
      </c>
      <c r="U86" s="9" t="s">
        <v>438</v>
      </c>
      <c r="V86" s="18" t="s">
        <v>13</v>
      </c>
      <c r="W86" s="12" t="str">
        <f t="shared" si="4"/>
        <v>XVNT-TED-CBS2-KCD -M3-S2-0001</v>
      </c>
      <c r="X86" s="9" t="s">
        <v>498</v>
      </c>
      <c r="Y86" s="9">
        <v>120</v>
      </c>
      <c r="Z86" s="1">
        <v>300</v>
      </c>
      <c r="AA86" s="1">
        <v>300</v>
      </c>
      <c r="AB86" s="9" t="s">
        <v>411</v>
      </c>
      <c r="AC86" s="9">
        <v>30</v>
      </c>
      <c r="AD86" s="1">
        <v>300</v>
      </c>
      <c r="AE86" s="1">
        <v>300</v>
      </c>
      <c r="AF86" s="5"/>
      <c r="AG86" s="19"/>
      <c r="AH86" s="5"/>
      <c r="AI86" s="5"/>
      <c r="AJ86" s="3"/>
      <c r="AK86" s="5"/>
      <c r="AL86" s="5"/>
      <c r="AM86" s="3"/>
      <c r="AN86" s="5"/>
    </row>
    <row r="87" spans="1:40" ht="15" hidden="1" customHeight="1" x14ac:dyDescent="0.2">
      <c r="A87" s="3"/>
      <c r="B87" s="338"/>
      <c r="C87" s="340"/>
      <c r="D87" s="8" t="s">
        <v>393</v>
      </c>
      <c r="E87" s="9" t="s">
        <v>34</v>
      </c>
      <c r="F87" s="9" t="s">
        <v>86</v>
      </c>
      <c r="G87" s="9"/>
      <c r="H87" s="9"/>
      <c r="I87" s="9"/>
      <c r="J87" s="9"/>
      <c r="K87" s="9"/>
      <c r="L87" s="9"/>
      <c r="M87" s="9"/>
      <c r="N87" s="9"/>
      <c r="O87" s="9"/>
      <c r="P87" s="17" t="s">
        <v>452</v>
      </c>
      <c r="Q87" s="9" t="s">
        <v>84</v>
      </c>
      <c r="R87" s="9" t="s">
        <v>388</v>
      </c>
      <c r="S87" s="9" t="s">
        <v>392</v>
      </c>
      <c r="T87" s="9" t="s">
        <v>33</v>
      </c>
      <c r="U87" s="9" t="s">
        <v>438</v>
      </c>
      <c r="V87" s="18" t="s">
        <v>13</v>
      </c>
      <c r="W87" s="12" t="str">
        <f t="shared" si="4"/>
        <v>XVNT-TED-CBS2-KCT -M3-S2-0001</v>
      </c>
      <c r="X87" s="9" t="s">
        <v>498</v>
      </c>
      <c r="Y87" s="9">
        <v>120</v>
      </c>
      <c r="Z87" s="1">
        <v>350</v>
      </c>
      <c r="AA87" s="1">
        <v>350</v>
      </c>
      <c r="AB87" s="9" t="s">
        <v>411</v>
      </c>
      <c r="AC87" s="9">
        <v>30</v>
      </c>
      <c r="AD87" s="1">
        <v>350</v>
      </c>
      <c r="AE87" s="1">
        <v>350</v>
      </c>
      <c r="AF87" s="5"/>
      <c r="AG87" s="19"/>
      <c r="AH87" s="5"/>
      <c r="AI87" s="5"/>
      <c r="AJ87" s="3"/>
      <c r="AK87" s="5"/>
      <c r="AL87" s="5"/>
      <c r="AM87" s="3"/>
      <c r="AN87" s="5"/>
    </row>
    <row r="88" spans="1:40" ht="15" hidden="1" customHeight="1" x14ac:dyDescent="0.2">
      <c r="A88" s="3"/>
      <c r="B88" s="338"/>
      <c r="C88" s="340"/>
      <c r="D88" s="8" t="s">
        <v>413</v>
      </c>
      <c r="E88" s="9" t="s">
        <v>34</v>
      </c>
      <c r="F88" s="9" t="s">
        <v>86</v>
      </c>
      <c r="G88" s="9"/>
      <c r="H88" s="9"/>
      <c r="I88" s="9"/>
      <c r="J88" s="9"/>
      <c r="K88" s="9"/>
      <c r="L88" s="9"/>
      <c r="M88" s="9"/>
      <c r="N88" s="9"/>
      <c r="O88" s="9"/>
      <c r="P88" s="17" t="s">
        <v>452</v>
      </c>
      <c r="Q88" s="9" t="s">
        <v>84</v>
      </c>
      <c r="R88" s="9" t="s">
        <v>388</v>
      </c>
      <c r="S88" s="9" t="s">
        <v>46</v>
      </c>
      <c r="T88" s="9" t="s">
        <v>33</v>
      </c>
      <c r="U88" s="9" t="s">
        <v>438</v>
      </c>
      <c r="V88" s="18" t="s">
        <v>13</v>
      </c>
      <c r="W88" s="12" t="str">
        <f t="shared" si="4"/>
        <v>XVNT-TED-CBS2-MIS-M3-S2-0001</v>
      </c>
      <c r="X88" s="9" t="s">
        <v>498</v>
      </c>
      <c r="Y88" s="9">
        <v>120</v>
      </c>
      <c r="Z88" s="1">
        <v>350</v>
      </c>
      <c r="AA88" s="1">
        <v>350</v>
      </c>
      <c r="AB88" s="9" t="s">
        <v>411</v>
      </c>
      <c r="AC88" s="9">
        <v>30</v>
      </c>
      <c r="AD88" s="1">
        <v>350</v>
      </c>
      <c r="AE88" s="1">
        <v>350</v>
      </c>
      <c r="AF88" s="5"/>
      <c r="AG88" s="19"/>
      <c r="AH88" s="5"/>
      <c r="AI88" s="5"/>
      <c r="AJ88" s="3"/>
      <c r="AK88" s="5"/>
      <c r="AL88" s="5"/>
      <c r="AM88" s="3"/>
      <c r="AN88" s="5"/>
    </row>
    <row r="89" spans="1:40" ht="15" hidden="1" customHeight="1" x14ac:dyDescent="0.2">
      <c r="A89" s="3"/>
      <c r="B89" s="338"/>
      <c r="C89" s="340"/>
      <c r="D89" s="8" t="s">
        <v>308</v>
      </c>
      <c r="E89" s="9" t="s">
        <v>34</v>
      </c>
      <c r="F89" s="9" t="s">
        <v>86</v>
      </c>
      <c r="G89" s="9"/>
      <c r="H89" s="9"/>
      <c r="I89" s="9"/>
      <c r="J89" s="9"/>
      <c r="K89" s="9"/>
      <c r="L89" s="9"/>
      <c r="M89" s="9"/>
      <c r="N89" s="9"/>
      <c r="O89" s="9"/>
      <c r="P89" s="17" t="s">
        <v>452</v>
      </c>
      <c r="Q89" s="9" t="s">
        <v>84</v>
      </c>
      <c r="R89" s="9" t="s">
        <v>388</v>
      </c>
      <c r="S89" s="9" t="s">
        <v>46</v>
      </c>
      <c r="T89" s="9" t="s">
        <v>33</v>
      </c>
      <c r="U89" s="9" t="s">
        <v>438</v>
      </c>
      <c r="V89" s="18" t="s">
        <v>13</v>
      </c>
      <c r="W89" s="12" t="str">
        <f t="shared" si="4"/>
        <v>XVNT-TED-CBS2-MIS-M3-S2-0001</v>
      </c>
      <c r="X89" s="9" t="s">
        <v>498</v>
      </c>
      <c r="Y89" s="9">
        <v>120</v>
      </c>
      <c r="Z89" s="1">
        <v>350</v>
      </c>
      <c r="AA89" s="1">
        <v>350</v>
      </c>
      <c r="AB89" s="9" t="s">
        <v>411</v>
      </c>
      <c r="AC89" s="9">
        <v>30</v>
      </c>
      <c r="AD89" s="1">
        <v>350</v>
      </c>
      <c r="AE89" s="1">
        <v>350</v>
      </c>
      <c r="AF89" s="5"/>
      <c r="AG89" s="19"/>
      <c r="AH89" s="5"/>
      <c r="AI89" s="5"/>
      <c r="AJ89" s="3"/>
      <c r="AK89" s="5"/>
      <c r="AL89" s="5"/>
      <c r="AM89" s="3"/>
      <c r="AN89" s="5"/>
    </row>
    <row r="90" spans="1:40" ht="15" hidden="1" customHeight="1" x14ac:dyDescent="0.2">
      <c r="A90" s="3"/>
      <c r="B90" s="338"/>
      <c r="C90" s="339" t="s">
        <v>385</v>
      </c>
      <c r="D90" s="8" t="s">
        <v>409</v>
      </c>
      <c r="E90" s="9" t="s">
        <v>34</v>
      </c>
      <c r="F90" s="9" t="s">
        <v>86</v>
      </c>
      <c r="G90" s="9"/>
      <c r="H90" s="9"/>
      <c r="I90" s="9"/>
      <c r="J90" s="9"/>
      <c r="K90" s="9"/>
      <c r="L90" s="9"/>
      <c r="M90" s="9"/>
      <c r="N90" s="9"/>
      <c r="O90" s="9"/>
      <c r="P90" s="17" t="s">
        <v>452</v>
      </c>
      <c r="Q90" s="9" t="s">
        <v>84</v>
      </c>
      <c r="R90" s="9" t="s">
        <v>384</v>
      </c>
      <c r="S90" s="9" t="s">
        <v>394</v>
      </c>
      <c r="T90" s="9" t="s">
        <v>33</v>
      </c>
      <c r="U90" s="9" t="s">
        <v>438</v>
      </c>
      <c r="V90" s="18" t="s">
        <v>13</v>
      </c>
      <c r="W90" s="12" t="str">
        <f t="shared" si="4"/>
        <v>XVNT-TED-CVD2-KCD -M3-S2-0001</v>
      </c>
      <c r="X90" s="9" t="s">
        <v>498</v>
      </c>
      <c r="Y90" s="9">
        <v>120</v>
      </c>
      <c r="Z90" s="1">
        <v>350</v>
      </c>
      <c r="AA90" s="1">
        <v>350</v>
      </c>
      <c r="AB90" s="9" t="s">
        <v>411</v>
      </c>
      <c r="AC90" s="9">
        <v>30</v>
      </c>
      <c r="AD90" s="1">
        <v>350</v>
      </c>
      <c r="AE90" s="1">
        <v>350</v>
      </c>
      <c r="AF90" s="5"/>
      <c r="AG90" s="19"/>
      <c r="AH90" s="5"/>
      <c r="AI90" s="5"/>
      <c r="AJ90" s="3"/>
      <c r="AK90" s="5"/>
      <c r="AL90" s="5"/>
      <c r="AM90" s="3"/>
      <c r="AN90" s="5"/>
    </row>
    <row r="91" spans="1:40" ht="15" hidden="1" customHeight="1" x14ac:dyDescent="0.2">
      <c r="A91" s="3"/>
      <c r="B91" s="338"/>
      <c r="C91" s="340"/>
      <c r="D91" s="8" t="s">
        <v>393</v>
      </c>
      <c r="E91" s="9" t="s">
        <v>34</v>
      </c>
      <c r="F91" s="9" t="s">
        <v>86</v>
      </c>
      <c r="G91" s="9"/>
      <c r="H91" s="9"/>
      <c r="I91" s="9"/>
      <c r="J91" s="9"/>
      <c r="K91" s="9"/>
      <c r="L91" s="9"/>
      <c r="M91" s="9"/>
      <c r="N91" s="9"/>
      <c r="O91" s="9"/>
      <c r="P91" s="17" t="s">
        <v>452</v>
      </c>
      <c r="Q91" s="9" t="s">
        <v>84</v>
      </c>
      <c r="R91" s="9" t="s">
        <v>384</v>
      </c>
      <c r="S91" s="9" t="s">
        <v>392</v>
      </c>
      <c r="T91" s="9" t="s">
        <v>33</v>
      </c>
      <c r="U91" s="9" t="s">
        <v>438</v>
      </c>
      <c r="V91" s="18" t="s">
        <v>13</v>
      </c>
      <c r="W91" s="12" t="str">
        <f t="shared" si="4"/>
        <v>XVNT-TED-CVD2-KCT -M3-S2-0001</v>
      </c>
      <c r="X91" s="9" t="s">
        <v>498</v>
      </c>
      <c r="Y91" s="9">
        <v>120</v>
      </c>
      <c r="Z91" s="1">
        <v>350</v>
      </c>
      <c r="AA91" s="1">
        <v>350</v>
      </c>
      <c r="AB91" s="9" t="s">
        <v>411</v>
      </c>
      <c r="AC91" s="9">
        <v>30</v>
      </c>
      <c r="AD91" s="1">
        <v>350</v>
      </c>
      <c r="AE91" s="1">
        <v>350</v>
      </c>
      <c r="AF91" s="5"/>
      <c r="AG91" s="19"/>
      <c r="AH91" s="5"/>
      <c r="AI91" s="5"/>
      <c r="AJ91" s="3"/>
      <c r="AK91" s="5"/>
      <c r="AL91" s="5"/>
      <c r="AM91" s="3"/>
      <c r="AN91" s="5"/>
    </row>
    <row r="92" spans="1:40" ht="15" hidden="1" customHeight="1" x14ac:dyDescent="0.2">
      <c r="A92" s="3"/>
      <c r="B92" s="338"/>
      <c r="C92" s="340"/>
      <c r="D92" s="8" t="s">
        <v>413</v>
      </c>
      <c r="E92" s="9" t="s">
        <v>34</v>
      </c>
      <c r="F92" s="9" t="s">
        <v>86</v>
      </c>
      <c r="G92" s="9"/>
      <c r="H92" s="9"/>
      <c r="I92" s="9"/>
      <c r="J92" s="9"/>
      <c r="K92" s="9"/>
      <c r="L92" s="9"/>
      <c r="M92" s="9"/>
      <c r="N92" s="9"/>
      <c r="O92" s="9"/>
      <c r="P92" s="17" t="s">
        <v>452</v>
      </c>
      <c r="Q92" s="9" t="s">
        <v>84</v>
      </c>
      <c r="R92" s="9" t="s">
        <v>384</v>
      </c>
      <c r="S92" s="9" t="s">
        <v>46</v>
      </c>
      <c r="T92" s="9" t="s">
        <v>33</v>
      </c>
      <c r="U92" s="9" t="s">
        <v>438</v>
      </c>
      <c r="V92" s="18" t="s">
        <v>13</v>
      </c>
      <c r="W92" s="12" t="str">
        <f t="shared" si="4"/>
        <v>XVNT-TED-CVD2-MIS-M3-S2-0001</v>
      </c>
      <c r="X92" s="9" t="s">
        <v>498</v>
      </c>
      <c r="Y92" s="9">
        <v>120</v>
      </c>
      <c r="Z92" s="1">
        <v>300</v>
      </c>
      <c r="AA92" s="1">
        <v>300</v>
      </c>
      <c r="AB92" s="9" t="s">
        <v>411</v>
      </c>
      <c r="AC92" s="9">
        <v>30</v>
      </c>
      <c r="AD92" s="1">
        <v>300</v>
      </c>
      <c r="AE92" s="1">
        <v>300</v>
      </c>
      <c r="AF92" s="5"/>
      <c r="AG92" s="19"/>
      <c r="AH92" s="5"/>
      <c r="AI92" s="5"/>
      <c r="AJ92" s="3"/>
      <c r="AK92" s="5"/>
      <c r="AL92" s="5"/>
      <c r="AM92" s="3"/>
      <c r="AN92" s="5"/>
    </row>
    <row r="93" spans="1:40" ht="15" hidden="1" customHeight="1" x14ac:dyDescent="0.2">
      <c r="A93" s="3"/>
      <c r="B93" s="338"/>
      <c r="C93" s="340"/>
      <c r="D93" s="8" t="s">
        <v>308</v>
      </c>
      <c r="E93" s="9" t="s">
        <v>34</v>
      </c>
      <c r="F93" s="9" t="s">
        <v>86</v>
      </c>
      <c r="G93" s="9"/>
      <c r="H93" s="9"/>
      <c r="I93" s="9"/>
      <c r="J93" s="9"/>
      <c r="K93" s="9"/>
      <c r="L93" s="9"/>
      <c r="M93" s="9"/>
      <c r="N93" s="9"/>
      <c r="O93" s="9"/>
      <c r="P93" s="17" t="s">
        <v>452</v>
      </c>
      <c r="Q93" s="9" t="s">
        <v>84</v>
      </c>
      <c r="R93" s="9" t="s">
        <v>384</v>
      </c>
      <c r="S93" s="9" t="s">
        <v>46</v>
      </c>
      <c r="T93" s="9" t="s">
        <v>33</v>
      </c>
      <c r="U93" s="9" t="s">
        <v>438</v>
      </c>
      <c r="V93" s="18" t="s">
        <v>13</v>
      </c>
      <c r="W93" s="12" t="str">
        <f t="shared" si="4"/>
        <v>XVNT-TED-CVD2-MIS-M3-S2-0001</v>
      </c>
      <c r="X93" s="9" t="s">
        <v>498</v>
      </c>
      <c r="Y93" s="9">
        <v>120</v>
      </c>
      <c r="Z93" s="1">
        <v>300</v>
      </c>
      <c r="AA93" s="1">
        <v>300</v>
      </c>
      <c r="AB93" s="9" t="s">
        <v>411</v>
      </c>
      <c r="AC93" s="9">
        <v>30</v>
      </c>
      <c r="AD93" s="1">
        <v>300</v>
      </c>
      <c r="AE93" s="1">
        <v>300</v>
      </c>
      <c r="AF93" s="5"/>
      <c r="AG93" s="19"/>
      <c r="AH93" s="5"/>
      <c r="AI93" s="5"/>
      <c r="AJ93" s="3"/>
      <c r="AK93" s="5"/>
      <c r="AL93" s="5"/>
      <c r="AM93" s="3"/>
      <c r="AN93" s="5"/>
    </row>
    <row r="94" spans="1:40" ht="15" hidden="1" customHeight="1" x14ac:dyDescent="0.2">
      <c r="A94" s="5"/>
      <c r="B94" s="343" t="s">
        <v>439</v>
      </c>
      <c r="C94" s="344"/>
      <c r="D94" s="345"/>
      <c r="E94" s="9"/>
      <c r="F94" s="9"/>
      <c r="G94" s="9"/>
      <c r="H94" s="9"/>
      <c r="I94" s="9"/>
      <c r="J94" s="9"/>
      <c r="K94" s="9"/>
      <c r="L94" s="9"/>
      <c r="M94" s="9"/>
      <c r="N94" s="9"/>
      <c r="O94" s="9"/>
      <c r="P94" s="10"/>
      <c r="Q94" s="9"/>
      <c r="R94" s="9"/>
      <c r="S94" s="9"/>
      <c r="T94" s="9"/>
      <c r="U94" s="9"/>
      <c r="V94" s="11"/>
      <c r="W94" s="14"/>
      <c r="X94" s="9" t="s">
        <v>498</v>
      </c>
      <c r="Y94" s="9"/>
      <c r="Z94" s="9"/>
      <c r="AA94" s="9"/>
      <c r="AB94" s="9"/>
      <c r="AC94" s="9"/>
      <c r="AD94" s="9"/>
      <c r="AE94" s="9"/>
      <c r="AF94" s="5"/>
      <c r="AG94" s="5"/>
      <c r="AH94" s="5"/>
      <c r="AI94" s="5"/>
      <c r="AJ94" s="5"/>
      <c r="AK94" s="5"/>
      <c r="AL94" s="5"/>
      <c r="AM94" s="5"/>
      <c r="AN94" s="5"/>
    </row>
    <row r="95" spans="1:40" ht="15" hidden="1" customHeight="1" x14ac:dyDescent="0.2">
      <c r="A95" s="5"/>
      <c r="B95" s="346" t="s">
        <v>80</v>
      </c>
      <c r="C95" s="80" t="s">
        <v>82</v>
      </c>
      <c r="D95" s="8" t="s">
        <v>402</v>
      </c>
      <c r="E95" s="9" t="s">
        <v>34</v>
      </c>
      <c r="F95" s="9" t="s">
        <v>85</v>
      </c>
      <c r="G95" s="9"/>
      <c r="H95" s="9"/>
      <c r="I95" s="9"/>
      <c r="J95" s="9"/>
      <c r="K95" s="9"/>
      <c r="L95" s="9"/>
      <c r="M95" s="9"/>
      <c r="N95" s="9"/>
      <c r="O95" s="9"/>
      <c r="P95" s="17" t="s">
        <v>425</v>
      </c>
      <c r="Q95" s="9" t="s">
        <v>84</v>
      </c>
      <c r="R95" s="9" t="s">
        <v>11</v>
      </c>
      <c r="S95" s="9" t="s">
        <v>11</v>
      </c>
      <c r="T95" s="9" t="s">
        <v>33</v>
      </c>
      <c r="U95" s="9" t="s">
        <v>441</v>
      </c>
      <c r="V95" s="18" t="s">
        <v>13</v>
      </c>
      <c r="W95" s="12" t="str">
        <f t="shared" ref="W95:W136" si="6">IF(P95="","-",CONCATENATE(P95,"-",Q95,"-",R95,"-",S95,"-",T95,"-",U95,"-",V95))</f>
        <v>RR4.P3.4-TED-ZZ-ZZ-M3-G3-0001</v>
      </c>
      <c r="X95" s="9" t="s">
        <v>498</v>
      </c>
      <c r="Y95" s="9">
        <v>90</v>
      </c>
      <c r="Z95" s="1">
        <v>200</v>
      </c>
      <c r="AA95" s="1">
        <v>200</v>
      </c>
      <c r="AB95" s="9" t="s">
        <v>411</v>
      </c>
      <c r="AC95" s="9">
        <v>30</v>
      </c>
      <c r="AD95" s="1">
        <v>200</v>
      </c>
      <c r="AE95" s="1">
        <v>200</v>
      </c>
      <c r="AF95" s="5"/>
      <c r="AG95" s="5"/>
      <c r="AH95" s="5"/>
      <c r="AI95" s="5"/>
      <c r="AJ95" s="5"/>
      <c r="AK95" s="5"/>
      <c r="AL95" s="5"/>
      <c r="AM95" s="5"/>
      <c r="AN95" s="5"/>
    </row>
    <row r="96" spans="1:40" ht="15" hidden="1" customHeight="1" x14ac:dyDescent="0.2">
      <c r="A96" s="5"/>
      <c r="B96" s="347"/>
      <c r="C96" s="80" t="s">
        <v>396</v>
      </c>
      <c r="D96" s="8" t="s">
        <v>403</v>
      </c>
      <c r="E96" s="9" t="s">
        <v>34</v>
      </c>
      <c r="F96" s="9" t="s">
        <v>85</v>
      </c>
      <c r="G96" s="9"/>
      <c r="H96" s="9"/>
      <c r="I96" s="9"/>
      <c r="J96" s="9"/>
      <c r="K96" s="9"/>
      <c r="L96" s="9"/>
      <c r="M96" s="9"/>
      <c r="N96" s="9"/>
      <c r="O96" s="9"/>
      <c r="P96" s="17" t="s">
        <v>425</v>
      </c>
      <c r="Q96" s="9" t="s">
        <v>84</v>
      </c>
      <c r="R96" s="9" t="s">
        <v>11</v>
      </c>
      <c r="S96" s="9" t="s">
        <v>11</v>
      </c>
      <c r="T96" s="9" t="s">
        <v>33</v>
      </c>
      <c r="U96" s="9" t="s">
        <v>441</v>
      </c>
      <c r="V96" s="18" t="s">
        <v>13</v>
      </c>
      <c r="W96" s="12" t="str">
        <f t="shared" si="6"/>
        <v>RR4.P3.4-TED-ZZ-ZZ-M3-G3-0001</v>
      </c>
      <c r="X96" s="9" t="s">
        <v>498</v>
      </c>
      <c r="Y96" s="9">
        <v>90</v>
      </c>
      <c r="Z96" s="1">
        <v>200</v>
      </c>
      <c r="AA96" s="1">
        <v>200</v>
      </c>
      <c r="AB96" s="9" t="s">
        <v>411</v>
      </c>
      <c r="AC96" s="9">
        <v>30</v>
      </c>
      <c r="AD96" s="1">
        <v>200</v>
      </c>
      <c r="AE96" s="1">
        <v>200</v>
      </c>
      <c r="AF96" s="5"/>
      <c r="AG96" s="5"/>
      <c r="AH96" s="5"/>
      <c r="AI96" s="5"/>
      <c r="AJ96" s="5"/>
      <c r="AK96" s="5"/>
      <c r="AL96" s="5"/>
      <c r="AM96" s="5"/>
      <c r="AN96" s="5"/>
    </row>
    <row r="97" spans="1:40" ht="15" hidden="1" customHeight="1" x14ac:dyDescent="0.2">
      <c r="A97" s="5"/>
      <c r="B97" s="347"/>
      <c r="C97" s="80" t="s">
        <v>395</v>
      </c>
      <c r="D97" s="8" t="s">
        <v>404</v>
      </c>
      <c r="E97" s="9" t="s">
        <v>34</v>
      </c>
      <c r="F97" s="9" t="s">
        <v>85</v>
      </c>
      <c r="G97" s="9"/>
      <c r="H97" s="9"/>
      <c r="I97" s="9"/>
      <c r="J97" s="9"/>
      <c r="K97" s="9"/>
      <c r="L97" s="9"/>
      <c r="M97" s="9"/>
      <c r="N97" s="9"/>
      <c r="O97" s="9"/>
      <c r="P97" s="17" t="s">
        <v>425</v>
      </c>
      <c r="Q97" s="9" t="s">
        <v>84</v>
      </c>
      <c r="R97" s="9" t="s">
        <v>11</v>
      </c>
      <c r="S97" s="9" t="s">
        <v>11</v>
      </c>
      <c r="T97" s="9" t="s">
        <v>33</v>
      </c>
      <c r="U97" s="9" t="s">
        <v>441</v>
      </c>
      <c r="V97" s="18" t="s">
        <v>13</v>
      </c>
      <c r="W97" s="12" t="str">
        <f t="shared" si="6"/>
        <v>RR4.P3.4-TED-ZZ-ZZ-M3-G3-0001</v>
      </c>
      <c r="X97" s="9" t="s">
        <v>498</v>
      </c>
      <c r="Y97" s="9">
        <v>90</v>
      </c>
      <c r="Z97" s="1">
        <v>200</v>
      </c>
      <c r="AA97" s="1">
        <v>200</v>
      </c>
      <c r="AB97" s="9" t="s">
        <v>411</v>
      </c>
      <c r="AC97" s="9">
        <v>30</v>
      </c>
      <c r="AD97" s="1">
        <v>200</v>
      </c>
      <c r="AE97" s="1">
        <v>200</v>
      </c>
      <c r="AF97" s="5"/>
      <c r="AG97" s="5"/>
      <c r="AH97" s="5"/>
      <c r="AI97" s="5"/>
      <c r="AJ97" s="5"/>
      <c r="AK97" s="5"/>
      <c r="AL97" s="5"/>
      <c r="AM97" s="5"/>
      <c r="AN97" s="5"/>
    </row>
    <row r="98" spans="1:40" ht="15" hidden="1" customHeight="1" x14ac:dyDescent="0.2">
      <c r="A98" s="5"/>
      <c r="B98" s="103" t="s">
        <v>83</v>
      </c>
      <c r="C98" s="104" t="s">
        <v>21</v>
      </c>
      <c r="D98" s="8" t="s">
        <v>405</v>
      </c>
      <c r="E98" s="9" t="s">
        <v>34</v>
      </c>
      <c r="F98" s="9" t="s">
        <v>85</v>
      </c>
      <c r="G98" s="9"/>
      <c r="H98" s="9"/>
      <c r="I98" s="9"/>
      <c r="J98" s="9"/>
      <c r="K98" s="9"/>
      <c r="L98" s="9"/>
      <c r="M98" s="9"/>
      <c r="N98" s="9"/>
      <c r="O98" s="9"/>
      <c r="P98" s="17" t="s">
        <v>425</v>
      </c>
      <c r="Q98" s="9" t="s">
        <v>84</v>
      </c>
      <c r="R98" s="9" t="s">
        <v>11</v>
      </c>
      <c r="S98" s="9" t="s">
        <v>11</v>
      </c>
      <c r="T98" s="9" t="s">
        <v>20</v>
      </c>
      <c r="U98" s="9" t="s">
        <v>442</v>
      </c>
      <c r="V98" s="18" t="s">
        <v>13</v>
      </c>
      <c r="W98" s="12" t="str">
        <f t="shared" si="6"/>
        <v>RR4.P3.4-TED-ZZ-ZZ-CM-Z3-0001</v>
      </c>
      <c r="X98" s="9" t="s">
        <v>498</v>
      </c>
      <c r="Y98" s="9">
        <v>180</v>
      </c>
      <c r="Z98" s="1">
        <v>300</v>
      </c>
      <c r="AA98" s="1">
        <v>300</v>
      </c>
      <c r="AB98" s="9" t="s">
        <v>411</v>
      </c>
      <c r="AC98" s="9">
        <v>30</v>
      </c>
      <c r="AD98" s="1">
        <v>300</v>
      </c>
      <c r="AE98" s="1">
        <v>300</v>
      </c>
      <c r="AF98" s="5"/>
      <c r="AG98" s="19"/>
      <c r="AH98" s="5"/>
      <c r="AI98" s="5"/>
      <c r="AJ98" s="5"/>
      <c r="AK98" s="5"/>
      <c r="AL98" s="5"/>
      <c r="AM98" s="5"/>
      <c r="AN98" s="5"/>
    </row>
    <row r="99" spans="1:40" ht="15" hidden="1" customHeight="1" x14ac:dyDescent="0.2">
      <c r="A99" s="5"/>
      <c r="B99" s="348" t="s">
        <v>406</v>
      </c>
      <c r="C99" s="349" t="s">
        <v>308</v>
      </c>
      <c r="D99" s="8" t="s">
        <v>464</v>
      </c>
      <c r="E99" s="9"/>
      <c r="F99" s="9"/>
      <c r="G99" s="9"/>
      <c r="H99" s="9"/>
      <c r="I99" s="9"/>
      <c r="J99" s="9"/>
      <c r="K99" s="9"/>
      <c r="L99" s="9"/>
      <c r="M99" s="9"/>
      <c r="N99" s="9"/>
      <c r="O99" s="9"/>
      <c r="P99" s="17"/>
      <c r="Q99" s="9"/>
      <c r="R99" s="9"/>
      <c r="S99" s="9"/>
      <c r="T99" s="9"/>
      <c r="U99" s="9"/>
      <c r="V99" s="18"/>
      <c r="W99" s="12"/>
      <c r="X99" s="9" t="s">
        <v>498</v>
      </c>
      <c r="Y99" s="9"/>
      <c r="Z99" s="1"/>
      <c r="AA99" s="1"/>
      <c r="AB99" s="9"/>
      <c r="AC99" s="9"/>
      <c r="AD99" s="1"/>
      <c r="AE99" s="1"/>
      <c r="AF99" s="5"/>
      <c r="AG99" s="19"/>
      <c r="AH99" s="5"/>
      <c r="AI99" s="5"/>
      <c r="AJ99" s="5"/>
      <c r="AK99" s="5"/>
      <c r="AL99" s="5"/>
      <c r="AM99" s="5"/>
      <c r="AN99" s="5"/>
    </row>
    <row r="100" spans="1:40" ht="15" hidden="1" customHeight="1" x14ac:dyDescent="0.2">
      <c r="A100" s="5"/>
      <c r="B100" s="348"/>
      <c r="C100" s="350"/>
      <c r="D100" s="8" t="s">
        <v>465</v>
      </c>
      <c r="E100" s="9"/>
      <c r="F100" s="9"/>
      <c r="G100" s="9"/>
      <c r="H100" s="9"/>
      <c r="I100" s="9"/>
      <c r="J100" s="9"/>
      <c r="K100" s="9"/>
      <c r="L100" s="9"/>
      <c r="M100" s="9"/>
      <c r="N100" s="9"/>
      <c r="O100" s="9"/>
      <c r="P100" s="17"/>
      <c r="Q100" s="9"/>
      <c r="R100" s="9"/>
      <c r="S100" s="9"/>
      <c r="T100" s="9"/>
      <c r="U100" s="9"/>
      <c r="V100" s="18"/>
      <c r="W100" s="12"/>
      <c r="X100" s="9" t="s">
        <v>498</v>
      </c>
      <c r="Y100" s="9"/>
      <c r="Z100" s="1"/>
      <c r="AA100" s="1"/>
      <c r="AB100" s="9"/>
      <c r="AC100" s="9"/>
      <c r="AD100" s="1"/>
      <c r="AE100" s="1"/>
      <c r="AF100" s="5"/>
      <c r="AG100" s="19"/>
      <c r="AH100" s="5"/>
      <c r="AI100" s="5"/>
      <c r="AJ100" s="5"/>
      <c r="AK100" s="5"/>
      <c r="AL100" s="5"/>
      <c r="AM100" s="5"/>
      <c r="AN100" s="5"/>
    </row>
    <row r="101" spans="1:40" ht="15" hidden="1" customHeight="1" x14ac:dyDescent="0.2">
      <c r="A101" s="3"/>
      <c r="B101" s="348"/>
      <c r="C101" s="349" t="s">
        <v>87</v>
      </c>
      <c r="D101" s="8" t="s">
        <v>466</v>
      </c>
      <c r="E101" s="9" t="s">
        <v>34</v>
      </c>
      <c r="F101" s="9" t="s">
        <v>86</v>
      </c>
      <c r="G101" s="9"/>
      <c r="H101" s="9"/>
      <c r="I101" s="9"/>
      <c r="J101" s="9"/>
      <c r="K101" s="9"/>
      <c r="L101" s="9"/>
      <c r="M101" s="9"/>
      <c r="N101" s="9"/>
      <c r="O101" s="9"/>
      <c r="P101" s="17" t="s">
        <v>425</v>
      </c>
      <c r="Q101" s="9" t="s">
        <v>84</v>
      </c>
      <c r="R101" s="9" t="s">
        <v>391</v>
      </c>
      <c r="S101" s="9" t="s">
        <v>11</v>
      </c>
      <c r="T101" s="9" t="s">
        <v>33</v>
      </c>
      <c r="U101" s="9" t="s">
        <v>443</v>
      </c>
      <c r="V101" s="11" t="s">
        <v>13</v>
      </c>
      <c r="W101" s="12" t="str">
        <f t="shared" si="6"/>
        <v>RR4.P3.4-TED-CSGT-ZZ-M3-E3-0001</v>
      </c>
      <c r="X101" s="9" t="s">
        <v>498</v>
      </c>
      <c r="Y101" s="9">
        <v>160</v>
      </c>
      <c r="Z101" s="1">
        <v>300</v>
      </c>
      <c r="AA101" s="1">
        <v>300</v>
      </c>
      <c r="AB101" s="9" t="s">
        <v>411</v>
      </c>
      <c r="AC101" s="9">
        <v>30</v>
      </c>
      <c r="AD101" s="1">
        <v>300</v>
      </c>
      <c r="AE101" s="1">
        <v>300</v>
      </c>
      <c r="AF101" s="5"/>
      <c r="AG101" s="19"/>
      <c r="AH101" s="5"/>
      <c r="AI101" s="5"/>
      <c r="AJ101" s="5"/>
      <c r="AK101" s="5"/>
      <c r="AL101" s="5"/>
      <c r="AM101" s="5"/>
      <c r="AN101" s="5"/>
    </row>
    <row r="102" spans="1:40" ht="15" hidden="1" customHeight="1" x14ac:dyDescent="0.2">
      <c r="A102" s="20"/>
      <c r="B102" s="348"/>
      <c r="C102" s="350"/>
      <c r="D102" s="8" t="s">
        <v>467</v>
      </c>
      <c r="E102" s="9" t="s">
        <v>34</v>
      </c>
      <c r="F102" s="9" t="s">
        <v>86</v>
      </c>
      <c r="G102" s="9"/>
      <c r="H102" s="9"/>
      <c r="I102" s="9"/>
      <c r="J102" s="9"/>
      <c r="K102" s="9"/>
      <c r="L102" s="9"/>
      <c r="M102" s="9"/>
      <c r="N102" s="9"/>
      <c r="O102" s="9"/>
      <c r="P102" s="17" t="s">
        <v>425</v>
      </c>
      <c r="Q102" s="9" t="s">
        <v>84</v>
      </c>
      <c r="R102" s="9" t="s">
        <v>391</v>
      </c>
      <c r="S102" s="9" t="s">
        <v>11</v>
      </c>
      <c r="T102" s="9" t="s">
        <v>33</v>
      </c>
      <c r="U102" s="9" t="s">
        <v>443</v>
      </c>
      <c r="V102" s="11" t="s">
        <v>17</v>
      </c>
      <c r="W102" s="12" t="str">
        <f t="shared" si="6"/>
        <v>RR4.P3.4-TED-CSGT-ZZ-M3-E3-0002</v>
      </c>
      <c r="X102" s="9" t="s">
        <v>498</v>
      </c>
      <c r="Y102" s="9">
        <v>160</v>
      </c>
      <c r="Z102" s="1">
        <v>300</v>
      </c>
      <c r="AA102" s="1">
        <v>300</v>
      </c>
      <c r="AB102" s="9" t="s">
        <v>411</v>
      </c>
      <c r="AC102" s="9">
        <v>30</v>
      </c>
      <c r="AD102" s="1">
        <v>300</v>
      </c>
      <c r="AE102" s="1">
        <v>300</v>
      </c>
      <c r="AF102" s="5"/>
      <c r="AG102" s="19"/>
      <c r="AH102" s="5"/>
      <c r="AI102" s="5"/>
      <c r="AJ102" s="5"/>
      <c r="AK102" s="5"/>
      <c r="AL102" s="5"/>
      <c r="AM102" s="5"/>
      <c r="AN102" s="5"/>
    </row>
    <row r="103" spans="1:40" ht="15" hidden="1" customHeight="1" x14ac:dyDescent="0.2">
      <c r="A103" s="3"/>
      <c r="B103" s="348"/>
      <c r="C103" s="349" t="s">
        <v>48</v>
      </c>
      <c r="D103" s="8" t="s">
        <v>468</v>
      </c>
      <c r="E103" s="9" t="s">
        <v>34</v>
      </c>
      <c r="F103" s="9" t="s">
        <v>408</v>
      </c>
      <c r="G103" s="9"/>
      <c r="H103" s="9"/>
      <c r="I103" s="9"/>
      <c r="J103" s="9"/>
      <c r="K103" s="9"/>
      <c r="L103" s="9"/>
      <c r="M103" s="9"/>
      <c r="N103" s="9"/>
      <c r="O103" s="9"/>
      <c r="P103" s="17" t="s">
        <v>425</v>
      </c>
      <c r="Q103" s="9" t="s">
        <v>84</v>
      </c>
      <c r="R103" s="9" t="s">
        <v>47</v>
      </c>
      <c r="S103" s="9" t="s">
        <v>11</v>
      </c>
      <c r="T103" s="9" t="s">
        <v>33</v>
      </c>
      <c r="U103" s="9" t="s">
        <v>444</v>
      </c>
      <c r="V103" s="11" t="s">
        <v>13</v>
      </c>
      <c r="W103" s="12" t="str">
        <f t="shared" si="6"/>
        <v>RR4.P3.4-TED-ATGT-ZZ-M3-C3-0001</v>
      </c>
      <c r="X103" s="9" t="s">
        <v>498</v>
      </c>
      <c r="Y103" s="9">
        <v>160</v>
      </c>
      <c r="Z103" s="1">
        <v>300</v>
      </c>
      <c r="AA103" s="1">
        <v>300</v>
      </c>
      <c r="AB103" s="9" t="s">
        <v>411</v>
      </c>
      <c r="AC103" s="9">
        <v>30</v>
      </c>
      <c r="AD103" s="1">
        <v>300</v>
      </c>
      <c r="AE103" s="1">
        <v>300</v>
      </c>
      <c r="AF103" s="5"/>
      <c r="AG103" s="19"/>
      <c r="AH103" s="5"/>
      <c r="AI103" s="5"/>
      <c r="AJ103" s="5"/>
      <c r="AK103" s="5"/>
      <c r="AL103" s="5"/>
      <c r="AM103" s="5"/>
      <c r="AN103" s="5"/>
    </row>
    <row r="104" spans="1:40" ht="15" hidden="1" customHeight="1" x14ac:dyDescent="0.2">
      <c r="A104" s="3"/>
      <c r="B104" s="348"/>
      <c r="C104" s="350"/>
      <c r="D104" s="8" t="s">
        <v>469</v>
      </c>
      <c r="E104" s="9" t="s">
        <v>34</v>
      </c>
      <c r="F104" s="9" t="s">
        <v>408</v>
      </c>
      <c r="G104" s="9"/>
      <c r="H104" s="9"/>
      <c r="I104" s="9"/>
      <c r="J104" s="9"/>
      <c r="K104" s="9"/>
      <c r="L104" s="9"/>
      <c r="M104" s="9"/>
      <c r="N104" s="9"/>
      <c r="O104" s="9"/>
      <c r="P104" s="17" t="s">
        <v>425</v>
      </c>
      <c r="Q104" s="9" t="s">
        <v>84</v>
      </c>
      <c r="R104" s="9" t="s">
        <v>47</v>
      </c>
      <c r="S104" s="9" t="s">
        <v>11</v>
      </c>
      <c r="T104" s="9" t="s">
        <v>33</v>
      </c>
      <c r="U104" s="9" t="s">
        <v>444</v>
      </c>
      <c r="V104" s="11" t="s">
        <v>13</v>
      </c>
      <c r="W104" s="12" t="str">
        <f t="shared" si="6"/>
        <v>RR4.P3.4-TED-ATGT-ZZ-M3-C3-0001</v>
      </c>
      <c r="X104" s="9" t="s">
        <v>498</v>
      </c>
      <c r="Y104" s="9">
        <v>160</v>
      </c>
      <c r="Z104" s="1">
        <v>300</v>
      </c>
      <c r="AA104" s="1">
        <v>300</v>
      </c>
      <c r="AB104" s="9" t="s">
        <v>411</v>
      </c>
      <c r="AC104" s="9">
        <v>30</v>
      </c>
      <c r="AD104" s="1">
        <v>300</v>
      </c>
      <c r="AE104" s="1">
        <v>300</v>
      </c>
      <c r="AF104" s="5"/>
      <c r="AG104" s="19"/>
      <c r="AH104" s="5"/>
      <c r="AI104" s="5"/>
      <c r="AJ104" s="5"/>
      <c r="AK104" s="5"/>
      <c r="AL104" s="5"/>
      <c r="AM104" s="5"/>
      <c r="AN104" s="5"/>
    </row>
    <row r="105" spans="1:40" ht="15" hidden="1" customHeight="1" x14ac:dyDescent="0.2">
      <c r="A105" s="3"/>
      <c r="B105" s="338" t="s">
        <v>440</v>
      </c>
      <c r="C105" s="342" t="s">
        <v>429</v>
      </c>
      <c r="D105" s="8" t="s">
        <v>409</v>
      </c>
      <c r="E105" s="9" t="s">
        <v>34</v>
      </c>
      <c r="F105" s="9" t="s">
        <v>86</v>
      </c>
      <c r="G105" s="9"/>
      <c r="H105" s="9"/>
      <c r="I105" s="9"/>
      <c r="J105" s="9"/>
      <c r="K105" s="9"/>
      <c r="L105" s="9"/>
      <c r="M105" s="9"/>
      <c r="N105" s="9"/>
      <c r="O105" s="9"/>
      <c r="P105" s="17" t="s">
        <v>425</v>
      </c>
      <c r="Q105" s="9" t="s">
        <v>84</v>
      </c>
      <c r="R105" s="9" t="s">
        <v>382</v>
      </c>
      <c r="S105" s="9" t="s">
        <v>394</v>
      </c>
      <c r="T105" s="9" t="s">
        <v>33</v>
      </c>
      <c r="U105" s="9" t="s">
        <v>445</v>
      </c>
      <c r="V105" s="18" t="s">
        <v>13</v>
      </c>
      <c r="W105" s="12" t="str">
        <f t="shared" si="6"/>
        <v>RR4.P3.4-TED-CVD1-KCD -M3-S3-0001</v>
      </c>
      <c r="X105" s="9" t="s">
        <v>498</v>
      </c>
      <c r="Y105" s="9">
        <v>120</v>
      </c>
      <c r="Z105" s="1">
        <v>300</v>
      </c>
      <c r="AA105" s="1">
        <v>300</v>
      </c>
      <c r="AB105" s="9" t="s">
        <v>411</v>
      </c>
      <c r="AC105" s="9">
        <v>30</v>
      </c>
      <c r="AD105" s="1">
        <v>300</v>
      </c>
      <c r="AE105" s="1">
        <v>300</v>
      </c>
      <c r="AF105" s="5"/>
      <c r="AG105" s="19"/>
      <c r="AH105" s="5"/>
      <c r="AI105" s="5"/>
      <c r="AJ105" s="3"/>
      <c r="AK105" s="5"/>
      <c r="AL105" s="5"/>
      <c r="AM105" s="3"/>
      <c r="AN105" s="5"/>
    </row>
    <row r="106" spans="1:40" ht="15" hidden="1" customHeight="1" x14ac:dyDescent="0.2">
      <c r="A106" s="3"/>
      <c r="B106" s="338"/>
      <c r="C106" s="340"/>
      <c r="D106" s="8" t="s">
        <v>393</v>
      </c>
      <c r="E106" s="9" t="s">
        <v>34</v>
      </c>
      <c r="F106" s="9" t="s">
        <v>86</v>
      </c>
      <c r="G106" s="9"/>
      <c r="H106" s="9"/>
      <c r="I106" s="9"/>
      <c r="J106" s="9"/>
      <c r="K106" s="9"/>
      <c r="L106" s="9"/>
      <c r="M106" s="9"/>
      <c r="N106" s="9"/>
      <c r="O106" s="9"/>
      <c r="P106" s="17" t="s">
        <v>425</v>
      </c>
      <c r="Q106" s="9" t="s">
        <v>84</v>
      </c>
      <c r="R106" s="9" t="s">
        <v>382</v>
      </c>
      <c r="S106" s="9" t="s">
        <v>392</v>
      </c>
      <c r="T106" s="9" t="s">
        <v>33</v>
      </c>
      <c r="U106" s="9" t="s">
        <v>445</v>
      </c>
      <c r="V106" s="18" t="s">
        <v>13</v>
      </c>
      <c r="W106" s="12" t="str">
        <f t="shared" si="6"/>
        <v>RR4.P3.4-TED-CVD1-KCT -M3-S3-0001</v>
      </c>
      <c r="X106" s="9" t="s">
        <v>498</v>
      </c>
      <c r="Y106" s="9">
        <v>120</v>
      </c>
      <c r="Z106" s="1">
        <v>300</v>
      </c>
      <c r="AA106" s="1">
        <v>300</v>
      </c>
      <c r="AB106" s="9" t="s">
        <v>411</v>
      </c>
      <c r="AC106" s="9">
        <v>30</v>
      </c>
      <c r="AD106" s="1">
        <v>300</v>
      </c>
      <c r="AE106" s="1">
        <v>300</v>
      </c>
      <c r="AF106" s="5"/>
      <c r="AG106" s="19"/>
      <c r="AH106" s="5"/>
      <c r="AI106" s="5"/>
      <c r="AJ106" s="3"/>
      <c r="AK106" s="5"/>
      <c r="AL106" s="5"/>
      <c r="AM106" s="3"/>
      <c r="AN106" s="5"/>
    </row>
    <row r="107" spans="1:40" ht="15" hidden="1" customHeight="1" x14ac:dyDescent="0.2">
      <c r="A107" s="3"/>
      <c r="B107" s="338"/>
      <c r="C107" s="340"/>
      <c r="D107" s="8" t="s">
        <v>413</v>
      </c>
      <c r="E107" s="9" t="s">
        <v>34</v>
      </c>
      <c r="F107" s="9" t="s">
        <v>86</v>
      </c>
      <c r="G107" s="9"/>
      <c r="H107" s="9"/>
      <c r="I107" s="9"/>
      <c r="J107" s="9"/>
      <c r="K107" s="9"/>
      <c r="L107" s="9"/>
      <c r="M107" s="9"/>
      <c r="N107" s="9"/>
      <c r="O107" s="9"/>
      <c r="P107" s="17" t="s">
        <v>425</v>
      </c>
      <c r="Q107" s="9" t="s">
        <v>84</v>
      </c>
      <c r="R107" s="9" t="s">
        <v>382</v>
      </c>
      <c r="S107" s="9" t="s">
        <v>46</v>
      </c>
      <c r="T107" s="9" t="s">
        <v>33</v>
      </c>
      <c r="U107" s="9" t="s">
        <v>445</v>
      </c>
      <c r="V107" s="18" t="s">
        <v>13</v>
      </c>
      <c r="W107" s="12" t="str">
        <f t="shared" si="6"/>
        <v>RR4.P3.4-TED-CVD1-MIS-M3-S3-0001</v>
      </c>
      <c r="X107" s="9" t="s">
        <v>498</v>
      </c>
      <c r="Y107" s="9">
        <v>120</v>
      </c>
      <c r="Z107" s="1">
        <v>300</v>
      </c>
      <c r="AA107" s="1">
        <v>300</v>
      </c>
      <c r="AB107" s="9" t="s">
        <v>411</v>
      </c>
      <c r="AC107" s="9">
        <v>30</v>
      </c>
      <c r="AD107" s="1">
        <v>300</v>
      </c>
      <c r="AE107" s="1">
        <v>300</v>
      </c>
      <c r="AF107" s="5"/>
      <c r="AG107" s="19"/>
      <c r="AH107" s="5"/>
      <c r="AI107" s="5"/>
      <c r="AJ107" s="3"/>
      <c r="AK107" s="5"/>
      <c r="AL107" s="5"/>
      <c r="AM107" s="3"/>
      <c r="AN107" s="5"/>
    </row>
    <row r="108" spans="1:40" ht="15" hidden="1" customHeight="1" x14ac:dyDescent="0.2">
      <c r="A108" s="3"/>
      <c r="B108" s="338"/>
      <c r="C108" s="341"/>
      <c r="D108" s="8" t="s">
        <v>308</v>
      </c>
      <c r="E108" s="9" t="s">
        <v>34</v>
      </c>
      <c r="F108" s="9" t="s">
        <v>86</v>
      </c>
      <c r="G108" s="9"/>
      <c r="H108" s="9"/>
      <c r="I108" s="9"/>
      <c r="J108" s="9"/>
      <c r="K108" s="9"/>
      <c r="L108" s="9"/>
      <c r="M108" s="9"/>
      <c r="N108" s="9"/>
      <c r="O108" s="9"/>
      <c r="P108" s="17" t="s">
        <v>425</v>
      </c>
      <c r="Q108" s="9" t="s">
        <v>84</v>
      </c>
      <c r="R108" s="9" t="s">
        <v>382</v>
      </c>
      <c r="S108" s="9" t="s">
        <v>46</v>
      </c>
      <c r="T108" s="9" t="s">
        <v>33</v>
      </c>
      <c r="U108" s="9" t="s">
        <v>445</v>
      </c>
      <c r="V108" s="18" t="s">
        <v>13</v>
      </c>
      <c r="W108" s="12" t="str">
        <f t="shared" si="6"/>
        <v>RR4.P3.4-TED-CVD1-MIS-M3-S3-0001</v>
      </c>
      <c r="X108" s="9" t="s">
        <v>498</v>
      </c>
      <c r="Y108" s="9">
        <v>120</v>
      </c>
      <c r="Z108" s="1">
        <v>300</v>
      </c>
      <c r="AA108" s="1">
        <v>300</v>
      </c>
      <c r="AB108" s="9" t="s">
        <v>411</v>
      </c>
      <c r="AC108" s="9">
        <v>30</v>
      </c>
      <c r="AD108" s="1">
        <v>300</v>
      </c>
      <c r="AE108" s="1">
        <v>300</v>
      </c>
      <c r="AF108" s="5"/>
      <c r="AG108" s="19"/>
      <c r="AH108" s="5"/>
      <c r="AI108" s="5"/>
      <c r="AJ108" s="3"/>
      <c r="AK108" s="5"/>
      <c r="AL108" s="5"/>
      <c r="AM108" s="3"/>
      <c r="AN108" s="5"/>
    </row>
    <row r="109" spans="1:40" ht="15" hidden="1" customHeight="1" x14ac:dyDescent="0.2">
      <c r="A109" s="3"/>
      <c r="B109" s="338"/>
      <c r="C109" s="339" t="s">
        <v>430</v>
      </c>
      <c r="D109" s="8" t="s">
        <v>409</v>
      </c>
      <c r="E109" s="9" t="s">
        <v>34</v>
      </c>
      <c r="F109" s="9" t="s">
        <v>86</v>
      </c>
      <c r="G109" s="9"/>
      <c r="H109" s="9"/>
      <c r="I109" s="9"/>
      <c r="J109" s="9"/>
      <c r="K109" s="9"/>
      <c r="L109" s="9"/>
      <c r="M109" s="9"/>
      <c r="N109" s="9"/>
      <c r="O109" s="9"/>
      <c r="P109" s="17" t="s">
        <v>425</v>
      </c>
      <c r="Q109" s="9" t="s">
        <v>84</v>
      </c>
      <c r="R109" s="9" t="s">
        <v>386</v>
      </c>
      <c r="S109" s="9" t="s">
        <v>394</v>
      </c>
      <c r="T109" s="9" t="s">
        <v>33</v>
      </c>
      <c r="U109" s="9" t="s">
        <v>445</v>
      </c>
      <c r="V109" s="18" t="s">
        <v>13</v>
      </c>
      <c r="W109" s="12" t="str">
        <f t="shared" si="6"/>
        <v>RR4.P3.4-TED-CBS1-KCD -M3-S3-0001</v>
      </c>
      <c r="X109" s="9" t="s">
        <v>498</v>
      </c>
      <c r="Y109" s="9">
        <v>120</v>
      </c>
      <c r="Z109" s="1">
        <v>300</v>
      </c>
      <c r="AA109" s="1">
        <v>300</v>
      </c>
      <c r="AB109" s="9" t="s">
        <v>411</v>
      </c>
      <c r="AC109" s="9">
        <v>30</v>
      </c>
      <c r="AD109" s="1">
        <v>300</v>
      </c>
      <c r="AE109" s="1">
        <v>300</v>
      </c>
      <c r="AF109" s="5"/>
      <c r="AG109" s="19"/>
      <c r="AH109" s="5"/>
      <c r="AI109" s="5"/>
      <c r="AJ109" s="3"/>
      <c r="AK109" s="5"/>
      <c r="AL109" s="5"/>
      <c r="AM109" s="3"/>
      <c r="AN109" s="5"/>
    </row>
    <row r="110" spans="1:40" ht="15" hidden="1" customHeight="1" x14ac:dyDescent="0.2">
      <c r="A110" s="3"/>
      <c r="B110" s="338"/>
      <c r="C110" s="340"/>
      <c r="D110" s="8" t="s">
        <v>393</v>
      </c>
      <c r="E110" s="9" t="s">
        <v>34</v>
      </c>
      <c r="F110" s="9" t="s">
        <v>86</v>
      </c>
      <c r="G110" s="9"/>
      <c r="H110" s="9"/>
      <c r="I110" s="9"/>
      <c r="J110" s="9"/>
      <c r="K110" s="9"/>
      <c r="L110" s="9"/>
      <c r="M110" s="9"/>
      <c r="N110" s="9"/>
      <c r="O110" s="9"/>
      <c r="P110" s="17" t="s">
        <v>425</v>
      </c>
      <c r="Q110" s="9" t="s">
        <v>84</v>
      </c>
      <c r="R110" s="9" t="s">
        <v>386</v>
      </c>
      <c r="S110" s="9" t="s">
        <v>392</v>
      </c>
      <c r="T110" s="9" t="s">
        <v>33</v>
      </c>
      <c r="U110" s="9" t="s">
        <v>445</v>
      </c>
      <c r="V110" s="18" t="s">
        <v>13</v>
      </c>
      <c r="W110" s="12" t="str">
        <f t="shared" si="6"/>
        <v>RR4.P3.4-TED-CBS1-KCT -M3-S3-0001</v>
      </c>
      <c r="X110" s="9" t="s">
        <v>498</v>
      </c>
      <c r="Y110" s="9">
        <v>120</v>
      </c>
      <c r="Z110" s="1">
        <v>300</v>
      </c>
      <c r="AA110" s="1">
        <v>300</v>
      </c>
      <c r="AB110" s="9" t="s">
        <v>411</v>
      </c>
      <c r="AC110" s="9">
        <v>30</v>
      </c>
      <c r="AD110" s="1">
        <v>300</v>
      </c>
      <c r="AE110" s="1">
        <v>300</v>
      </c>
      <c r="AF110" s="5"/>
      <c r="AG110" s="19"/>
      <c r="AH110" s="5"/>
      <c r="AI110" s="5"/>
      <c r="AJ110" s="3"/>
      <c r="AK110" s="5"/>
      <c r="AL110" s="5"/>
      <c r="AM110" s="3"/>
      <c r="AN110" s="5"/>
    </row>
    <row r="111" spans="1:40" ht="15" hidden="1" customHeight="1" x14ac:dyDescent="0.2">
      <c r="A111" s="3"/>
      <c r="B111" s="338"/>
      <c r="C111" s="340"/>
      <c r="D111" s="8" t="s">
        <v>413</v>
      </c>
      <c r="E111" s="9" t="s">
        <v>34</v>
      </c>
      <c r="F111" s="9" t="s">
        <v>86</v>
      </c>
      <c r="G111" s="9"/>
      <c r="H111" s="9"/>
      <c r="I111" s="9"/>
      <c r="J111" s="9"/>
      <c r="K111" s="9"/>
      <c r="L111" s="9"/>
      <c r="M111" s="9"/>
      <c r="N111" s="9"/>
      <c r="O111" s="9"/>
      <c r="P111" s="17" t="s">
        <v>425</v>
      </c>
      <c r="Q111" s="9" t="s">
        <v>84</v>
      </c>
      <c r="R111" s="9" t="s">
        <v>386</v>
      </c>
      <c r="S111" s="9" t="s">
        <v>46</v>
      </c>
      <c r="T111" s="9" t="s">
        <v>33</v>
      </c>
      <c r="U111" s="9" t="s">
        <v>445</v>
      </c>
      <c r="V111" s="18" t="s">
        <v>13</v>
      </c>
      <c r="W111" s="12" t="str">
        <f t="shared" si="6"/>
        <v>RR4.P3.4-TED-CBS1-MIS-M3-S3-0001</v>
      </c>
      <c r="X111" s="9" t="s">
        <v>498</v>
      </c>
      <c r="Y111" s="9">
        <v>120</v>
      </c>
      <c r="Z111" s="1">
        <v>300</v>
      </c>
      <c r="AA111" s="1">
        <v>300</v>
      </c>
      <c r="AB111" s="9" t="s">
        <v>411</v>
      </c>
      <c r="AC111" s="9">
        <v>30</v>
      </c>
      <c r="AD111" s="1">
        <v>300</v>
      </c>
      <c r="AE111" s="1">
        <v>300</v>
      </c>
      <c r="AF111" s="5"/>
      <c r="AG111" s="19"/>
      <c r="AH111" s="5"/>
      <c r="AI111" s="5"/>
      <c r="AJ111" s="3"/>
      <c r="AK111" s="5"/>
      <c r="AL111" s="5"/>
      <c r="AM111" s="3"/>
      <c r="AN111" s="5"/>
    </row>
    <row r="112" spans="1:40" ht="15" hidden="1" customHeight="1" x14ac:dyDescent="0.2">
      <c r="A112" s="3"/>
      <c r="B112" s="338"/>
      <c r="C112" s="340"/>
      <c r="D112" s="8" t="s">
        <v>308</v>
      </c>
      <c r="E112" s="9" t="s">
        <v>34</v>
      </c>
      <c r="F112" s="9" t="s">
        <v>86</v>
      </c>
      <c r="G112" s="9"/>
      <c r="H112" s="9"/>
      <c r="I112" s="9"/>
      <c r="J112" s="9"/>
      <c r="K112" s="9"/>
      <c r="L112" s="9"/>
      <c r="M112" s="9"/>
      <c r="N112" s="9"/>
      <c r="O112" s="9"/>
      <c r="P112" s="17" t="s">
        <v>425</v>
      </c>
      <c r="Q112" s="9" t="s">
        <v>84</v>
      </c>
      <c r="R112" s="9" t="s">
        <v>386</v>
      </c>
      <c r="S112" s="9" t="s">
        <v>46</v>
      </c>
      <c r="T112" s="9" t="s">
        <v>33</v>
      </c>
      <c r="U112" s="9" t="s">
        <v>445</v>
      </c>
      <c r="V112" s="18" t="s">
        <v>13</v>
      </c>
      <c r="W112" s="12" t="str">
        <f t="shared" si="6"/>
        <v>RR4.P3.4-TED-CBS1-MIS-M3-S3-0001</v>
      </c>
      <c r="X112" s="9" t="s">
        <v>498</v>
      </c>
      <c r="Y112" s="9">
        <v>120</v>
      </c>
      <c r="Z112" s="1">
        <v>300</v>
      </c>
      <c r="AA112" s="1">
        <v>300</v>
      </c>
      <c r="AB112" s="9" t="s">
        <v>411</v>
      </c>
      <c r="AC112" s="9">
        <v>30</v>
      </c>
      <c r="AD112" s="1">
        <v>300</v>
      </c>
      <c r="AE112" s="1">
        <v>300</v>
      </c>
      <c r="AF112" s="5"/>
      <c r="AG112" s="19"/>
      <c r="AH112" s="5"/>
      <c r="AI112" s="5"/>
      <c r="AJ112" s="3"/>
      <c r="AK112" s="5"/>
      <c r="AL112" s="5"/>
      <c r="AM112" s="3"/>
      <c r="AN112" s="5"/>
    </row>
    <row r="113" spans="1:40" ht="15" hidden="1" customHeight="1" x14ac:dyDescent="0.2">
      <c r="A113" s="3"/>
      <c r="B113" s="338"/>
      <c r="C113" s="339" t="s">
        <v>431</v>
      </c>
      <c r="D113" s="8" t="s">
        <v>414</v>
      </c>
      <c r="E113" s="9" t="s">
        <v>34</v>
      </c>
      <c r="F113" s="9" t="s">
        <v>86</v>
      </c>
      <c r="G113" s="9"/>
      <c r="H113" s="9"/>
      <c r="I113" s="9"/>
      <c r="J113" s="9"/>
      <c r="K113" s="9"/>
      <c r="L113" s="9"/>
      <c r="M113" s="9"/>
      <c r="N113" s="9"/>
      <c r="O113" s="9"/>
      <c r="P113" s="17" t="s">
        <v>425</v>
      </c>
      <c r="Q113" s="9" t="s">
        <v>84</v>
      </c>
      <c r="R113" s="9" t="s">
        <v>390</v>
      </c>
      <c r="S113" s="9" t="s">
        <v>394</v>
      </c>
      <c r="T113" s="9" t="s">
        <v>33</v>
      </c>
      <c r="U113" s="9" t="s">
        <v>445</v>
      </c>
      <c r="V113" s="18" t="s">
        <v>13</v>
      </c>
      <c r="W113" s="12" t="str">
        <f t="shared" si="6"/>
        <v>RR4.P3.4-TED-CCVS-KCD -M3-S3-0001</v>
      </c>
      <c r="X113" s="9" t="s">
        <v>498</v>
      </c>
      <c r="Y113" s="9">
        <v>150</v>
      </c>
      <c r="Z113" s="1">
        <v>300</v>
      </c>
      <c r="AA113" s="1">
        <v>300</v>
      </c>
      <c r="AB113" s="9" t="s">
        <v>411</v>
      </c>
      <c r="AC113" s="9">
        <v>30</v>
      </c>
      <c r="AD113" s="1">
        <v>300</v>
      </c>
      <c r="AE113" s="1">
        <v>300</v>
      </c>
      <c r="AF113" s="5"/>
      <c r="AG113" s="19"/>
      <c r="AH113" s="5"/>
      <c r="AI113" s="5"/>
      <c r="AJ113" s="3"/>
      <c r="AK113" s="5"/>
      <c r="AL113" s="5"/>
      <c r="AM113" s="3"/>
      <c r="AN113" s="5"/>
    </row>
    <row r="114" spans="1:40" ht="15" hidden="1" customHeight="1" x14ac:dyDescent="0.2">
      <c r="A114" s="3"/>
      <c r="B114" s="338"/>
      <c r="C114" s="342"/>
      <c r="D114" s="8" t="s">
        <v>415</v>
      </c>
      <c r="E114" s="9" t="s">
        <v>34</v>
      </c>
      <c r="F114" s="9" t="s">
        <v>86</v>
      </c>
      <c r="G114" s="9"/>
      <c r="H114" s="9"/>
      <c r="I114" s="9"/>
      <c r="J114" s="9"/>
      <c r="K114" s="9"/>
      <c r="L114" s="9"/>
      <c r="M114" s="9"/>
      <c r="N114" s="9"/>
      <c r="O114" s="9"/>
      <c r="P114" s="17" t="s">
        <v>425</v>
      </c>
      <c r="Q114" s="9" t="s">
        <v>84</v>
      </c>
      <c r="R114" s="9" t="s">
        <v>390</v>
      </c>
      <c r="S114" s="9" t="s">
        <v>394</v>
      </c>
      <c r="T114" s="9" t="s">
        <v>33</v>
      </c>
      <c r="U114" s="9" t="s">
        <v>445</v>
      </c>
      <c r="V114" s="18" t="s">
        <v>17</v>
      </c>
      <c r="W114" s="12" t="str">
        <f t="shared" si="6"/>
        <v>RR4.P3.4-TED-CCVS-KCD -M3-S3-0002</v>
      </c>
      <c r="X114" s="9" t="s">
        <v>498</v>
      </c>
      <c r="Y114" s="9">
        <v>150</v>
      </c>
      <c r="Z114" s="1">
        <v>300</v>
      </c>
      <c r="AA114" s="1">
        <v>300</v>
      </c>
      <c r="AB114" s="9" t="s">
        <v>411</v>
      </c>
      <c r="AC114" s="9">
        <v>30</v>
      </c>
      <c r="AD114" s="1">
        <v>300</v>
      </c>
      <c r="AE114" s="1">
        <v>300</v>
      </c>
      <c r="AF114" s="5"/>
      <c r="AG114" s="19"/>
      <c r="AH114" s="5"/>
      <c r="AI114" s="5"/>
      <c r="AJ114" s="3"/>
      <c r="AK114" s="5"/>
      <c r="AL114" s="5"/>
      <c r="AM114" s="3"/>
      <c r="AN114" s="5"/>
    </row>
    <row r="115" spans="1:40" ht="15" hidden="1" customHeight="1" x14ac:dyDescent="0.2">
      <c r="A115" s="3"/>
      <c r="B115" s="338"/>
      <c r="C115" s="342"/>
      <c r="D115" s="8" t="s">
        <v>416</v>
      </c>
      <c r="E115" s="9" t="s">
        <v>34</v>
      </c>
      <c r="F115" s="9" t="s">
        <v>86</v>
      </c>
      <c r="G115" s="9"/>
      <c r="H115" s="9"/>
      <c r="I115" s="9"/>
      <c r="J115" s="9"/>
      <c r="K115" s="9"/>
      <c r="L115" s="9"/>
      <c r="M115" s="9"/>
      <c r="N115" s="9"/>
      <c r="O115" s="9"/>
      <c r="P115" s="17" t="s">
        <v>425</v>
      </c>
      <c r="Q115" s="9" t="s">
        <v>84</v>
      </c>
      <c r="R115" s="9" t="s">
        <v>390</v>
      </c>
      <c r="S115" s="9" t="s">
        <v>394</v>
      </c>
      <c r="T115" s="9" t="s">
        <v>33</v>
      </c>
      <c r="U115" s="9" t="s">
        <v>445</v>
      </c>
      <c r="V115" s="18" t="s">
        <v>90</v>
      </c>
      <c r="W115" s="12" t="str">
        <f t="shared" si="6"/>
        <v>RR4.P3.4-TED-CCVS-KCD -M3-S3-0003</v>
      </c>
      <c r="X115" s="9" t="s">
        <v>498</v>
      </c>
      <c r="Y115" s="9">
        <v>150</v>
      </c>
      <c r="Z115" s="1">
        <v>300</v>
      </c>
      <c r="AA115" s="1">
        <v>300</v>
      </c>
      <c r="AB115" s="9" t="s">
        <v>411</v>
      </c>
      <c r="AC115" s="9">
        <v>30</v>
      </c>
      <c r="AD115" s="1">
        <v>300</v>
      </c>
      <c r="AE115" s="1">
        <v>300</v>
      </c>
      <c r="AF115" s="5"/>
      <c r="AG115" s="19"/>
      <c r="AH115" s="5"/>
      <c r="AI115" s="5"/>
      <c r="AJ115" s="3"/>
      <c r="AK115" s="5"/>
      <c r="AL115" s="5"/>
      <c r="AM115" s="3"/>
      <c r="AN115" s="5"/>
    </row>
    <row r="116" spans="1:40" ht="15" hidden="1" customHeight="1" x14ac:dyDescent="0.2">
      <c r="A116" s="3"/>
      <c r="B116" s="338"/>
      <c r="C116" s="342"/>
      <c r="D116" s="8" t="s">
        <v>417</v>
      </c>
      <c r="E116" s="9" t="s">
        <v>34</v>
      </c>
      <c r="F116" s="9" t="s">
        <v>86</v>
      </c>
      <c r="G116" s="9"/>
      <c r="H116" s="9"/>
      <c r="I116" s="9"/>
      <c r="J116" s="9"/>
      <c r="K116" s="9"/>
      <c r="L116" s="9"/>
      <c r="M116" s="9"/>
      <c r="N116" s="9"/>
      <c r="O116" s="9"/>
      <c r="P116" s="17" t="s">
        <v>425</v>
      </c>
      <c r="Q116" s="9" t="s">
        <v>84</v>
      </c>
      <c r="R116" s="9" t="s">
        <v>390</v>
      </c>
      <c r="S116" s="9" t="s">
        <v>392</v>
      </c>
      <c r="T116" s="9" t="s">
        <v>33</v>
      </c>
      <c r="U116" s="9" t="s">
        <v>445</v>
      </c>
      <c r="V116" s="18" t="s">
        <v>13</v>
      </c>
      <c r="W116" s="12" t="str">
        <f t="shared" si="6"/>
        <v>RR4.P3.4-TED-CCVS-KCT -M3-S3-0001</v>
      </c>
      <c r="X116" s="9" t="s">
        <v>498</v>
      </c>
      <c r="Y116" s="9">
        <v>150</v>
      </c>
      <c r="Z116" s="1">
        <v>300</v>
      </c>
      <c r="AA116" s="1">
        <v>300</v>
      </c>
      <c r="AB116" s="9" t="s">
        <v>411</v>
      </c>
      <c r="AC116" s="9">
        <v>30</v>
      </c>
      <c r="AD116" s="1">
        <v>300</v>
      </c>
      <c r="AE116" s="1">
        <v>300</v>
      </c>
      <c r="AF116" s="5"/>
      <c r="AG116" s="19"/>
      <c r="AH116" s="5"/>
      <c r="AI116" s="5"/>
      <c r="AJ116" s="3"/>
      <c r="AK116" s="5"/>
      <c r="AL116" s="5"/>
      <c r="AM116" s="3"/>
      <c r="AN116" s="5"/>
    </row>
    <row r="117" spans="1:40" ht="15" hidden="1" customHeight="1" x14ac:dyDescent="0.2">
      <c r="A117" s="3"/>
      <c r="B117" s="338"/>
      <c r="C117" s="342"/>
      <c r="D117" s="8" t="s">
        <v>418</v>
      </c>
      <c r="E117" s="9" t="s">
        <v>34</v>
      </c>
      <c r="F117" s="9" t="s">
        <v>86</v>
      </c>
      <c r="G117" s="9"/>
      <c r="H117" s="9"/>
      <c r="I117" s="9"/>
      <c r="J117" s="9"/>
      <c r="K117" s="9"/>
      <c r="L117" s="9"/>
      <c r="M117" s="9"/>
      <c r="N117" s="9"/>
      <c r="O117" s="9"/>
      <c r="P117" s="17" t="s">
        <v>425</v>
      </c>
      <c r="Q117" s="9" t="s">
        <v>84</v>
      </c>
      <c r="R117" s="9" t="s">
        <v>390</v>
      </c>
      <c r="S117" s="9" t="s">
        <v>392</v>
      </c>
      <c r="T117" s="9" t="s">
        <v>33</v>
      </c>
      <c r="U117" s="9" t="s">
        <v>445</v>
      </c>
      <c r="V117" s="18" t="s">
        <v>17</v>
      </c>
      <c r="W117" s="12" t="str">
        <f t="shared" si="6"/>
        <v>RR4.P3.4-TED-CCVS-KCT -M3-S3-0002</v>
      </c>
      <c r="X117" s="9" t="s">
        <v>498</v>
      </c>
      <c r="Y117" s="9">
        <v>150</v>
      </c>
      <c r="Z117" s="1">
        <v>300</v>
      </c>
      <c r="AA117" s="1">
        <v>300</v>
      </c>
      <c r="AB117" s="9" t="s">
        <v>411</v>
      </c>
      <c r="AC117" s="9">
        <v>30</v>
      </c>
      <c r="AD117" s="1">
        <v>300</v>
      </c>
      <c r="AE117" s="1">
        <v>300</v>
      </c>
      <c r="AF117" s="5"/>
      <c r="AG117" s="19"/>
      <c r="AH117" s="5"/>
      <c r="AI117" s="5"/>
      <c r="AJ117" s="3"/>
      <c r="AK117" s="5"/>
      <c r="AL117" s="5"/>
      <c r="AM117" s="3"/>
      <c r="AN117" s="5"/>
    </row>
    <row r="118" spans="1:40" ht="15" hidden="1" customHeight="1" x14ac:dyDescent="0.2">
      <c r="A118" s="3"/>
      <c r="B118" s="338"/>
      <c r="C118" s="342"/>
      <c r="D118" s="8" t="s">
        <v>419</v>
      </c>
      <c r="E118" s="9" t="s">
        <v>34</v>
      </c>
      <c r="F118" s="9" t="s">
        <v>86</v>
      </c>
      <c r="G118" s="9"/>
      <c r="H118" s="9"/>
      <c r="I118" s="9"/>
      <c r="J118" s="9"/>
      <c r="K118" s="9"/>
      <c r="L118" s="9"/>
      <c r="M118" s="9"/>
      <c r="N118" s="9"/>
      <c r="O118" s="9"/>
      <c r="P118" s="17" t="s">
        <v>425</v>
      </c>
      <c r="Q118" s="9" t="s">
        <v>84</v>
      </c>
      <c r="R118" s="9" t="s">
        <v>390</v>
      </c>
      <c r="S118" s="9" t="s">
        <v>392</v>
      </c>
      <c r="T118" s="9" t="s">
        <v>33</v>
      </c>
      <c r="U118" s="9" t="s">
        <v>445</v>
      </c>
      <c r="V118" s="18" t="s">
        <v>90</v>
      </c>
      <c r="W118" s="12" t="str">
        <f t="shared" si="6"/>
        <v>RR4.P3.4-TED-CCVS-KCT -M3-S3-0003</v>
      </c>
      <c r="X118" s="9" t="s">
        <v>498</v>
      </c>
      <c r="Y118" s="9">
        <v>150</v>
      </c>
      <c r="Z118" s="1">
        <v>300</v>
      </c>
      <c r="AA118" s="1">
        <v>300</v>
      </c>
      <c r="AB118" s="9" t="s">
        <v>411</v>
      </c>
      <c r="AC118" s="9">
        <v>30</v>
      </c>
      <c r="AD118" s="1">
        <v>300</v>
      </c>
      <c r="AE118" s="1">
        <v>300</v>
      </c>
      <c r="AF118" s="5"/>
      <c r="AG118" s="19"/>
      <c r="AH118" s="5"/>
      <c r="AI118" s="5"/>
      <c r="AJ118" s="3"/>
      <c r="AK118" s="5"/>
      <c r="AL118" s="5"/>
      <c r="AM118" s="3"/>
      <c r="AN118" s="5"/>
    </row>
    <row r="119" spans="1:40" ht="15" hidden="1" customHeight="1" x14ac:dyDescent="0.2">
      <c r="A119" s="3"/>
      <c r="B119" s="338"/>
      <c r="C119" s="342"/>
      <c r="D119" s="8" t="s">
        <v>413</v>
      </c>
      <c r="E119" s="9" t="s">
        <v>34</v>
      </c>
      <c r="F119" s="9" t="s">
        <v>86</v>
      </c>
      <c r="G119" s="9"/>
      <c r="H119" s="9"/>
      <c r="I119" s="9"/>
      <c r="J119" s="9"/>
      <c r="K119" s="9"/>
      <c r="L119" s="9"/>
      <c r="M119" s="9"/>
      <c r="N119" s="9"/>
      <c r="O119" s="9"/>
      <c r="P119" s="17" t="s">
        <v>425</v>
      </c>
      <c r="Q119" s="9" t="s">
        <v>84</v>
      </c>
      <c r="R119" s="9" t="s">
        <v>390</v>
      </c>
      <c r="S119" s="9" t="s">
        <v>46</v>
      </c>
      <c r="T119" s="9" t="s">
        <v>33</v>
      </c>
      <c r="U119" s="9" t="s">
        <v>445</v>
      </c>
      <c r="V119" s="18" t="s">
        <v>13</v>
      </c>
      <c r="W119" s="12" t="str">
        <f t="shared" si="6"/>
        <v>RR4.P3.4-TED-CCVS-MIS-M3-S3-0001</v>
      </c>
      <c r="X119" s="9" t="s">
        <v>498</v>
      </c>
      <c r="Y119" s="9">
        <v>150</v>
      </c>
      <c r="Z119" s="1">
        <v>300</v>
      </c>
      <c r="AA119" s="1">
        <v>300</v>
      </c>
      <c r="AB119" s="9" t="s">
        <v>411</v>
      </c>
      <c r="AC119" s="9">
        <v>30</v>
      </c>
      <c r="AD119" s="1">
        <v>300</v>
      </c>
      <c r="AE119" s="1">
        <v>300</v>
      </c>
      <c r="AF119" s="5"/>
      <c r="AG119" s="19"/>
      <c r="AH119" s="5"/>
      <c r="AI119" s="5"/>
      <c r="AJ119" s="3"/>
      <c r="AK119" s="5"/>
      <c r="AL119" s="5"/>
      <c r="AM119" s="3"/>
      <c r="AN119" s="5"/>
    </row>
    <row r="120" spans="1:40" ht="15" hidden="1" customHeight="1" x14ac:dyDescent="0.2">
      <c r="A120" s="3"/>
      <c r="B120" s="338"/>
      <c r="C120" s="340"/>
      <c r="D120" s="8" t="s">
        <v>308</v>
      </c>
      <c r="E120" s="9" t="s">
        <v>34</v>
      </c>
      <c r="F120" s="9" t="s">
        <v>86</v>
      </c>
      <c r="G120" s="9"/>
      <c r="H120" s="9"/>
      <c r="I120" s="9"/>
      <c r="J120" s="9"/>
      <c r="K120" s="9"/>
      <c r="L120" s="9"/>
      <c r="M120" s="9"/>
      <c r="N120" s="9"/>
      <c r="O120" s="9"/>
      <c r="P120" s="17" t="s">
        <v>425</v>
      </c>
      <c r="Q120" s="9" t="s">
        <v>84</v>
      </c>
      <c r="R120" s="9" t="s">
        <v>390</v>
      </c>
      <c r="S120" s="9" t="s">
        <v>46</v>
      </c>
      <c r="T120" s="9" t="s">
        <v>33</v>
      </c>
      <c r="U120" s="9" t="s">
        <v>445</v>
      </c>
      <c r="V120" s="18" t="s">
        <v>13</v>
      </c>
      <c r="W120" s="12" t="str">
        <f t="shared" si="6"/>
        <v>RR4.P3.4-TED-CCVS-MIS-M3-S3-0001</v>
      </c>
      <c r="X120" s="9" t="s">
        <v>498</v>
      </c>
      <c r="Y120" s="9">
        <v>120</v>
      </c>
      <c r="Z120" s="1">
        <v>300</v>
      </c>
      <c r="AA120" s="1">
        <v>300</v>
      </c>
      <c r="AB120" s="9" t="s">
        <v>411</v>
      </c>
      <c r="AC120" s="9">
        <v>30</v>
      </c>
      <c r="AD120" s="1">
        <v>300</v>
      </c>
      <c r="AE120" s="1">
        <v>300</v>
      </c>
      <c r="AF120" s="5"/>
      <c r="AG120" s="19"/>
      <c r="AH120" s="5"/>
      <c r="AI120" s="5"/>
      <c r="AJ120" s="3"/>
      <c r="AK120" s="5"/>
      <c r="AL120" s="5"/>
      <c r="AM120" s="3"/>
      <c r="AN120" s="5"/>
    </row>
    <row r="121" spans="1:40" ht="15" hidden="1" customHeight="1" x14ac:dyDescent="0.2">
      <c r="A121" s="3"/>
      <c r="B121" s="338"/>
      <c r="C121" s="339" t="s">
        <v>432</v>
      </c>
      <c r="D121" s="8" t="s">
        <v>409</v>
      </c>
      <c r="E121" s="9" t="s">
        <v>34</v>
      </c>
      <c r="F121" s="9" t="s">
        <v>86</v>
      </c>
      <c r="G121" s="9"/>
      <c r="H121" s="9"/>
      <c r="I121" s="9"/>
      <c r="J121" s="9"/>
      <c r="K121" s="9"/>
      <c r="L121" s="9"/>
      <c r="M121" s="9"/>
      <c r="N121" s="9"/>
      <c r="O121" s="9"/>
      <c r="P121" s="17" t="s">
        <v>425</v>
      </c>
      <c r="Q121" s="9" t="s">
        <v>84</v>
      </c>
      <c r="R121" s="9" t="s">
        <v>388</v>
      </c>
      <c r="S121" s="9" t="s">
        <v>394</v>
      </c>
      <c r="T121" s="9" t="s">
        <v>33</v>
      </c>
      <c r="U121" s="9" t="s">
        <v>445</v>
      </c>
      <c r="V121" s="18" t="s">
        <v>13</v>
      </c>
      <c r="W121" s="12" t="str">
        <f t="shared" si="6"/>
        <v>RR4.P3.4-TED-CBS2-KCD -M3-S3-0001</v>
      </c>
      <c r="X121" s="9" t="s">
        <v>498</v>
      </c>
      <c r="Y121" s="9">
        <v>120</v>
      </c>
      <c r="Z121" s="1">
        <v>300</v>
      </c>
      <c r="AA121" s="1">
        <v>300</v>
      </c>
      <c r="AB121" s="9" t="s">
        <v>411</v>
      </c>
      <c r="AC121" s="9">
        <v>30</v>
      </c>
      <c r="AD121" s="1">
        <v>300</v>
      </c>
      <c r="AE121" s="1">
        <v>300</v>
      </c>
      <c r="AF121" s="5"/>
      <c r="AG121" s="19"/>
      <c r="AH121" s="5"/>
      <c r="AI121" s="5"/>
      <c r="AJ121" s="3"/>
      <c r="AK121" s="5"/>
      <c r="AL121" s="5"/>
      <c r="AM121" s="3"/>
      <c r="AN121" s="5"/>
    </row>
    <row r="122" spans="1:40" ht="15" hidden="1" customHeight="1" x14ac:dyDescent="0.2">
      <c r="A122" s="3"/>
      <c r="B122" s="338"/>
      <c r="C122" s="340"/>
      <c r="D122" s="8" t="s">
        <v>393</v>
      </c>
      <c r="E122" s="9" t="s">
        <v>34</v>
      </c>
      <c r="F122" s="9" t="s">
        <v>86</v>
      </c>
      <c r="G122" s="9"/>
      <c r="H122" s="9"/>
      <c r="I122" s="9"/>
      <c r="J122" s="9"/>
      <c r="K122" s="9"/>
      <c r="L122" s="9"/>
      <c r="M122" s="9"/>
      <c r="N122" s="9"/>
      <c r="O122" s="9"/>
      <c r="P122" s="17" t="s">
        <v>425</v>
      </c>
      <c r="Q122" s="9" t="s">
        <v>84</v>
      </c>
      <c r="R122" s="9" t="s">
        <v>388</v>
      </c>
      <c r="S122" s="9" t="s">
        <v>392</v>
      </c>
      <c r="T122" s="9" t="s">
        <v>33</v>
      </c>
      <c r="U122" s="9" t="s">
        <v>445</v>
      </c>
      <c r="V122" s="18" t="s">
        <v>13</v>
      </c>
      <c r="W122" s="12" t="str">
        <f t="shared" si="6"/>
        <v>RR4.P3.4-TED-CBS2-KCT -M3-S3-0001</v>
      </c>
      <c r="X122" s="9" t="s">
        <v>498</v>
      </c>
      <c r="Y122" s="9">
        <v>120</v>
      </c>
      <c r="Z122" s="1">
        <v>350</v>
      </c>
      <c r="AA122" s="1">
        <v>350</v>
      </c>
      <c r="AB122" s="9" t="s">
        <v>411</v>
      </c>
      <c r="AC122" s="9">
        <v>30</v>
      </c>
      <c r="AD122" s="1">
        <v>350</v>
      </c>
      <c r="AE122" s="1">
        <v>350</v>
      </c>
      <c r="AF122" s="5"/>
      <c r="AG122" s="19"/>
      <c r="AH122" s="5"/>
      <c r="AI122" s="5"/>
      <c r="AJ122" s="3"/>
      <c r="AK122" s="5"/>
      <c r="AL122" s="5"/>
      <c r="AM122" s="3"/>
      <c r="AN122" s="5"/>
    </row>
    <row r="123" spans="1:40" ht="15" hidden="1" customHeight="1" x14ac:dyDescent="0.2">
      <c r="A123" s="3"/>
      <c r="B123" s="338"/>
      <c r="C123" s="340"/>
      <c r="D123" s="8" t="s">
        <v>413</v>
      </c>
      <c r="E123" s="9" t="s">
        <v>34</v>
      </c>
      <c r="F123" s="9" t="s">
        <v>86</v>
      </c>
      <c r="G123" s="9"/>
      <c r="H123" s="9"/>
      <c r="I123" s="9"/>
      <c r="J123" s="9"/>
      <c r="K123" s="9"/>
      <c r="L123" s="9"/>
      <c r="M123" s="9"/>
      <c r="N123" s="9"/>
      <c r="O123" s="9"/>
      <c r="P123" s="17" t="s">
        <v>425</v>
      </c>
      <c r="Q123" s="9" t="s">
        <v>84</v>
      </c>
      <c r="R123" s="9" t="s">
        <v>388</v>
      </c>
      <c r="S123" s="9" t="s">
        <v>46</v>
      </c>
      <c r="T123" s="9" t="s">
        <v>33</v>
      </c>
      <c r="U123" s="9" t="s">
        <v>445</v>
      </c>
      <c r="V123" s="18" t="s">
        <v>13</v>
      </c>
      <c r="W123" s="12" t="str">
        <f t="shared" si="6"/>
        <v>RR4.P3.4-TED-CBS2-MIS-M3-S3-0001</v>
      </c>
      <c r="X123" s="9" t="s">
        <v>498</v>
      </c>
      <c r="Y123" s="9">
        <v>120</v>
      </c>
      <c r="Z123" s="1">
        <v>350</v>
      </c>
      <c r="AA123" s="1">
        <v>350</v>
      </c>
      <c r="AB123" s="9" t="s">
        <v>411</v>
      </c>
      <c r="AC123" s="9">
        <v>30</v>
      </c>
      <c r="AD123" s="1">
        <v>350</v>
      </c>
      <c r="AE123" s="1">
        <v>350</v>
      </c>
      <c r="AF123" s="5"/>
      <c r="AG123" s="19"/>
      <c r="AH123" s="5"/>
      <c r="AI123" s="5"/>
      <c r="AJ123" s="3"/>
      <c r="AK123" s="5"/>
      <c r="AL123" s="5"/>
      <c r="AM123" s="3"/>
      <c r="AN123" s="5"/>
    </row>
    <row r="124" spans="1:40" ht="15" hidden="1" customHeight="1" x14ac:dyDescent="0.2">
      <c r="A124" s="3"/>
      <c r="B124" s="338"/>
      <c r="C124" s="340"/>
      <c r="D124" s="8" t="s">
        <v>308</v>
      </c>
      <c r="E124" s="9" t="s">
        <v>34</v>
      </c>
      <c r="F124" s="9" t="s">
        <v>86</v>
      </c>
      <c r="G124" s="9"/>
      <c r="H124" s="9"/>
      <c r="I124" s="9"/>
      <c r="J124" s="9"/>
      <c r="K124" s="9"/>
      <c r="L124" s="9"/>
      <c r="M124" s="9"/>
      <c r="N124" s="9"/>
      <c r="O124" s="9"/>
      <c r="P124" s="17" t="s">
        <v>425</v>
      </c>
      <c r="Q124" s="9" t="s">
        <v>84</v>
      </c>
      <c r="R124" s="9" t="s">
        <v>388</v>
      </c>
      <c r="S124" s="9" t="s">
        <v>46</v>
      </c>
      <c r="T124" s="9" t="s">
        <v>33</v>
      </c>
      <c r="U124" s="9" t="s">
        <v>445</v>
      </c>
      <c r="V124" s="18" t="s">
        <v>13</v>
      </c>
      <c r="W124" s="12" t="str">
        <f t="shared" si="6"/>
        <v>RR4.P3.4-TED-CBS2-MIS-M3-S3-0001</v>
      </c>
      <c r="X124" s="9" t="s">
        <v>498</v>
      </c>
      <c r="Y124" s="9">
        <v>120</v>
      </c>
      <c r="Z124" s="1">
        <v>350</v>
      </c>
      <c r="AA124" s="1">
        <v>350</v>
      </c>
      <c r="AB124" s="9" t="s">
        <v>411</v>
      </c>
      <c r="AC124" s="9">
        <v>30</v>
      </c>
      <c r="AD124" s="1">
        <v>350</v>
      </c>
      <c r="AE124" s="1">
        <v>350</v>
      </c>
      <c r="AF124" s="5"/>
      <c r="AG124" s="19"/>
      <c r="AH124" s="5"/>
      <c r="AI124" s="5"/>
      <c r="AJ124" s="3"/>
      <c r="AK124" s="5"/>
      <c r="AL124" s="5"/>
      <c r="AM124" s="3"/>
      <c r="AN124" s="5"/>
    </row>
    <row r="125" spans="1:40" ht="15" hidden="1" customHeight="1" x14ac:dyDescent="0.2">
      <c r="A125" s="3"/>
      <c r="B125" s="338"/>
      <c r="C125" s="339" t="s">
        <v>433</v>
      </c>
      <c r="D125" s="8" t="s">
        <v>409</v>
      </c>
      <c r="E125" s="9" t="s">
        <v>34</v>
      </c>
      <c r="F125" s="9" t="s">
        <v>86</v>
      </c>
      <c r="G125" s="9"/>
      <c r="H125" s="9"/>
      <c r="I125" s="9"/>
      <c r="J125" s="9"/>
      <c r="K125" s="9"/>
      <c r="L125" s="9"/>
      <c r="M125" s="9"/>
      <c r="N125" s="9"/>
      <c r="O125" s="9"/>
      <c r="P125" s="17" t="s">
        <v>425</v>
      </c>
      <c r="Q125" s="9" t="s">
        <v>84</v>
      </c>
      <c r="R125" s="9" t="s">
        <v>384</v>
      </c>
      <c r="S125" s="9" t="s">
        <v>394</v>
      </c>
      <c r="T125" s="9" t="s">
        <v>33</v>
      </c>
      <c r="U125" s="9" t="s">
        <v>445</v>
      </c>
      <c r="V125" s="18" t="s">
        <v>13</v>
      </c>
      <c r="W125" s="12" t="str">
        <f t="shared" si="6"/>
        <v>RR4.P3.4-TED-CVD2-KCD -M3-S3-0001</v>
      </c>
      <c r="X125" s="9" t="s">
        <v>498</v>
      </c>
      <c r="Y125" s="9">
        <v>120</v>
      </c>
      <c r="Z125" s="1">
        <v>350</v>
      </c>
      <c r="AA125" s="1">
        <v>350</v>
      </c>
      <c r="AB125" s="9" t="s">
        <v>411</v>
      </c>
      <c r="AC125" s="9">
        <v>30</v>
      </c>
      <c r="AD125" s="1">
        <v>350</v>
      </c>
      <c r="AE125" s="1">
        <v>350</v>
      </c>
      <c r="AF125" s="5"/>
      <c r="AG125" s="19"/>
      <c r="AH125" s="5"/>
      <c r="AI125" s="5"/>
      <c r="AJ125" s="3"/>
      <c r="AK125" s="5"/>
      <c r="AL125" s="5"/>
      <c r="AM125" s="3"/>
      <c r="AN125" s="5"/>
    </row>
    <row r="126" spans="1:40" ht="15" hidden="1" customHeight="1" x14ac:dyDescent="0.2">
      <c r="A126" s="3"/>
      <c r="B126" s="338"/>
      <c r="C126" s="340"/>
      <c r="D126" s="8" t="s">
        <v>393</v>
      </c>
      <c r="E126" s="9" t="s">
        <v>34</v>
      </c>
      <c r="F126" s="9" t="s">
        <v>86</v>
      </c>
      <c r="G126" s="9"/>
      <c r="H126" s="9"/>
      <c r="I126" s="9"/>
      <c r="J126" s="9"/>
      <c r="K126" s="9"/>
      <c r="L126" s="9"/>
      <c r="M126" s="9"/>
      <c r="N126" s="9"/>
      <c r="O126" s="9"/>
      <c r="P126" s="17" t="s">
        <v>425</v>
      </c>
      <c r="Q126" s="9" t="s">
        <v>84</v>
      </c>
      <c r="R126" s="9" t="s">
        <v>384</v>
      </c>
      <c r="S126" s="9" t="s">
        <v>392</v>
      </c>
      <c r="T126" s="9" t="s">
        <v>33</v>
      </c>
      <c r="U126" s="9" t="s">
        <v>445</v>
      </c>
      <c r="V126" s="18" t="s">
        <v>13</v>
      </c>
      <c r="W126" s="12" t="str">
        <f t="shared" si="6"/>
        <v>RR4.P3.4-TED-CVD2-KCT -M3-S3-0001</v>
      </c>
      <c r="X126" s="9" t="s">
        <v>498</v>
      </c>
      <c r="Y126" s="9">
        <v>120</v>
      </c>
      <c r="Z126" s="1">
        <v>350</v>
      </c>
      <c r="AA126" s="1">
        <v>350</v>
      </c>
      <c r="AB126" s="9" t="s">
        <v>411</v>
      </c>
      <c r="AC126" s="9">
        <v>30</v>
      </c>
      <c r="AD126" s="1">
        <v>350</v>
      </c>
      <c r="AE126" s="1">
        <v>350</v>
      </c>
      <c r="AF126" s="5"/>
      <c r="AG126" s="19"/>
      <c r="AH126" s="5"/>
      <c r="AI126" s="5"/>
      <c r="AJ126" s="3"/>
      <c r="AK126" s="5"/>
      <c r="AL126" s="5"/>
      <c r="AM126" s="3"/>
      <c r="AN126" s="5"/>
    </row>
    <row r="127" spans="1:40" ht="15" hidden="1" customHeight="1" x14ac:dyDescent="0.2">
      <c r="A127" s="3"/>
      <c r="B127" s="338"/>
      <c r="C127" s="340"/>
      <c r="D127" s="8" t="s">
        <v>413</v>
      </c>
      <c r="E127" s="9" t="s">
        <v>34</v>
      </c>
      <c r="F127" s="9" t="s">
        <v>86</v>
      </c>
      <c r="G127" s="9"/>
      <c r="H127" s="9"/>
      <c r="I127" s="9"/>
      <c r="J127" s="9"/>
      <c r="K127" s="9"/>
      <c r="L127" s="9"/>
      <c r="M127" s="9"/>
      <c r="N127" s="9"/>
      <c r="O127" s="9"/>
      <c r="P127" s="17" t="s">
        <v>425</v>
      </c>
      <c r="Q127" s="9" t="s">
        <v>84</v>
      </c>
      <c r="R127" s="9" t="s">
        <v>384</v>
      </c>
      <c r="S127" s="9" t="s">
        <v>46</v>
      </c>
      <c r="T127" s="9" t="s">
        <v>33</v>
      </c>
      <c r="U127" s="9" t="s">
        <v>445</v>
      </c>
      <c r="V127" s="18" t="s">
        <v>13</v>
      </c>
      <c r="W127" s="12" t="str">
        <f t="shared" si="6"/>
        <v>RR4.P3.4-TED-CVD2-MIS-M3-S3-0001</v>
      </c>
      <c r="X127" s="9" t="s">
        <v>498</v>
      </c>
      <c r="Y127" s="9">
        <v>120</v>
      </c>
      <c r="Z127" s="1">
        <v>300</v>
      </c>
      <c r="AA127" s="1">
        <v>300</v>
      </c>
      <c r="AB127" s="9" t="s">
        <v>411</v>
      </c>
      <c r="AC127" s="9">
        <v>30</v>
      </c>
      <c r="AD127" s="1">
        <v>300</v>
      </c>
      <c r="AE127" s="1">
        <v>300</v>
      </c>
      <c r="AF127" s="5"/>
      <c r="AG127" s="19"/>
      <c r="AH127" s="5"/>
      <c r="AI127" s="5"/>
      <c r="AJ127" s="3"/>
      <c r="AK127" s="5"/>
      <c r="AL127" s="5"/>
      <c r="AM127" s="3"/>
      <c r="AN127" s="5"/>
    </row>
    <row r="128" spans="1:40" ht="15" hidden="1" customHeight="1" x14ac:dyDescent="0.2">
      <c r="A128" s="3"/>
      <c r="B128" s="338"/>
      <c r="C128" s="340"/>
      <c r="D128" s="8" t="s">
        <v>308</v>
      </c>
      <c r="E128" s="9" t="s">
        <v>34</v>
      </c>
      <c r="F128" s="9" t="s">
        <v>86</v>
      </c>
      <c r="G128" s="9"/>
      <c r="H128" s="9"/>
      <c r="I128" s="9"/>
      <c r="J128" s="9"/>
      <c r="K128" s="9"/>
      <c r="L128" s="9"/>
      <c r="M128" s="9"/>
      <c r="N128" s="9"/>
      <c r="O128" s="9"/>
      <c r="P128" s="17" t="s">
        <v>425</v>
      </c>
      <c r="Q128" s="9" t="s">
        <v>84</v>
      </c>
      <c r="R128" s="9" t="s">
        <v>384</v>
      </c>
      <c r="S128" s="9" t="s">
        <v>46</v>
      </c>
      <c r="T128" s="9" t="s">
        <v>33</v>
      </c>
      <c r="U128" s="9" t="s">
        <v>445</v>
      </c>
      <c r="V128" s="18" t="s">
        <v>13</v>
      </c>
      <c r="W128" s="12" t="str">
        <f t="shared" si="6"/>
        <v>RR4.P3.4-TED-CVD2-MIS-M3-S3-0001</v>
      </c>
      <c r="X128" s="9" t="s">
        <v>498</v>
      </c>
      <c r="Y128" s="9">
        <v>120</v>
      </c>
      <c r="Z128" s="1">
        <v>300</v>
      </c>
      <c r="AA128" s="1">
        <v>300</v>
      </c>
      <c r="AB128" s="9" t="s">
        <v>411</v>
      </c>
      <c r="AC128" s="9">
        <v>30</v>
      </c>
      <c r="AD128" s="1">
        <v>300</v>
      </c>
      <c r="AE128" s="1">
        <v>300</v>
      </c>
      <c r="AF128" s="5"/>
      <c r="AG128" s="19"/>
      <c r="AH128" s="5"/>
      <c r="AI128" s="5"/>
      <c r="AJ128" s="3"/>
      <c r="AK128" s="5"/>
      <c r="AL128" s="5"/>
      <c r="AM128" s="3"/>
      <c r="AN128" s="5"/>
    </row>
    <row r="129" spans="1:40" ht="15" hidden="1" customHeight="1" x14ac:dyDescent="0.2">
      <c r="A129" s="3"/>
      <c r="B129" s="338"/>
      <c r="C129" s="339" t="s">
        <v>434</v>
      </c>
      <c r="D129" s="8" t="s">
        <v>409</v>
      </c>
      <c r="E129" s="9" t="s">
        <v>34</v>
      </c>
      <c r="F129" s="9" t="s">
        <v>86</v>
      </c>
      <c r="G129" s="9"/>
      <c r="H129" s="9"/>
      <c r="I129" s="9"/>
      <c r="J129" s="9"/>
      <c r="K129" s="9"/>
      <c r="L129" s="9"/>
      <c r="M129" s="9"/>
      <c r="N129" s="9"/>
      <c r="O129" s="9"/>
      <c r="P129" s="17" t="s">
        <v>425</v>
      </c>
      <c r="Q129" s="9" t="s">
        <v>84</v>
      </c>
      <c r="R129" s="9" t="s">
        <v>388</v>
      </c>
      <c r="S129" s="9" t="s">
        <v>394</v>
      </c>
      <c r="T129" s="9" t="s">
        <v>33</v>
      </c>
      <c r="U129" s="9" t="s">
        <v>445</v>
      </c>
      <c r="V129" s="18" t="s">
        <v>13</v>
      </c>
      <c r="W129" s="12" t="str">
        <f t="shared" si="6"/>
        <v>RR4.P3.4-TED-CBS2-KCD -M3-S3-0001</v>
      </c>
      <c r="X129" s="9" t="s">
        <v>498</v>
      </c>
      <c r="Y129" s="9">
        <v>120</v>
      </c>
      <c r="Z129" s="1">
        <v>300</v>
      </c>
      <c r="AA129" s="1">
        <v>300</v>
      </c>
      <c r="AB129" s="9" t="s">
        <v>411</v>
      </c>
      <c r="AC129" s="9">
        <v>30</v>
      </c>
      <c r="AD129" s="1">
        <v>300</v>
      </c>
      <c r="AE129" s="1">
        <v>300</v>
      </c>
      <c r="AF129" s="5"/>
      <c r="AG129" s="19"/>
      <c r="AH129" s="5"/>
      <c r="AI129" s="5"/>
      <c r="AJ129" s="3"/>
      <c r="AK129" s="5"/>
      <c r="AL129" s="5"/>
      <c r="AM129" s="3"/>
      <c r="AN129" s="5"/>
    </row>
    <row r="130" spans="1:40" ht="15" hidden="1" customHeight="1" x14ac:dyDescent="0.2">
      <c r="A130" s="3"/>
      <c r="B130" s="338"/>
      <c r="C130" s="340"/>
      <c r="D130" s="8" t="s">
        <v>393</v>
      </c>
      <c r="E130" s="9" t="s">
        <v>34</v>
      </c>
      <c r="F130" s="9" t="s">
        <v>86</v>
      </c>
      <c r="G130" s="9"/>
      <c r="H130" s="9"/>
      <c r="I130" s="9"/>
      <c r="J130" s="9"/>
      <c r="K130" s="9"/>
      <c r="L130" s="9"/>
      <c r="M130" s="9"/>
      <c r="N130" s="9"/>
      <c r="O130" s="9"/>
      <c r="P130" s="17" t="s">
        <v>425</v>
      </c>
      <c r="Q130" s="9" t="s">
        <v>84</v>
      </c>
      <c r="R130" s="9" t="s">
        <v>388</v>
      </c>
      <c r="S130" s="9" t="s">
        <v>392</v>
      </c>
      <c r="T130" s="9" t="s">
        <v>33</v>
      </c>
      <c r="U130" s="9" t="s">
        <v>445</v>
      </c>
      <c r="V130" s="18" t="s">
        <v>13</v>
      </c>
      <c r="W130" s="12" t="str">
        <f t="shared" si="6"/>
        <v>RR4.P3.4-TED-CBS2-KCT -M3-S3-0001</v>
      </c>
      <c r="X130" s="9" t="s">
        <v>498</v>
      </c>
      <c r="Y130" s="9">
        <v>120</v>
      </c>
      <c r="Z130" s="1">
        <v>350</v>
      </c>
      <c r="AA130" s="1">
        <v>350</v>
      </c>
      <c r="AB130" s="9" t="s">
        <v>411</v>
      </c>
      <c r="AC130" s="9">
        <v>30</v>
      </c>
      <c r="AD130" s="1">
        <v>350</v>
      </c>
      <c r="AE130" s="1">
        <v>350</v>
      </c>
      <c r="AF130" s="5"/>
      <c r="AG130" s="19"/>
      <c r="AH130" s="5"/>
      <c r="AI130" s="5"/>
      <c r="AJ130" s="3"/>
      <c r="AK130" s="5"/>
      <c r="AL130" s="5"/>
      <c r="AM130" s="3"/>
      <c r="AN130" s="5"/>
    </row>
    <row r="131" spans="1:40" ht="15" hidden="1" customHeight="1" x14ac:dyDescent="0.2">
      <c r="A131" s="3"/>
      <c r="B131" s="338"/>
      <c r="C131" s="340"/>
      <c r="D131" s="8" t="s">
        <v>413</v>
      </c>
      <c r="E131" s="9" t="s">
        <v>34</v>
      </c>
      <c r="F131" s="9" t="s">
        <v>86</v>
      </c>
      <c r="G131" s="9"/>
      <c r="H131" s="9"/>
      <c r="I131" s="9"/>
      <c r="J131" s="9"/>
      <c r="K131" s="9"/>
      <c r="L131" s="9"/>
      <c r="M131" s="9"/>
      <c r="N131" s="9"/>
      <c r="O131" s="9"/>
      <c r="P131" s="17" t="s">
        <v>425</v>
      </c>
      <c r="Q131" s="9" t="s">
        <v>84</v>
      </c>
      <c r="R131" s="9" t="s">
        <v>388</v>
      </c>
      <c r="S131" s="9" t="s">
        <v>46</v>
      </c>
      <c r="T131" s="9" t="s">
        <v>33</v>
      </c>
      <c r="U131" s="9" t="s">
        <v>445</v>
      </c>
      <c r="V131" s="18" t="s">
        <v>13</v>
      </c>
      <c r="W131" s="12" t="str">
        <f t="shared" si="6"/>
        <v>RR4.P3.4-TED-CBS2-MIS-M3-S3-0001</v>
      </c>
      <c r="X131" s="9" t="s">
        <v>498</v>
      </c>
      <c r="Y131" s="9">
        <v>120</v>
      </c>
      <c r="Z131" s="1">
        <v>350</v>
      </c>
      <c r="AA131" s="1">
        <v>350</v>
      </c>
      <c r="AB131" s="9" t="s">
        <v>411</v>
      </c>
      <c r="AC131" s="9">
        <v>30</v>
      </c>
      <c r="AD131" s="1">
        <v>350</v>
      </c>
      <c r="AE131" s="1">
        <v>350</v>
      </c>
      <c r="AF131" s="5"/>
      <c r="AG131" s="19"/>
      <c r="AH131" s="5"/>
      <c r="AI131" s="5"/>
      <c r="AJ131" s="3"/>
      <c r="AK131" s="5"/>
      <c r="AL131" s="5"/>
      <c r="AM131" s="3"/>
      <c r="AN131" s="5"/>
    </row>
    <row r="132" spans="1:40" ht="15" hidden="1" customHeight="1" x14ac:dyDescent="0.2">
      <c r="A132" s="3"/>
      <c r="B132" s="338"/>
      <c r="C132" s="340"/>
      <c r="D132" s="8" t="s">
        <v>308</v>
      </c>
      <c r="E132" s="9" t="s">
        <v>34</v>
      </c>
      <c r="F132" s="9" t="s">
        <v>86</v>
      </c>
      <c r="G132" s="9"/>
      <c r="H132" s="9"/>
      <c r="I132" s="9"/>
      <c r="J132" s="9"/>
      <c r="K132" s="9"/>
      <c r="L132" s="9"/>
      <c r="M132" s="9"/>
      <c r="N132" s="9"/>
      <c r="O132" s="9"/>
      <c r="P132" s="17" t="s">
        <v>425</v>
      </c>
      <c r="Q132" s="9" t="s">
        <v>84</v>
      </c>
      <c r="R132" s="9" t="s">
        <v>388</v>
      </c>
      <c r="S132" s="9" t="s">
        <v>46</v>
      </c>
      <c r="T132" s="9" t="s">
        <v>33</v>
      </c>
      <c r="U132" s="9" t="s">
        <v>445</v>
      </c>
      <c r="V132" s="18" t="s">
        <v>13</v>
      </c>
      <c r="W132" s="12" t="str">
        <f t="shared" si="6"/>
        <v>RR4.P3.4-TED-CBS2-MIS-M3-S3-0001</v>
      </c>
      <c r="X132" s="9" t="s">
        <v>498</v>
      </c>
      <c r="Y132" s="9">
        <v>120</v>
      </c>
      <c r="Z132" s="1">
        <v>350</v>
      </c>
      <c r="AA132" s="1">
        <v>350</v>
      </c>
      <c r="AB132" s="9" t="s">
        <v>411</v>
      </c>
      <c r="AC132" s="9">
        <v>30</v>
      </c>
      <c r="AD132" s="1">
        <v>350</v>
      </c>
      <c r="AE132" s="1">
        <v>350</v>
      </c>
      <c r="AF132" s="5"/>
      <c r="AG132" s="19"/>
      <c r="AH132" s="5"/>
      <c r="AI132" s="5"/>
      <c r="AJ132" s="3"/>
      <c r="AK132" s="5"/>
      <c r="AL132" s="5"/>
      <c r="AM132" s="3"/>
      <c r="AN132" s="5"/>
    </row>
    <row r="133" spans="1:40" ht="15" hidden="1" customHeight="1" x14ac:dyDescent="0.2">
      <c r="A133" s="3"/>
      <c r="B133" s="338"/>
      <c r="C133" s="339" t="s">
        <v>435</v>
      </c>
      <c r="D133" s="8" t="s">
        <v>409</v>
      </c>
      <c r="E133" s="9" t="s">
        <v>34</v>
      </c>
      <c r="F133" s="9" t="s">
        <v>86</v>
      </c>
      <c r="G133" s="9"/>
      <c r="H133" s="9"/>
      <c r="I133" s="9"/>
      <c r="J133" s="9"/>
      <c r="K133" s="9"/>
      <c r="L133" s="9"/>
      <c r="M133" s="9"/>
      <c r="N133" s="9"/>
      <c r="O133" s="9"/>
      <c r="P133" s="17" t="s">
        <v>425</v>
      </c>
      <c r="Q133" s="9" t="s">
        <v>84</v>
      </c>
      <c r="R133" s="9" t="s">
        <v>384</v>
      </c>
      <c r="S133" s="9" t="s">
        <v>394</v>
      </c>
      <c r="T133" s="9" t="s">
        <v>33</v>
      </c>
      <c r="U133" s="9" t="s">
        <v>445</v>
      </c>
      <c r="V133" s="18" t="s">
        <v>13</v>
      </c>
      <c r="W133" s="12" t="str">
        <f t="shared" si="6"/>
        <v>RR4.P3.4-TED-CVD2-KCD -M3-S3-0001</v>
      </c>
      <c r="X133" s="9" t="s">
        <v>498</v>
      </c>
      <c r="Y133" s="9">
        <v>120</v>
      </c>
      <c r="Z133" s="1">
        <v>350</v>
      </c>
      <c r="AA133" s="1">
        <v>350</v>
      </c>
      <c r="AB133" s="9" t="s">
        <v>411</v>
      </c>
      <c r="AC133" s="9">
        <v>30</v>
      </c>
      <c r="AD133" s="1">
        <v>350</v>
      </c>
      <c r="AE133" s="1">
        <v>350</v>
      </c>
      <c r="AF133" s="5"/>
      <c r="AG133" s="19"/>
      <c r="AH133" s="5"/>
      <c r="AI133" s="5"/>
      <c r="AJ133" s="3"/>
      <c r="AK133" s="5"/>
      <c r="AL133" s="5"/>
      <c r="AM133" s="3"/>
      <c r="AN133" s="5"/>
    </row>
    <row r="134" spans="1:40" ht="15" hidden="1" customHeight="1" x14ac:dyDescent="0.2">
      <c r="A134" s="3"/>
      <c r="B134" s="338"/>
      <c r="C134" s="340"/>
      <c r="D134" s="8" t="s">
        <v>393</v>
      </c>
      <c r="E134" s="9" t="s">
        <v>34</v>
      </c>
      <c r="F134" s="9" t="s">
        <v>86</v>
      </c>
      <c r="G134" s="9"/>
      <c r="H134" s="9"/>
      <c r="I134" s="9"/>
      <c r="J134" s="9"/>
      <c r="K134" s="9"/>
      <c r="L134" s="9"/>
      <c r="M134" s="9"/>
      <c r="N134" s="9"/>
      <c r="O134" s="9"/>
      <c r="P134" s="17" t="s">
        <v>425</v>
      </c>
      <c r="Q134" s="9" t="s">
        <v>84</v>
      </c>
      <c r="R134" s="9" t="s">
        <v>384</v>
      </c>
      <c r="S134" s="9" t="s">
        <v>392</v>
      </c>
      <c r="T134" s="9" t="s">
        <v>33</v>
      </c>
      <c r="U134" s="9" t="s">
        <v>445</v>
      </c>
      <c r="V134" s="18" t="s">
        <v>13</v>
      </c>
      <c r="W134" s="12" t="str">
        <f t="shared" si="6"/>
        <v>RR4.P3.4-TED-CVD2-KCT -M3-S3-0001</v>
      </c>
      <c r="X134" s="9" t="s">
        <v>498</v>
      </c>
      <c r="Y134" s="9">
        <v>120</v>
      </c>
      <c r="Z134" s="1">
        <v>350</v>
      </c>
      <c r="AA134" s="1">
        <v>350</v>
      </c>
      <c r="AB134" s="9" t="s">
        <v>411</v>
      </c>
      <c r="AC134" s="9">
        <v>30</v>
      </c>
      <c r="AD134" s="1">
        <v>350</v>
      </c>
      <c r="AE134" s="1">
        <v>350</v>
      </c>
      <c r="AF134" s="5"/>
      <c r="AG134" s="19"/>
      <c r="AH134" s="5"/>
      <c r="AI134" s="5"/>
      <c r="AJ134" s="3"/>
      <c r="AK134" s="5"/>
      <c r="AL134" s="5"/>
      <c r="AM134" s="3"/>
      <c r="AN134" s="5"/>
    </row>
    <row r="135" spans="1:40" ht="15" hidden="1" customHeight="1" x14ac:dyDescent="0.2">
      <c r="A135" s="3"/>
      <c r="B135" s="338"/>
      <c r="C135" s="340"/>
      <c r="D135" s="8" t="s">
        <v>413</v>
      </c>
      <c r="E135" s="9" t="s">
        <v>34</v>
      </c>
      <c r="F135" s="9" t="s">
        <v>86</v>
      </c>
      <c r="G135" s="9"/>
      <c r="H135" s="9"/>
      <c r="I135" s="9"/>
      <c r="J135" s="9"/>
      <c r="K135" s="9"/>
      <c r="L135" s="9"/>
      <c r="M135" s="9"/>
      <c r="N135" s="9"/>
      <c r="O135" s="9"/>
      <c r="P135" s="17" t="s">
        <v>425</v>
      </c>
      <c r="Q135" s="9" t="s">
        <v>84</v>
      </c>
      <c r="R135" s="9" t="s">
        <v>384</v>
      </c>
      <c r="S135" s="9" t="s">
        <v>46</v>
      </c>
      <c r="T135" s="9" t="s">
        <v>33</v>
      </c>
      <c r="U135" s="9" t="s">
        <v>445</v>
      </c>
      <c r="V135" s="18" t="s">
        <v>13</v>
      </c>
      <c r="W135" s="12" t="str">
        <f t="shared" si="6"/>
        <v>RR4.P3.4-TED-CVD2-MIS-M3-S3-0001</v>
      </c>
      <c r="X135" s="9" t="s">
        <v>498</v>
      </c>
      <c r="Y135" s="9">
        <v>120</v>
      </c>
      <c r="Z135" s="1">
        <v>300</v>
      </c>
      <c r="AA135" s="1">
        <v>300</v>
      </c>
      <c r="AB135" s="9" t="s">
        <v>411</v>
      </c>
      <c r="AC135" s="9">
        <v>30</v>
      </c>
      <c r="AD135" s="1">
        <v>300</v>
      </c>
      <c r="AE135" s="1">
        <v>300</v>
      </c>
      <c r="AF135" s="5"/>
      <c r="AG135" s="19"/>
      <c r="AH135" s="5"/>
      <c r="AI135" s="5"/>
      <c r="AJ135" s="3"/>
      <c r="AK135" s="5"/>
      <c r="AL135" s="5"/>
      <c r="AM135" s="3"/>
      <c r="AN135" s="5"/>
    </row>
    <row r="136" spans="1:40" ht="15" hidden="1" customHeight="1" x14ac:dyDescent="0.2">
      <c r="A136" s="3"/>
      <c r="B136" s="367"/>
      <c r="C136" s="340"/>
      <c r="D136" s="8" t="s">
        <v>308</v>
      </c>
      <c r="E136" s="9" t="s">
        <v>34</v>
      </c>
      <c r="F136" s="9" t="s">
        <v>86</v>
      </c>
      <c r="G136" s="9"/>
      <c r="H136" s="9"/>
      <c r="I136" s="9"/>
      <c r="J136" s="9"/>
      <c r="K136" s="9"/>
      <c r="L136" s="9"/>
      <c r="M136" s="9"/>
      <c r="N136" s="9"/>
      <c r="O136" s="9"/>
      <c r="P136" s="17" t="s">
        <v>425</v>
      </c>
      <c r="Q136" s="9" t="s">
        <v>84</v>
      </c>
      <c r="R136" s="9" t="s">
        <v>384</v>
      </c>
      <c r="S136" s="9" t="s">
        <v>46</v>
      </c>
      <c r="T136" s="9" t="s">
        <v>33</v>
      </c>
      <c r="U136" s="9" t="s">
        <v>445</v>
      </c>
      <c r="V136" s="18" t="s">
        <v>13</v>
      </c>
      <c r="W136" s="12" t="str">
        <f t="shared" si="6"/>
        <v>RR4.P3.4-TED-CVD2-MIS-M3-S3-0001</v>
      </c>
      <c r="X136" s="9" t="s">
        <v>498</v>
      </c>
      <c r="Y136" s="9">
        <v>120</v>
      </c>
      <c r="Z136" s="1">
        <v>300</v>
      </c>
      <c r="AA136" s="1">
        <v>300</v>
      </c>
      <c r="AB136" s="9" t="s">
        <v>411</v>
      </c>
      <c r="AC136" s="9">
        <v>30</v>
      </c>
      <c r="AD136" s="1">
        <v>300</v>
      </c>
      <c r="AE136" s="1">
        <v>300</v>
      </c>
      <c r="AF136" s="5"/>
      <c r="AG136" s="19"/>
      <c r="AH136" s="5"/>
      <c r="AI136" s="5"/>
      <c r="AJ136" s="3"/>
      <c r="AK136" s="5"/>
      <c r="AL136" s="5"/>
      <c r="AM136" s="3"/>
      <c r="AN136" s="5"/>
    </row>
    <row r="137" spans="1:40" ht="15" customHeight="1" x14ac:dyDescent="0.2">
      <c r="A137" s="3"/>
      <c r="B137" s="370" t="s">
        <v>500</v>
      </c>
      <c r="C137" s="371"/>
      <c r="D137" s="8"/>
      <c r="E137" s="9"/>
      <c r="F137" s="9"/>
      <c r="G137" s="9"/>
      <c r="H137" s="9"/>
      <c r="I137" s="9"/>
      <c r="J137" s="9"/>
      <c r="K137" s="9"/>
      <c r="L137" s="9"/>
      <c r="M137" s="9"/>
      <c r="N137" s="9"/>
      <c r="O137" s="9"/>
      <c r="P137" s="10"/>
      <c r="Q137" s="7"/>
      <c r="R137" s="9"/>
      <c r="S137" s="7"/>
      <c r="T137" s="7"/>
      <c r="U137" s="7"/>
      <c r="V137" s="11"/>
      <c r="W137" s="12"/>
      <c r="X137" s="9"/>
      <c r="Y137" s="9"/>
      <c r="Z137" s="7"/>
      <c r="AA137" s="9"/>
      <c r="AB137" s="9"/>
      <c r="AC137" s="7"/>
      <c r="AD137" s="7"/>
      <c r="AE137" s="9"/>
      <c r="AF137" s="5"/>
      <c r="AG137" s="3"/>
      <c r="AH137" s="5"/>
      <c r="AI137" s="5"/>
      <c r="AJ137" s="3"/>
      <c r="AK137" s="5"/>
      <c r="AL137" s="5"/>
      <c r="AM137" s="3"/>
      <c r="AN137" s="5"/>
    </row>
    <row r="138" spans="1:40" ht="15" customHeight="1" x14ac:dyDescent="0.2">
      <c r="A138" s="3"/>
      <c r="B138" s="21"/>
      <c r="C138" s="13" t="s">
        <v>488</v>
      </c>
      <c r="D138" s="8"/>
      <c r="E138" s="9" t="s">
        <v>39</v>
      </c>
      <c r="F138" s="9" t="s">
        <v>89</v>
      </c>
      <c r="G138" s="9"/>
      <c r="H138" s="9"/>
      <c r="I138" s="9">
        <v>100</v>
      </c>
      <c r="J138" s="122">
        <f>+L138</f>
        <v>33337963.890000001</v>
      </c>
      <c r="K138" s="120">
        <f>+K139</f>
        <v>45461</v>
      </c>
      <c r="L138" s="122">
        <f>+M138</f>
        <v>33337963.890000001</v>
      </c>
      <c r="M138" s="122">
        <f>+AJ13*AJ15*AJ138/100</f>
        <v>33337963.890000001</v>
      </c>
      <c r="N138" s="122"/>
      <c r="O138" s="9"/>
      <c r="P138" s="17" t="s">
        <v>452</v>
      </c>
      <c r="Q138" s="9" t="s">
        <v>446</v>
      </c>
      <c r="R138" s="9" t="s">
        <v>11</v>
      </c>
      <c r="S138" s="9" t="s">
        <v>14</v>
      </c>
      <c r="T138" s="9" t="s">
        <v>15</v>
      </c>
      <c r="U138" s="9" t="s">
        <v>40</v>
      </c>
      <c r="V138" s="11" t="s">
        <v>13</v>
      </c>
      <c r="W138" s="12" t="str">
        <f>IF(P138="","-",CONCATENATE(P138,"-",Q138,"-",R138,"-",S138,"-",T138,"-",U138,"-",V138))</f>
        <v>XVNT-IICM-ZZ-XX-BQ-Z-0001</v>
      </c>
      <c r="X138" s="9" t="s">
        <v>498</v>
      </c>
      <c r="Y138" s="9">
        <v>40</v>
      </c>
      <c r="Z138" s="7"/>
      <c r="AA138" s="7"/>
      <c r="AB138" s="9" t="s">
        <v>498</v>
      </c>
      <c r="AC138" s="9">
        <v>30</v>
      </c>
      <c r="AD138" s="7"/>
      <c r="AE138" s="7"/>
      <c r="AF138" s="5"/>
      <c r="AG138" s="3"/>
      <c r="AH138" s="5"/>
      <c r="AI138" s="5"/>
      <c r="AJ138" s="3">
        <v>9</v>
      </c>
      <c r="AK138" s="5"/>
      <c r="AL138" s="5"/>
      <c r="AM138" s="3"/>
      <c r="AN138" s="5"/>
    </row>
    <row r="139" spans="1:40" ht="15" customHeight="1" x14ac:dyDescent="0.2">
      <c r="A139" s="3"/>
      <c r="B139" s="21"/>
      <c r="C139" s="13" t="s">
        <v>410</v>
      </c>
      <c r="D139" s="8"/>
      <c r="E139" s="9" t="s">
        <v>39</v>
      </c>
      <c r="F139" s="9" t="s">
        <v>89</v>
      </c>
      <c r="G139" s="9">
        <v>60</v>
      </c>
      <c r="H139" s="395">
        <f>+M139*0.6</f>
        <v>62230865.927999996</v>
      </c>
      <c r="I139" s="9">
        <v>40</v>
      </c>
      <c r="J139" s="395">
        <f>+M139*0.4</f>
        <v>41487243.952</v>
      </c>
      <c r="K139" s="120">
        <v>45461</v>
      </c>
      <c r="L139" s="120"/>
      <c r="M139" s="122">
        <f>+AJ13*AJ15*AJ139/100</f>
        <v>103718109.88</v>
      </c>
      <c r="N139" s="122"/>
      <c r="O139" s="9"/>
      <c r="P139" s="17" t="s">
        <v>452</v>
      </c>
      <c r="Q139" s="9" t="s">
        <v>446</v>
      </c>
      <c r="R139" s="9" t="s">
        <v>11</v>
      </c>
      <c r="S139" s="9" t="s">
        <v>14</v>
      </c>
      <c r="T139" s="9" t="s">
        <v>24</v>
      </c>
      <c r="U139" s="9" t="s">
        <v>40</v>
      </c>
      <c r="V139" s="11" t="s">
        <v>13</v>
      </c>
      <c r="W139" s="12" t="str">
        <f t="shared" ref="W139:W141" si="7">IF(P139="","-",CONCATENATE(P139,"-",Q139,"-",R139,"-",S139,"-",T139,"-",U139,"-",V139))</f>
        <v>XVNT-IICM-ZZ-XX-CR-Z-0001</v>
      </c>
      <c r="X139" s="9" t="s">
        <v>498</v>
      </c>
      <c r="Y139" s="9">
        <v>40</v>
      </c>
      <c r="Z139" s="7"/>
      <c r="AA139" s="7"/>
      <c r="AB139" s="9" t="s">
        <v>498</v>
      </c>
      <c r="AC139" s="9">
        <v>30</v>
      </c>
      <c r="AD139" s="7"/>
      <c r="AE139" s="7"/>
      <c r="AF139" s="5"/>
      <c r="AG139" s="3"/>
      <c r="AH139" s="5"/>
      <c r="AI139" s="5"/>
      <c r="AJ139" s="3">
        <v>28</v>
      </c>
      <c r="AK139" s="5"/>
      <c r="AL139" s="5"/>
      <c r="AM139" s="3"/>
      <c r="AN139" s="5"/>
    </row>
    <row r="140" spans="1:40" ht="15" customHeight="1" x14ac:dyDescent="0.2">
      <c r="A140" s="3"/>
      <c r="B140" s="7"/>
      <c r="C140" s="7" t="s">
        <v>487</v>
      </c>
      <c r="D140" s="8"/>
      <c r="E140" s="9" t="s">
        <v>39</v>
      </c>
      <c r="F140" s="9" t="s">
        <v>89</v>
      </c>
      <c r="G140" s="9">
        <v>60</v>
      </c>
      <c r="H140" s="396"/>
      <c r="I140" s="9">
        <v>40</v>
      </c>
      <c r="J140" s="396"/>
      <c r="K140" s="120">
        <f>+K138+1</f>
        <v>45462</v>
      </c>
      <c r="L140" s="120"/>
      <c r="M140" s="9"/>
      <c r="N140" s="9"/>
      <c r="O140" s="9"/>
      <c r="P140" s="17" t="s">
        <v>452</v>
      </c>
      <c r="Q140" s="9" t="s">
        <v>446</v>
      </c>
      <c r="R140" s="9" t="s">
        <v>11</v>
      </c>
      <c r="S140" s="9" t="s">
        <v>14</v>
      </c>
      <c r="T140" s="9" t="s">
        <v>38</v>
      </c>
      <c r="U140" s="9" t="s">
        <v>40</v>
      </c>
      <c r="V140" s="11" t="s">
        <v>13</v>
      </c>
      <c r="W140" s="12" t="str">
        <f t="shared" si="7"/>
        <v>XVNT-IICM-ZZ-XX-RP-Z-0001</v>
      </c>
      <c r="X140" s="9" t="s">
        <v>498</v>
      </c>
      <c r="Y140" s="9">
        <v>40</v>
      </c>
      <c r="Z140" s="7"/>
      <c r="AA140" s="7"/>
      <c r="AB140" s="9" t="s">
        <v>498</v>
      </c>
      <c r="AC140" s="9">
        <v>30</v>
      </c>
      <c r="AD140" s="7"/>
      <c r="AE140" s="7"/>
      <c r="AF140" s="5"/>
      <c r="AG140" s="3"/>
      <c r="AH140" s="3"/>
      <c r="AI140" s="5"/>
      <c r="AJ140" s="3">
        <v>0</v>
      </c>
      <c r="AK140" s="3"/>
      <c r="AL140" s="5"/>
      <c r="AM140" s="3"/>
      <c r="AN140" s="5"/>
    </row>
    <row r="141" spans="1:40" ht="15.75" customHeight="1" x14ac:dyDescent="0.2">
      <c r="A141" s="3"/>
      <c r="B141" s="7"/>
      <c r="C141" s="7" t="s">
        <v>91</v>
      </c>
      <c r="D141" s="8"/>
      <c r="E141" s="9" t="s">
        <v>39</v>
      </c>
      <c r="F141" s="9" t="s">
        <v>89</v>
      </c>
      <c r="G141" s="9">
        <v>60</v>
      </c>
      <c r="H141" s="397"/>
      <c r="I141" s="9">
        <v>40</v>
      </c>
      <c r="J141" s="397"/>
      <c r="K141" s="120">
        <f>+K140</f>
        <v>45462</v>
      </c>
      <c r="L141" s="120"/>
      <c r="M141" s="9"/>
      <c r="N141" s="9"/>
      <c r="O141" s="9"/>
      <c r="P141" s="17" t="s">
        <v>452</v>
      </c>
      <c r="Q141" s="9" t="s">
        <v>446</v>
      </c>
      <c r="R141" s="9" t="s">
        <v>11</v>
      </c>
      <c r="S141" s="9" t="s">
        <v>14</v>
      </c>
      <c r="T141" s="9" t="s">
        <v>38</v>
      </c>
      <c r="U141" s="9" t="s">
        <v>40</v>
      </c>
      <c r="V141" s="11" t="s">
        <v>13</v>
      </c>
      <c r="W141" s="12" t="str">
        <f t="shared" si="7"/>
        <v>XVNT-IICM-ZZ-XX-RP-Z-0001</v>
      </c>
      <c r="X141" s="9" t="s">
        <v>498</v>
      </c>
      <c r="Y141" s="9">
        <v>40</v>
      </c>
      <c r="Z141" s="7"/>
      <c r="AA141" s="7"/>
      <c r="AB141" s="9" t="s">
        <v>498</v>
      </c>
      <c r="AC141" s="9">
        <v>30</v>
      </c>
      <c r="AD141" s="7"/>
      <c r="AE141" s="7"/>
      <c r="AF141" s="5"/>
      <c r="AG141" s="3"/>
      <c r="AH141" s="3"/>
      <c r="AI141" s="5"/>
      <c r="AJ141" s="3">
        <v>0</v>
      </c>
      <c r="AK141" s="3"/>
      <c r="AL141" s="5"/>
      <c r="AM141" s="3"/>
      <c r="AN141" s="5"/>
    </row>
    <row r="142" spans="1:40" ht="15.75" customHeight="1" x14ac:dyDescent="0.2">
      <c r="A142" s="3"/>
      <c r="B142" s="3"/>
      <c r="C142" s="3"/>
      <c r="D142" s="4"/>
      <c r="E142" s="3"/>
      <c r="F142" s="5"/>
      <c r="G142" s="5"/>
      <c r="H142" s="5"/>
      <c r="I142" s="5"/>
      <c r="J142" s="5"/>
      <c r="K142" s="5"/>
      <c r="L142" s="5"/>
      <c r="M142" s="5"/>
      <c r="N142" s="5"/>
      <c r="O142" s="5"/>
      <c r="P142" s="22"/>
      <c r="Q142" s="3"/>
      <c r="R142" s="5"/>
      <c r="S142" s="3"/>
      <c r="T142" s="3"/>
      <c r="U142" s="3"/>
      <c r="V142" s="23"/>
      <c r="W142" s="24"/>
      <c r="X142" s="3"/>
      <c r="Y142" s="3"/>
      <c r="Z142" s="3"/>
      <c r="AA142" s="3"/>
      <c r="AB142" s="3"/>
      <c r="AC142" s="3"/>
      <c r="AD142" s="3"/>
      <c r="AE142" s="3"/>
      <c r="AF142" s="5"/>
      <c r="AG142" s="3"/>
      <c r="AH142" s="3"/>
      <c r="AI142" s="5"/>
      <c r="AJ142" s="3"/>
      <c r="AK142" s="3"/>
      <c r="AL142" s="5"/>
      <c r="AM142" s="3"/>
      <c r="AN142" s="5"/>
    </row>
    <row r="143" spans="1:40" ht="15.75" customHeight="1" x14ac:dyDescent="0.2">
      <c r="A143" s="3"/>
      <c r="B143" s="3"/>
      <c r="C143" s="3"/>
      <c r="D143" s="4"/>
      <c r="E143" s="3"/>
      <c r="F143" s="5"/>
      <c r="G143" s="5" t="s">
        <v>446</v>
      </c>
      <c r="H143" s="122">
        <f>+H139+H22</f>
        <v>88160393.398000002</v>
      </c>
      <c r="I143" s="5" t="s">
        <v>525</v>
      </c>
      <c r="J143" s="122">
        <f>+J29+J55+J138+J139</f>
        <v>260036118.34199998</v>
      </c>
      <c r="K143" s="5"/>
      <c r="L143" s="5"/>
      <c r="M143" s="126">
        <f>+SUM(M22:M141)-M55</f>
        <v>348196511.74000001</v>
      </c>
      <c r="N143" s="127">
        <f>+M143/AJ13</f>
        <v>0.32900000000000001</v>
      </c>
      <c r="O143" s="5"/>
      <c r="P143" s="22"/>
      <c r="Q143" s="3"/>
      <c r="R143" s="5"/>
      <c r="S143" s="3"/>
      <c r="T143" s="3"/>
      <c r="U143" s="3"/>
      <c r="V143" s="23"/>
      <c r="W143" s="24"/>
      <c r="X143" s="3"/>
      <c r="Y143" s="3"/>
      <c r="Z143" s="3"/>
      <c r="AA143" s="3"/>
      <c r="AB143" s="3"/>
      <c r="AC143" s="3"/>
      <c r="AD143" s="3"/>
      <c r="AE143" s="3"/>
      <c r="AF143" s="5"/>
      <c r="AG143" s="3"/>
      <c r="AH143" s="3"/>
      <c r="AI143" s="5"/>
      <c r="AJ143" s="3"/>
      <c r="AK143" s="3"/>
      <c r="AL143" s="5"/>
      <c r="AM143" s="3"/>
      <c r="AN143" s="5"/>
    </row>
    <row r="144" spans="1:40" ht="15.75" customHeight="1" x14ac:dyDescent="0.2">
      <c r="A144" s="3"/>
      <c r="B144" s="3"/>
      <c r="C144" s="3"/>
      <c r="D144" s="4"/>
      <c r="E144" s="3"/>
      <c r="F144" s="5"/>
      <c r="G144" s="5"/>
      <c r="H144" s="128">
        <f>+H143/AJ13</f>
        <v>8.3299999999999999E-2</v>
      </c>
      <c r="I144" s="5"/>
      <c r="J144" s="127">
        <f>+J143/AJ13</f>
        <v>0.24569999999999997</v>
      </c>
      <c r="K144" s="5"/>
      <c r="O144" s="5"/>
      <c r="P144" s="22"/>
      <c r="Q144" s="3"/>
      <c r="R144" s="5"/>
      <c r="S144" s="3"/>
      <c r="T144" s="3"/>
      <c r="U144" s="3"/>
      <c r="V144" s="23"/>
      <c r="W144" s="24"/>
      <c r="X144" s="3"/>
      <c r="Y144" s="3"/>
      <c r="Z144" s="3"/>
      <c r="AA144" s="3"/>
      <c r="AB144" s="3"/>
      <c r="AC144" s="3"/>
      <c r="AD144" s="3"/>
      <c r="AE144" s="3"/>
      <c r="AF144" s="5"/>
      <c r="AG144" s="3"/>
      <c r="AH144" s="3"/>
      <c r="AI144" s="5"/>
      <c r="AJ144" s="3"/>
      <c r="AK144" s="3"/>
      <c r="AL144" s="5"/>
      <c r="AM144" s="3"/>
      <c r="AN144" s="5"/>
    </row>
    <row r="145" spans="1:40" ht="15.75" customHeight="1" x14ac:dyDescent="0.2">
      <c r="A145" s="3"/>
      <c r="B145" s="3"/>
      <c r="C145" s="3"/>
      <c r="D145" s="4"/>
      <c r="E145" s="3"/>
      <c r="F145" s="5"/>
      <c r="G145" s="5"/>
      <c r="H145" s="5"/>
      <c r="I145" s="5"/>
      <c r="K145" s="5"/>
      <c r="O145" s="5"/>
      <c r="P145" s="22"/>
      <c r="Q145" s="3"/>
      <c r="R145" s="5"/>
      <c r="S145" s="3"/>
      <c r="T145" s="3"/>
      <c r="U145" s="3"/>
      <c r="V145" s="23"/>
      <c r="W145" s="24"/>
      <c r="X145" s="3"/>
      <c r="Y145" s="3"/>
      <c r="Z145" s="3"/>
      <c r="AA145" s="3"/>
      <c r="AB145" s="3"/>
      <c r="AC145" s="3"/>
      <c r="AD145" s="3"/>
      <c r="AE145" s="3"/>
      <c r="AF145" s="5"/>
      <c r="AG145" s="3"/>
      <c r="AH145" s="3"/>
      <c r="AI145" s="5"/>
      <c r="AJ145" s="3"/>
      <c r="AK145" s="3"/>
      <c r="AL145" s="5"/>
      <c r="AM145" s="3"/>
      <c r="AN145" s="5"/>
    </row>
    <row r="146" spans="1:40" ht="15.75" customHeight="1" x14ac:dyDescent="0.2">
      <c r="A146" s="3"/>
      <c r="B146" s="3"/>
      <c r="C146" s="3"/>
      <c r="D146" s="4"/>
      <c r="E146" s="3"/>
      <c r="F146" s="5"/>
      <c r="G146" s="5"/>
      <c r="H146" s="5"/>
      <c r="I146" s="5"/>
      <c r="J146" s="5"/>
      <c r="K146" s="5"/>
      <c r="L146" s="5"/>
      <c r="M146" s="5"/>
      <c r="N146" s="5"/>
      <c r="O146" s="5"/>
      <c r="P146" s="22"/>
      <c r="Q146" s="3"/>
      <c r="R146" s="5"/>
      <c r="S146" s="3"/>
      <c r="T146" s="3"/>
      <c r="U146" s="3"/>
      <c r="V146" s="23"/>
      <c r="W146" s="24"/>
      <c r="X146" s="3"/>
      <c r="Y146" s="3"/>
      <c r="Z146" s="3"/>
      <c r="AA146" s="3"/>
      <c r="AB146" s="3"/>
      <c r="AC146" s="3"/>
      <c r="AD146" s="3"/>
      <c r="AE146" s="3"/>
      <c r="AF146" s="5"/>
      <c r="AG146" s="3"/>
      <c r="AH146" s="3"/>
      <c r="AI146" s="5"/>
      <c r="AJ146" s="3"/>
      <c r="AK146" s="3"/>
      <c r="AL146" s="5"/>
      <c r="AM146" s="3"/>
      <c r="AN146" s="5"/>
    </row>
    <row r="147" spans="1:40" ht="15.75" customHeight="1" x14ac:dyDescent="0.2">
      <c r="A147" s="3"/>
      <c r="B147" s="3"/>
      <c r="C147" s="3"/>
      <c r="D147" s="4"/>
      <c r="E147" s="3"/>
      <c r="F147" s="5"/>
      <c r="G147" s="5"/>
      <c r="H147" s="5"/>
      <c r="I147" s="5"/>
      <c r="J147" s="5"/>
      <c r="K147" s="5"/>
      <c r="L147" s="5"/>
      <c r="M147" s="5"/>
      <c r="N147" s="5"/>
      <c r="O147" s="5"/>
      <c r="P147" s="22"/>
      <c r="Q147" s="3"/>
      <c r="R147" s="5"/>
      <c r="S147" s="3"/>
      <c r="T147" s="3"/>
      <c r="U147" s="3"/>
      <c r="V147" s="23"/>
      <c r="W147" s="24"/>
      <c r="X147" s="3"/>
      <c r="Y147" s="3"/>
      <c r="Z147" s="3"/>
      <c r="AA147" s="3"/>
      <c r="AB147" s="3"/>
      <c r="AC147" s="3"/>
      <c r="AD147" s="3"/>
      <c r="AE147" s="3"/>
      <c r="AF147" s="5"/>
      <c r="AG147" s="3"/>
      <c r="AH147" s="3"/>
      <c r="AI147" s="5"/>
      <c r="AJ147" s="3"/>
      <c r="AK147" s="3"/>
      <c r="AL147" s="5"/>
      <c r="AM147" s="3"/>
      <c r="AN147" s="5"/>
    </row>
    <row r="148" spans="1:40" ht="15.75" customHeight="1" x14ac:dyDescent="0.2">
      <c r="A148" s="3"/>
      <c r="B148" s="3"/>
      <c r="C148" s="3"/>
      <c r="D148" s="4"/>
      <c r="E148" s="3"/>
      <c r="F148" s="5"/>
      <c r="G148" s="5"/>
      <c r="H148" s="5"/>
      <c r="I148" s="5"/>
      <c r="J148" s="5"/>
      <c r="K148" s="5"/>
      <c r="L148" s="5"/>
      <c r="M148" s="123">
        <f>+J29+0.7*J138+0.8*J139</f>
        <v>241737280.38459998</v>
      </c>
      <c r="N148" s="5"/>
      <c r="O148" s="5"/>
      <c r="P148" s="22"/>
      <c r="Q148" s="3"/>
      <c r="R148" s="5"/>
      <c r="S148" s="3"/>
      <c r="T148" s="3"/>
      <c r="U148" s="3"/>
      <c r="V148" s="23"/>
      <c r="W148" s="24"/>
      <c r="X148" s="3"/>
      <c r="Y148" s="3"/>
      <c r="Z148" s="3"/>
      <c r="AA148" s="3"/>
      <c r="AB148" s="3"/>
      <c r="AC148" s="3"/>
      <c r="AD148" s="3"/>
      <c r="AE148" s="3"/>
      <c r="AF148" s="5"/>
      <c r="AG148" s="3"/>
      <c r="AH148" s="3"/>
      <c r="AI148" s="5"/>
      <c r="AJ148" s="3"/>
      <c r="AK148" s="3"/>
      <c r="AL148" s="5"/>
      <c r="AM148" s="3"/>
      <c r="AN148" s="5"/>
    </row>
    <row r="149" spans="1:40" ht="15.75" customHeight="1" x14ac:dyDescent="0.2">
      <c r="A149" s="3"/>
      <c r="B149" s="3"/>
      <c r="C149" s="3"/>
      <c r="D149" s="4"/>
      <c r="E149" s="3"/>
      <c r="F149" s="5"/>
      <c r="G149" s="5"/>
      <c r="H149" s="5"/>
      <c r="I149" s="5"/>
      <c r="J149" s="5"/>
      <c r="K149" s="5"/>
      <c r="L149" s="5"/>
      <c r="M149" s="123">
        <f>+J55+0.3*J138+0.2*J139</f>
        <v>18298837.957400002</v>
      </c>
      <c r="N149" s="5"/>
      <c r="O149" s="5"/>
      <c r="P149" s="22"/>
      <c r="Q149" s="3"/>
      <c r="R149" s="5"/>
      <c r="S149" s="3"/>
      <c r="T149" s="3"/>
      <c r="U149" s="3"/>
      <c r="V149" s="23"/>
      <c r="W149" s="24"/>
      <c r="X149" s="3"/>
      <c r="Y149" s="3"/>
      <c r="Z149" s="3"/>
      <c r="AA149" s="3"/>
      <c r="AB149" s="3"/>
      <c r="AC149" s="3"/>
      <c r="AD149" s="3"/>
      <c r="AE149" s="3"/>
      <c r="AF149" s="5"/>
      <c r="AG149" s="3"/>
      <c r="AH149" s="3"/>
      <c r="AI149" s="5"/>
      <c r="AJ149" s="3"/>
      <c r="AK149" s="3"/>
      <c r="AL149" s="5"/>
      <c r="AM149" s="3"/>
      <c r="AN149" s="5"/>
    </row>
    <row r="150" spans="1:40" ht="15.75" customHeight="1" x14ac:dyDescent="0.2">
      <c r="A150" s="3"/>
      <c r="B150" s="3"/>
      <c r="C150" s="3"/>
      <c r="D150" s="4"/>
      <c r="E150" s="3"/>
      <c r="F150" s="5"/>
      <c r="G150" s="5"/>
      <c r="H150" s="5"/>
      <c r="I150" s="5"/>
      <c r="J150" s="5"/>
      <c r="K150" s="5"/>
      <c r="L150" s="5"/>
      <c r="M150" s="5"/>
      <c r="N150" s="5"/>
      <c r="O150" s="5"/>
      <c r="P150" s="22"/>
      <c r="Q150" s="3"/>
      <c r="R150" s="5"/>
      <c r="S150" s="3"/>
      <c r="T150" s="3"/>
      <c r="U150" s="3"/>
      <c r="V150" s="23"/>
      <c r="W150" s="24"/>
      <c r="X150" s="3"/>
      <c r="Y150" s="3"/>
      <c r="Z150" s="3"/>
      <c r="AA150" s="3"/>
      <c r="AB150" s="3"/>
      <c r="AC150" s="3"/>
      <c r="AD150" s="3"/>
      <c r="AE150" s="3"/>
      <c r="AF150" s="5"/>
      <c r="AG150" s="3"/>
      <c r="AH150" s="3"/>
      <c r="AI150" s="5"/>
      <c r="AJ150" s="3"/>
      <c r="AK150" s="3"/>
      <c r="AL150" s="5"/>
      <c r="AM150" s="3"/>
      <c r="AN150" s="5"/>
    </row>
    <row r="151" spans="1:40" ht="15.75" customHeight="1" x14ac:dyDescent="0.2">
      <c r="A151" s="3"/>
      <c r="B151" s="3"/>
      <c r="C151" s="3"/>
      <c r="D151" s="4"/>
      <c r="E151" s="3"/>
      <c r="F151" s="5"/>
      <c r="G151" s="5"/>
      <c r="H151" s="5"/>
      <c r="I151" s="5"/>
      <c r="J151" s="5"/>
      <c r="K151" s="5"/>
      <c r="L151" s="5"/>
      <c r="M151" s="5"/>
      <c r="N151" s="5"/>
      <c r="O151" s="5"/>
      <c r="P151" s="22"/>
      <c r="Q151" s="3"/>
      <c r="R151" s="5"/>
      <c r="S151" s="3"/>
      <c r="T151" s="3"/>
      <c r="U151" s="3"/>
      <c r="V151" s="23"/>
      <c r="W151" s="24"/>
      <c r="X151" s="3"/>
      <c r="Y151" s="3"/>
      <c r="Z151" s="3"/>
      <c r="AA151" s="3"/>
      <c r="AB151" s="3"/>
      <c r="AC151" s="3"/>
      <c r="AD151" s="3"/>
      <c r="AE151" s="3"/>
      <c r="AF151" s="5"/>
      <c r="AG151" s="3"/>
      <c r="AH151" s="3"/>
      <c r="AI151" s="5"/>
      <c r="AJ151" s="3"/>
      <c r="AK151" s="3"/>
      <c r="AL151" s="5"/>
      <c r="AM151" s="3"/>
      <c r="AN151" s="5"/>
    </row>
    <row r="152" spans="1:40" ht="15.75" customHeight="1" x14ac:dyDescent="0.2">
      <c r="A152" s="3"/>
      <c r="B152" s="3"/>
      <c r="C152" s="3"/>
      <c r="D152" s="4"/>
      <c r="E152" s="3"/>
      <c r="F152" s="5"/>
      <c r="G152" s="5"/>
      <c r="H152" s="5"/>
      <c r="I152" s="5"/>
      <c r="J152" s="5"/>
      <c r="K152" s="5"/>
      <c r="L152" s="5"/>
      <c r="M152" s="5"/>
      <c r="N152" s="5"/>
      <c r="O152" s="5"/>
      <c r="P152" s="22"/>
      <c r="Q152" s="3"/>
      <c r="R152" s="5"/>
      <c r="S152" s="3"/>
      <c r="T152" s="3"/>
      <c r="U152" s="3"/>
      <c r="V152" s="23"/>
      <c r="W152" s="24"/>
      <c r="X152" s="3"/>
      <c r="Y152" s="3"/>
      <c r="Z152" s="3"/>
      <c r="AA152" s="3"/>
      <c r="AB152" s="3"/>
      <c r="AC152" s="3"/>
      <c r="AD152" s="3"/>
      <c r="AE152" s="3"/>
      <c r="AF152" s="5"/>
      <c r="AG152" s="3"/>
      <c r="AH152" s="3"/>
      <c r="AI152" s="5"/>
      <c r="AJ152" s="3"/>
      <c r="AK152" s="3"/>
      <c r="AL152" s="5"/>
      <c r="AM152" s="3"/>
      <c r="AN152" s="5"/>
    </row>
    <row r="153" spans="1:40" ht="15.75" customHeight="1" x14ac:dyDescent="0.2">
      <c r="A153" s="3"/>
      <c r="B153" s="3"/>
      <c r="C153" s="3"/>
      <c r="D153" s="4"/>
      <c r="E153" s="3"/>
      <c r="F153" s="5"/>
      <c r="G153" s="5"/>
      <c r="H153" s="5"/>
      <c r="I153" s="5"/>
      <c r="J153" s="5"/>
      <c r="K153" s="5"/>
      <c r="L153" s="5"/>
      <c r="M153" s="5"/>
      <c r="N153" s="5"/>
      <c r="O153" s="5"/>
      <c r="P153" s="22"/>
      <c r="Q153" s="3"/>
      <c r="R153" s="5"/>
      <c r="S153" s="3"/>
      <c r="T153" s="3"/>
      <c r="U153" s="3"/>
      <c r="V153" s="23"/>
      <c r="W153" s="24"/>
      <c r="X153" s="3"/>
      <c r="Y153" s="3"/>
      <c r="Z153" s="3"/>
      <c r="AA153" s="3"/>
      <c r="AB153" s="3"/>
      <c r="AC153" s="3"/>
      <c r="AD153" s="3"/>
      <c r="AE153" s="3"/>
      <c r="AF153" s="5"/>
      <c r="AG153" s="3"/>
      <c r="AH153" s="3"/>
      <c r="AI153" s="5"/>
      <c r="AJ153" s="3"/>
      <c r="AK153" s="3"/>
      <c r="AL153" s="5"/>
      <c r="AM153" s="3"/>
      <c r="AN153" s="5"/>
    </row>
    <row r="154" spans="1:40" ht="15.75" customHeight="1" x14ac:dyDescent="0.2">
      <c r="A154" s="3"/>
      <c r="B154" s="3"/>
      <c r="C154" s="3"/>
      <c r="D154" s="4"/>
      <c r="E154" s="3"/>
      <c r="F154" s="5"/>
      <c r="G154" s="5"/>
      <c r="H154" s="5"/>
      <c r="I154" s="5"/>
      <c r="J154" s="5"/>
      <c r="K154" s="5"/>
      <c r="L154" s="5"/>
      <c r="M154" s="5"/>
      <c r="N154" s="5"/>
      <c r="O154" s="5"/>
      <c r="P154" s="22"/>
      <c r="Q154" s="3"/>
      <c r="R154" s="5"/>
      <c r="S154" s="3"/>
      <c r="T154" s="3"/>
      <c r="U154" s="3"/>
      <c r="V154" s="23"/>
      <c r="W154" s="24"/>
      <c r="X154" s="3"/>
      <c r="Y154" s="3"/>
      <c r="Z154" s="3"/>
      <c r="AA154" s="3"/>
      <c r="AB154" s="3"/>
      <c r="AC154" s="3"/>
      <c r="AD154" s="3"/>
      <c r="AE154" s="3"/>
      <c r="AF154" s="5"/>
      <c r="AG154" s="3"/>
      <c r="AH154" s="3"/>
      <c r="AI154" s="5"/>
      <c r="AJ154" s="3"/>
      <c r="AK154" s="3"/>
      <c r="AL154" s="5"/>
      <c r="AM154" s="3"/>
      <c r="AN154" s="5"/>
    </row>
    <row r="155" spans="1:40" ht="15.75" customHeight="1" x14ac:dyDescent="0.2">
      <c r="A155" s="3"/>
      <c r="B155" s="3"/>
      <c r="C155" s="3"/>
      <c r="D155" s="4"/>
      <c r="E155" s="3"/>
      <c r="F155" s="5"/>
      <c r="G155" s="5"/>
      <c r="H155" s="5"/>
      <c r="I155" s="5"/>
      <c r="J155" s="5"/>
      <c r="K155" s="5"/>
      <c r="L155" s="5"/>
      <c r="M155" s="5"/>
      <c r="N155" s="5"/>
      <c r="O155" s="5"/>
      <c r="P155" s="22"/>
      <c r="Q155" s="3"/>
      <c r="R155" s="5"/>
      <c r="S155" s="3"/>
      <c r="T155" s="3"/>
      <c r="U155" s="3"/>
      <c r="V155" s="23"/>
      <c r="W155" s="24"/>
      <c r="X155" s="3"/>
      <c r="Y155" s="3"/>
      <c r="Z155" s="3"/>
      <c r="AA155" s="3"/>
      <c r="AB155" s="3"/>
      <c r="AC155" s="3"/>
      <c r="AD155" s="3"/>
      <c r="AE155" s="3"/>
      <c r="AF155" s="5"/>
      <c r="AG155" s="3"/>
      <c r="AH155" s="3"/>
      <c r="AI155" s="5"/>
      <c r="AJ155" s="3"/>
      <c r="AK155" s="3"/>
      <c r="AL155" s="5"/>
      <c r="AM155" s="3"/>
      <c r="AN155" s="5"/>
    </row>
    <row r="156" spans="1:40" ht="15.75" customHeight="1" x14ac:dyDescent="0.2">
      <c r="A156" s="3"/>
      <c r="B156" s="3"/>
      <c r="C156" s="3"/>
      <c r="D156" s="4"/>
      <c r="E156" s="3"/>
      <c r="F156" s="5"/>
      <c r="G156" s="5"/>
      <c r="H156" s="5"/>
      <c r="I156" s="5"/>
      <c r="J156" s="5"/>
      <c r="K156" s="5"/>
      <c r="L156" s="5"/>
      <c r="M156" s="5"/>
      <c r="N156" s="5"/>
      <c r="O156" s="5"/>
      <c r="P156" s="22"/>
      <c r="Q156" s="3"/>
      <c r="R156" s="5"/>
      <c r="S156" s="3"/>
      <c r="T156" s="3"/>
      <c r="U156" s="3"/>
      <c r="V156" s="23"/>
      <c r="W156" s="24"/>
      <c r="X156" s="3"/>
      <c r="Y156" s="3"/>
      <c r="Z156" s="3"/>
      <c r="AA156" s="3"/>
      <c r="AB156" s="3"/>
      <c r="AC156" s="3"/>
      <c r="AD156" s="3"/>
      <c r="AE156" s="3"/>
      <c r="AF156" s="5"/>
      <c r="AG156" s="3"/>
      <c r="AH156" s="3"/>
      <c r="AI156" s="5"/>
      <c r="AJ156" s="3"/>
      <c r="AK156" s="3"/>
      <c r="AL156" s="5"/>
      <c r="AM156" s="3"/>
      <c r="AN156" s="5"/>
    </row>
    <row r="157" spans="1:40" ht="15.75" customHeight="1" x14ac:dyDescent="0.2">
      <c r="A157" s="3"/>
      <c r="B157" s="3"/>
      <c r="C157" s="3"/>
      <c r="D157" s="4"/>
      <c r="E157" s="3"/>
      <c r="F157" s="5"/>
      <c r="G157" s="5"/>
      <c r="H157" s="5"/>
      <c r="I157" s="5"/>
      <c r="J157" s="5"/>
      <c r="K157" s="5"/>
      <c r="L157" s="5"/>
      <c r="M157" s="5"/>
      <c r="N157" s="5"/>
      <c r="O157" s="5"/>
      <c r="P157" s="22"/>
      <c r="Q157" s="3"/>
      <c r="R157" s="5"/>
      <c r="S157" s="3"/>
      <c r="T157" s="3"/>
      <c r="U157" s="3"/>
      <c r="V157" s="23"/>
      <c r="W157" s="24"/>
      <c r="X157" s="3"/>
      <c r="Y157" s="3"/>
      <c r="Z157" s="3"/>
      <c r="AA157" s="3"/>
      <c r="AB157" s="3"/>
      <c r="AC157" s="3"/>
      <c r="AD157" s="3"/>
      <c r="AE157" s="3"/>
      <c r="AF157" s="5"/>
      <c r="AG157" s="3"/>
      <c r="AH157" s="3"/>
      <c r="AI157" s="5"/>
      <c r="AJ157" s="3"/>
      <c r="AK157" s="3"/>
      <c r="AL157" s="5"/>
      <c r="AM157" s="3"/>
      <c r="AN157" s="5"/>
    </row>
    <row r="158" spans="1:40" ht="15.75" customHeight="1" x14ac:dyDescent="0.2">
      <c r="A158" s="3"/>
      <c r="B158" s="3"/>
      <c r="C158" s="3"/>
      <c r="D158" s="4"/>
      <c r="E158" s="3"/>
      <c r="F158" s="5"/>
      <c r="G158" s="5"/>
      <c r="H158" s="5"/>
      <c r="I158" s="5"/>
      <c r="J158" s="5"/>
      <c r="K158" s="5"/>
      <c r="L158" s="5"/>
      <c r="M158" s="5"/>
      <c r="N158" s="5"/>
      <c r="O158" s="5"/>
      <c r="P158" s="22"/>
      <c r="Q158" s="3"/>
      <c r="R158" s="5"/>
      <c r="S158" s="3"/>
      <c r="T158" s="3"/>
      <c r="U158" s="3"/>
      <c r="V158" s="23"/>
      <c r="W158" s="24"/>
      <c r="X158" s="3"/>
      <c r="Y158" s="3"/>
      <c r="Z158" s="3"/>
      <c r="AA158" s="3"/>
      <c r="AB158" s="3"/>
      <c r="AC158" s="3"/>
      <c r="AD158" s="3"/>
      <c r="AE158" s="3"/>
      <c r="AF158" s="5"/>
      <c r="AG158" s="3"/>
      <c r="AH158" s="3"/>
      <c r="AI158" s="5"/>
      <c r="AJ158" s="3"/>
      <c r="AK158" s="3"/>
      <c r="AL158" s="5"/>
      <c r="AM158" s="3"/>
      <c r="AN158" s="5"/>
    </row>
    <row r="159" spans="1:40" ht="15.75" customHeight="1" x14ac:dyDescent="0.2">
      <c r="A159" s="3"/>
      <c r="B159" s="3"/>
      <c r="C159" s="3"/>
      <c r="D159" s="4"/>
      <c r="E159" s="3"/>
      <c r="F159" s="5"/>
      <c r="G159" s="5"/>
      <c r="H159" s="5"/>
      <c r="I159" s="5"/>
      <c r="J159" s="5"/>
      <c r="K159" s="5"/>
      <c r="L159" s="5"/>
      <c r="M159" s="5"/>
      <c r="N159" s="5"/>
      <c r="O159" s="5"/>
      <c r="P159" s="22"/>
      <c r="Q159" s="3"/>
      <c r="R159" s="5"/>
      <c r="S159" s="3"/>
      <c r="T159" s="3"/>
      <c r="U159" s="3"/>
      <c r="V159" s="23"/>
      <c r="W159" s="24"/>
      <c r="X159" s="3"/>
      <c r="Y159" s="3"/>
      <c r="Z159" s="3"/>
      <c r="AA159" s="3"/>
      <c r="AB159" s="3"/>
      <c r="AC159" s="3"/>
      <c r="AD159" s="3"/>
      <c r="AE159" s="3"/>
      <c r="AF159" s="5"/>
      <c r="AG159" s="3"/>
      <c r="AH159" s="3"/>
      <c r="AI159" s="5"/>
      <c r="AJ159" s="3"/>
      <c r="AK159" s="3"/>
      <c r="AL159" s="5"/>
      <c r="AM159" s="3"/>
      <c r="AN159" s="5"/>
    </row>
    <row r="160" spans="1:40" ht="15.75" customHeight="1" x14ac:dyDescent="0.2">
      <c r="A160" s="3"/>
      <c r="B160" s="3"/>
      <c r="C160" s="3"/>
      <c r="D160" s="4"/>
      <c r="E160" s="3"/>
      <c r="F160" s="5"/>
      <c r="G160" s="5"/>
      <c r="H160" s="5"/>
      <c r="I160" s="5"/>
      <c r="J160" s="5"/>
      <c r="K160" s="5"/>
      <c r="L160" s="5"/>
      <c r="M160" s="5"/>
      <c r="N160" s="5"/>
      <c r="O160" s="5"/>
      <c r="P160" s="22"/>
      <c r="Q160" s="3"/>
      <c r="R160" s="5"/>
      <c r="S160" s="3"/>
      <c r="T160" s="3"/>
      <c r="U160" s="3"/>
      <c r="V160" s="23"/>
      <c r="W160" s="24"/>
      <c r="X160" s="3"/>
      <c r="Y160" s="3"/>
      <c r="Z160" s="3"/>
      <c r="AA160" s="3"/>
      <c r="AB160" s="3"/>
      <c r="AC160" s="3"/>
      <c r="AD160" s="3"/>
      <c r="AE160" s="3"/>
      <c r="AF160" s="5"/>
      <c r="AG160" s="3"/>
      <c r="AH160" s="3"/>
      <c r="AI160" s="5"/>
      <c r="AJ160" s="3"/>
      <c r="AK160" s="3"/>
      <c r="AL160" s="5"/>
      <c r="AM160" s="3"/>
      <c r="AN160" s="5"/>
    </row>
    <row r="161" spans="1:40" ht="15.75" customHeight="1" x14ac:dyDescent="0.2">
      <c r="A161" s="3"/>
      <c r="B161" s="3"/>
      <c r="C161" s="3"/>
      <c r="D161" s="4"/>
      <c r="E161" s="3"/>
      <c r="F161" s="5"/>
      <c r="G161" s="5"/>
      <c r="H161" s="5"/>
      <c r="I161" s="5"/>
      <c r="J161" s="5"/>
      <c r="K161" s="5"/>
      <c r="L161" s="5"/>
      <c r="M161" s="5"/>
      <c r="N161" s="5"/>
      <c r="O161" s="5"/>
      <c r="P161" s="22"/>
      <c r="Q161" s="3"/>
      <c r="R161" s="5"/>
      <c r="S161" s="3"/>
      <c r="T161" s="3"/>
      <c r="U161" s="3"/>
      <c r="V161" s="23"/>
      <c r="W161" s="24"/>
      <c r="X161" s="3"/>
      <c r="Y161" s="3"/>
      <c r="Z161" s="3"/>
      <c r="AA161" s="3"/>
      <c r="AB161" s="3"/>
      <c r="AC161" s="3"/>
      <c r="AD161" s="3"/>
      <c r="AE161" s="3"/>
      <c r="AF161" s="5"/>
      <c r="AG161" s="3"/>
      <c r="AH161" s="3"/>
      <c r="AI161" s="5"/>
      <c r="AJ161" s="3"/>
      <c r="AK161" s="3"/>
      <c r="AL161" s="5"/>
      <c r="AM161" s="3"/>
      <c r="AN161" s="5"/>
    </row>
    <row r="162" spans="1:40" ht="15.75" customHeight="1" x14ac:dyDescent="0.2">
      <c r="A162" s="3"/>
      <c r="B162" s="3"/>
      <c r="C162" s="3"/>
      <c r="D162" s="4"/>
      <c r="E162" s="3"/>
      <c r="F162" s="5"/>
      <c r="G162" s="5"/>
      <c r="H162" s="5"/>
      <c r="I162" s="5"/>
      <c r="J162" s="5"/>
      <c r="K162" s="5"/>
      <c r="L162" s="5"/>
      <c r="M162" s="5"/>
      <c r="N162" s="5"/>
      <c r="O162" s="5"/>
      <c r="P162" s="22"/>
      <c r="Q162" s="3"/>
      <c r="R162" s="5"/>
      <c r="S162" s="3"/>
      <c r="T162" s="3"/>
      <c r="U162" s="3"/>
      <c r="V162" s="23"/>
      <c r="W162" s="24"/>
      <c r="X162" s="3"/>
      <c r="Y162" s="3"/>
      <c r="Z162" s="3"/>
      <c r="AA162" s="3"/>
      <c r="AB162" s="3"/>
      <c r="AC162" s="3"/>
      <c r="AD162" s="3"/>
      <c r="AE162" s="3"/>
      <c r="AF162" s="5"/>
      <c r="AG162" s="3"/>
      <c r="AH162" s="3"/>
      <c r="AI162" s="5"/>
      <c r="AJ162" s="3"/>
      <c r="AK162" s="3"/>
      <c r="AL162" s="5"/>
      <c r="AM162" s="3"/>
      <c r="AN162" s="5"/>
    </row>
    <row r="163" spans="1:40" ht="15.75" customHeight="1" x14ac:dyDescent="0.2">
      <c r="A163" s="3"/>
      <c r="B163" s="3"/>
      <c r="C163" s="3"/>
      <c r="D163" s="4"/>
      <c r="E163" s="3"/>
      <c r="F163" s="5"/>
      <c r="G163" s="5"/>
      <c r="H163" s="5"/>
      <c r="I163" s="5"/>
      <c r="J163" s="5"/>
      <c r="K163" s="5"/>
      <c r="L163" s="5"/>
      <c r="M163" s="5"/>
      <c r="N163" s="5"/>
      <c r="O163" s="5"/>
      <c r="P163" s="22"/>
      <c r="Q163" s="3"/>
      <c r="R163" s="5"/>
      <c r="S163" s="3"/>
      <c r="T163" s="3"/>
      <c r="U163" s="3"/>
      <c r="V163" s="23"/>
      <c r="W163" s="24"/>
      <c r="X163" s="3"/>
      <c r="Y163" s="3"/>
      <c r="Z163" s="3"/>
      <c r="AA163" s="3"/>
      <c r="AB163" s="3"/>
      <c r="AC163" s="3"/>
      <c r="AD163" s="3"/>
      <c r="AE163" s="3"/>
      <c r="AF163" s="5"/>
      <c r="AG163" s="3"/>
      <c r="AH163" s="3"/>
      <c r="AI163" s="5"/>
      <c r="AJ163" s="3"/>
      <c r="AK163" s="3"/>
      <c r="AL163" s="5"/>
      <c r="AM163" s="3"/>
      <c r="AN163" s="5"/>
    </row>
    <row r="164" spans="1:40" ht="15.75" customHeight="1" x14ac:dyDescent="0.2">
      <c r="A164" s="3"/>
      <c r="B164" s="3"/>
      <c r="C164" s="3"/>
      <c r="D164" s="4"/>
      <c r="E164" s="3"/>
      <c r="F164" s="5"/>
      <c r="G164" s="5"/>
      <c r="H164" s="5"/>
      <c r="I164" s="5"/>
      <c r="J164" s="5"/>
      <c r="K164" s="5"/>
      <c r="L164" s="5"/>
      <c r="M164" s="5"/>
      <c r="N164" s="5"/>
      <c r="O164" s="5"/>
      <c r="P164" s="22"/>
      <c r="Q164" s="3"/>
      <c r="R164" s="5"/>
      <c r="S164" s="3"/>
      <c r="T164" s="3"/>
      <c r="U164" s="3"/>
      <c r="V164" s="23"/>
      <c r="W164" s="24"/>
      <c r="X164" s="3"/>
      <c r="Y164" s="3"/>
      <c r="Z164" s="3"/>
      <c r="AA164" s="3"/>
      <c r="AB164" s="3"/>
      <c r="AC164" s="3"/>
      <c r="AD164" s="3"/>
      <c r="AE164" s="3"/>
      <c r="AF164" s="5"/>
      <c r="AG164" s="3"/>
      <c r="AH164" s="3"/>
      <c r="AI164" s="5"/>
      <c r="AJ164" s="3"/>
      <c r="AK164" s="3"/>
      <c r="AL164" s="5"/>
      <c r="AM164" s="3"/>
      <c r="AN164" s="5"/>
    </row>
    <row r="165" spans="1:40" ht="15.75" customHeight="1" x14ac:dyDescent="0.2">
      <c r="A165" s="3"/>
      <c r="B165" s="3"/>
      <c r="C165" s="3"/>
      <c r="D165" s="4"/>
      <c r="E165" s="3"/>
      <c r="F165" s="5"/>
      <c r="G165" s="5"/>
      <c r="H165" s="5"/>
      <c r="I165" s="5"/>
      <c r="J165" s="5"/>
      <c r="K165" s="5"/>
      <c r="L165" s="5"/>
      <c r="M165" s="5"/>
      <c r="N165" s="5"/>
      <c r="O165" s="5"/>
      <c r="P165" s="22"/>
      <c r="Q165" s="3"/>
      <c r="R165" s="5"/>
      <c r="S165" s="3"/>
      <c r="T165" s="3"/>
      <c r="U165" s="3"/>
      <c r="V165" s="23"/>
      <c r="W165" s="24"/>
      <c r="X165" s="3"/>
      <c r="Y165" s="3"/>
      <c r="Z165" s="3"/>
      <c r="AA165" s="3"/>
      <c r="AB165" s="3"/>
      <c r="AC165" s="3"/>
      <c r="AD165" s="3"/>
      <c r="AE165" s="3"/>
      <c r="AF165" s="5"/>
      <c r="AG165" s="3"/>
      <c r="AH165" s="3"/>
      <c r="AI165" s="5"/>
      <c r="AJ165" s="3"/>
      <c r="AK165" s="3"/>
      <c r="AL165" s="5"/>
      <c r="AM165" s="3"/>
      <c r="AN165" s="5"/>
    </row>
    <row r="166" spans="1:40" ht="15.75" customHeight="1" x14ac:dyDescent="0.2">
      <c r="A166" s="3"/>
      <c r="B166" s="3"/>
      <c r="C166" s="3"/>
      <c r="D166" s="4"/>
      <c r="E166" s="3"/>
      <c r="F166" s="5"/>
      <c r="G166" s="5"/>
      <c r="H166" s="5"/>
      <c r="I166" s="5"/>
      <c r="J166" s="5"/>
      <c r="K166" s="5"/>
      <c r="L166" s="5"/>
      <c r="M166" s="5"/>
      <c r="N166" s="5"/>
      <c r="O166" s="5"/>
      <c r="P166" s="22"/>
      <c r="Q166" s="3"/>
      <c r="R166" s="5"/>
      <c r="S166" s="3"/>
      <c r="T166" s="3"/>
      <c r="U166" s="3"/>
      <c r="V166" s="23"/>
      <c r="W166" s="24"/>
      <c r="X166" s="3"/>
      <c r="Y166" s="3"/>
      <c r="Z166" s="3"/>
      <c r="AA166" s="3"/>
      <c r="AB166" s="3"/>
      <c r="AC166" s="3"/>
      <c r="AD166" s="3"/>
      <c r="AE166" s="3"/>
      <c r="AF166" s="5"/>
      <c r="AG166" s="3"/>
      <c r="AH166" s="3"/>
      <c r="AI166" s="5"/>
      <c r="AJ166" s="3"/>
      <c r="AK166" s="3"/>
      <c r="AL166" s="5"/>
      <c r="AM166" s="3"/>
      <c r="AN166" s="5"/>
    </row>
    <row r="167" spans="1:40" ht="15.75" customHeight="1" x14ac:dyDescent="0.2">
      <c r="A167" s="3"/>
      <c r="B167" s="3"/>
      <c r="C167" s="3"/>
      <c r="D167" s="4"/>
      <c r="E167" s="3"/>
      <c r="F167" s="5"/>
      <c r="G167" s="5"/>
      <c r="H167" s="5"/>
      <c r="I167" s="5"/>
      <c r="J167" s="5"/>
      <c r="K167" s="5"/>
      <c r="L167" s="5"/>
      <c r="M167" s="5"/>
      <c r="N167" s="5"/>
      <c r="O167" s="5"/>
      <c r="P167" s="22"/>
      <c r="Q167" s="3"/>
      <c r="R167" s="5"/>
      <c r="S167" s="3"/>
      <c r="T167" s="3"/>
      <c r="U167" s="3"/>
      <c r="V167" s="23"/>
      <c r="W167" s="24"/>
      <c r="X167" s="3"/>
      <c r="Y167" s="3"/>
      <c r="Z167" s="3"/>
      <c r="AA167" s="3"/>
      <c r="AB167" s="3"/>
      <c r="AC167" s="3"/>
      <c r="AD167" s="3"/>
      <c r="AE167" s="3"/>
      <c r="AF167" s="5"/>
      <c r="AG167" s="3"/>
      <c r="AH167" s="3"/>
      <c r="AI167" s="5"/>
      <c r="AJ167" s="3"/>
      <c r="AK167" s="3"/>
      <c r="AL167" s="5"/>
      <c r="AM167" s="3"/>
      <c r="AN167" s="5"/>
    </row>
    <row r="168" spans="1:40" ht="15.75" customHeight="1" x14ac:dyDescent="0.2">
      <c r="A168" s="3"/>
      <c r="B168" s="3"/>
      <c r="C168" s="3"/>
      <c r="D168" s="4"/>
      <c r="E168" s="3"/>
      <c r="F168" s="5"/>
      <c r="G168" s="5"/>
      <c r="H168" s="5"/>
      <c r="I168" s="5"/>
      <c r="J168" s="5"/>
      <c r="K168" s="5"/>
      <c r="L168" s="5"/>
      <c r="M168" s="5"/>
      <c r="N168" s="5"/>
      <c r="O168" s="5"/>
      <c r="P168" s="22"/>
      <c r="Q168" s="3"/>
      <c r="R168" s="5"/>
      <c r="S168" s="3"/>
      <c r="T168" s="3"/>
      <c r="U168" s="3"/>
      <c r="V168" s="23"/>
      <c r="W168" s="24"/>
      <c r="X168" s="3"/>
      <c r="Y168" s="3"/>
      <c r="Z168" s="3"/>
      <c r="AA168" s="3"/>
      <c r="AB168" s="3"/>
      <c r="AC168" s="3"/>
      <c r="AD168" s="3"/>
      <c r="AE168" s="3"/>
      <c r="AF168" s="5"/>
      <c r="AG168" s="3"/>
      <c r="AH168" s="3"/>
      <c r="AI168" s="5"/>
      <c r="AJ168" s="3"/>
      <c r="AK168" s="3"/>
      <c r="AL168" s="5"/>
      <c r="AM168" s="3"/>
      <c r="AN168" s="5"/>
    </row>
    <row r="169" spans="1:40" ht="15.75" customHeight="1" x14ac:dyDescent="0.2">
      <c r="A169" s="3"/>
      <c r="B169" s="3"/>
      <c r="C169" s="3"/>
      <c r="D169" s="4"/>
      <c r="E169" s="3"/>
      <c r="F169" s="5"/>
      <c r="G169" s="5"/>
      <c r="H169" s="5"/>
      <c r="I169" s="5"/>
      <c r="J169" s="5"/>
      <c r="K169" s="5"/>
      <c r="L169" s="5"/>
      <c r="M169" s="5"/>
      <c r="N169" s="5"/>
      <c r="O169" s="5"/>
      <c r="P169" s="22"/>
      <c r="Q169" s="3"/>
      <c r="R169" s="5"/>
      <c r="S169" s="3"/>
      <c r="T169" s="3"/>
      <c r="U169" s="3"/>
      <c r="V169" s="23"/>
      <c r="W169" s="24"/>
      <c r="X169" s="3"/>
      <c r="Y169" s="3"/>
      <c r="Z169" s="3"/>
      <c r="AA169" s="3"/>
      <c r="AB169" s="3"/>
      <c r="AC169" s="3"/>
      <c r="AD169" s="3"/>
      <c r="AE169" s="3"/>
      <c r="AF169" s="5"/>
      <c r="AG169" s="3"/>
      <c r="AH169" s="3"/>
      <c r="AI169" s="5"/>
      <c r="AJ169" s="3"/>
      <c r="AK169" s="3"/>
      <c r="AL169" s="5"/>
      <c r="AM169" s="3"/>
      <c r="AN169" s="5"/>
    </row>
    <row r="170" spans="1:40" ht="15.75" customHeight="1" x14ac:dyDescent="0.2">
      <c r="A170" s="3"/>
      <c r="B170" s="3"/>
      <c r="C170" s="3"/>
      <c r="D170" s="4"/>
      <c r="E170" s="3"/>
      <c r="F170" s="5"/>
      <c r="G170" s="5"/>
      <c r="H170" s="5"/>
      <c r="I170" s="5"/>
      <c r="J170" s="5"/>
      <c r="K170" s="5"/>
      <c r="L170" s="5"/>
      <c r="M170" s="5"/>
      <c r="N170" s="5"/>
      <c r="O170" s="5"/>
      <c r="P170" s="22"/>
      <c r="Q170" s="3"/>
      <c r="R170" s="5"/>
      <c r="S170" s="3"/>
      <c r="T170" s="3"/>
      <c r="U170" s="3"/>
      <c r="V170" s="23"/>
      <c r="W170" s="24"/>
      <c r="X170" s="3"/>
      <c r="Y170" s="3"/>
      <c r="Z170" s="3"/>
      <c r="AA170" s="3"/>
      <c r="AB170" s="3"/>
      <c r="AC170" s="3"/>
      <c r="AD170" s="3"/>
      <c r="AE170" s="3"/>
      <c r="AF170" s="5"/>
      <c r="AG170" s="3"/>
      <c r="AH170" s="3"/>
      <c r="AI170" s="5"/>
      <c r="AJ170" s="3"/>
      <c r="AK170" s="3"/>
      <c r="AL170" s="5"/>
      <c r="AM170" s="3"/>
      <c r="AN170" s="5"/>
    </row>
    <row r="171" spans="1:40" ht="15.75" customHeight="1" x14ac:dyDescent="0.2">
      <c r="A171" s="3"/>
      <c r="B171" s="3"/>
      <c r="C171" s="3"/>
      <c r="D171" s="4"/>
      <c r="E171" s="3"/>
      <c r="F171" s="5"/>
      <c r="G171" s="5"/>
      <c r="H171" s="5"/>
      <c r="I171" s="5"/>
      <c r="J171" s="5"/>
      <c r="K171" s="5"/>
      <c r="L171" s="5"/>
      <c r="M171" s="5"/>
      <c r="N171" s="5"/>
      <c r="O171" s="5"/>
      <c r="P171" s="22"/>
      <c r="Q171" s="3"/>
      <c r="R171" s="5"/>
      <c r="S171" s="3"/>
      <c r="T171" s="3"/>
      <c r="U171" s="3"/>
      <c r="V171" s="23"/>
      <c r="W171" s="24"/>
      <c r="X171" s="3"/>
      <c r="Y171" s="3"/>
      <c r="Z171" s="3"/>
      <c r="AA171" s="3"/>
      <c r="AB171" s="3"/>
      <c r="AC171" s="3"/>
      <c r="AD171" s="3"/>
      <c r="AE171" s="3"/>
      <c r="AF171" s="5"/>
      <c r="AG171" s="3"/>
      <c r="AH171" s="3"/>
      <c r="AI171" s="5"/>
      <c r="AJ171" s="3"/>
      <c r="AK171" s="3"/>
      <c r="AL171" s="5"/>
      <c r="AM171" s="3"/>
      <c r="AN171" s="5"/>
    </row>
    <row r="172" spans="1:40" ht="15.75" customHeight="1" x14ac:dyDescent="0.2">
      <c r="A172" s="3"/>
      <c r="B172" s="3"/>
      <c r="C172" s="3"/>
      <c r="D172" s="4"/>
      <c r="E172" s="3"/>
      <c r="F172" s="5"/>
      <c r="G172" s="5"/>
      <c r="H172" s="5"/>
      <c r="I172" s="5"/>
      <c r="J172" s="5"/>
      <c r="K172" s="5"/>
      <c r="L172" s="5"/>
      <c r="M172" s="5"/>
      <c r="N172" s="5"/>
      <c r="O172" s="5"/>
      <c r="P172" s="22"/>
      <c r="Q172" s="3"/>
      <c r="R172" s="5"/>
      <c r="S172" s="3"/>
      <c r="T172" s="3"/>
      <c r="U172" s="3"/>
      <c r="V172" s="23"/>
      <c r="W172" s="24"/>
      <c r="X172" s="3"/>
      <c r="Y172" s="3"/>
      <c r="Z172" s="3"/>
      <c r="AA172" s="3"/>
      <c r="AB172" s="3"/>
      <c r="AC172" s="3"/>
      <c r="AD172" s="3"/>
      <c r="AE172" s="3"/>
      <c r="AF172" s="5"/>
      <c r="AG172" s="3"/>
      <c r="AH172" s="3"/>
      <c r="AI172" s="5"/>
      <c r="AJ172" s="3"/>
      <c r="AK172" s="3"/>
      <c r="AL172" s="5"/>
      <c r="AM172" s="3"/>
      <c r="AN172" s="5"/>
    </row>
    <row r="173" spans="1:40" ht="15.75" customHeight="1" x14ac:dyDescent="0.2">
      <c r="A173" s="3"/>
      <c r="B173" s="3"/>
      <c r="C173" s="3"/>
      <c r="D173" s="4"/>
      <c r="E173" s="3"/>
      <c r="F173" s="5"/>
      <c r="G173" s="5"/>
      <c r="H173" s="5"/>
      <c r="I173" s="5"/>
      <c r="J173" s="5"/>
      <c r="K173" s="5"/>
      <c r="L173" s="5"/>
      <c r="M173" s="5"/>
      <c r="N173" s="5"/>
      <c r="O173" s="5"/>
      <c r="P173" s="22"/>
      <c r="Q173" s="3"/>
      <c r="R173" s="5"/>
      <c r="S173" s="3"/>
      <c r="T173" s="3"/>
      <c r="U173" s="3"/>
      <c r="V173" s="23"/>
      <c r="W173" s="24"/>
      <c r="X173" s="3"/>
      <c r="Y173" s="3"/>
      <c r="Z173" s="3"/>
      <c r="AA173" s="3"/>
      <c r="AB173" s="3"/>
      <c r="AC173" s="3"/>
      <c r="AD173" s="3"/>
      <c r="AE173" s="3"/>
      <c r="AF173" s="5"/>
      <c r="AG173" s="3"/>
      <c r="AH173" s="3"/>
      <c r="AI173" s="5"/>
      <c r="AJ173" s="3"/>
      <c r="AK173" s="3"/>
      <c r="AL173" s="5"/>
      <c r="AM173" s="3"/>
      <c r="AN173" s="5"/>
    </row>
    <row r="174" spans="1:40" ht="15.75" customHeight="1" x14ac:dyDescent="0.2">
      <c r="A174" s="3"/>
      <c r="B174" s="3"/>
      <c r="C174" s="3"/>
      <c r="D174" s="4"/>
      <c r="E174" s="3"/>
      <c r="F174" s="5"/>
      <c r="G174" s="5"/>
      <c r="H174" s="5"/>
      <c r="I174" s="5"/>
      <c r="J174" s="5"/>
      <c r="K174" s="5"/>
      <c r="L174" s="5"/>
      <c r="M174" s="5"/>
      <c r="N174" s="5"/>
      <c r="O174" s="5"/>
      <c r="P174" s="22"/>
      <c r="Q174" s="3"/>
      <c r="R174" s="5"/>
      <c r="S174" s="3"/>
      <c r="T174" s="3"/>
      <c r="U174" s="3"/>
      <c r="V174" s="23"/>
      <c r="W174" s="24"/>
      <c r="X174" s="3"/>
      <c r="Y174" s="3"/>
      <c r="Z174" s="3"/>
      <c r="AA174" s="3"/>
      <c r="AB174" s="3"/>
      <c r="AC174" s="3"/>
      <c r="AD174" s="3"/>
      <c r="AE174" s="3"/>
      <c r="AF174" s="5"/>
      <c r="AG174" s="3"/>
      <c r="AH174" s="3"/>
      <c r="AI174" s="5"/>
      <c r="AJ174" s="3"/>
      <c r="AK174" s="3"/>
      <c r="AL174" s="5"/>
      <c r="AM174" s="3"/>
      <c r="AN174" s="5"/>
    </row>
    <row r="175" spans="1:40" ht="15.75" customHeight="1" x14ac:dyDescent="0.2">
      <c r="A175" s="3"/>
      <c r="B175" s="3"/>
      <c r="C175" s="3"/>
      <c r="D175" s="4"/>
      <c r="E175" s="3"/>
      <c r="F175" s="5"/>
      <c r="G175" s="5"/>
      <c r="H175" s="5"/>
      <c r="I175" s="5"/>
      <c r="J175" s="5"/>
      <c r="K175" s="5"/>
      <c r="L175" s="5"/>
      <c r="M175" s="5"/>
      <c r="N175" s="5"/>
      <c r="O175" s="5"/>
      <c r="P175" s="22"/>
      <c r="Q175" s="3"/>
      <c r="R175" s="5"/>
      <c r="S175" s="3"/>
      <c r="T175" s="3"/>
      <c r="U175" s="3"/>
      <c r="V175" s="23"/>
      <c r="W175" s="24"/>
      <c r="X175" s="3"/>
      <c r="Y175" s="3"/>
      <c r="Z175" s="3"/>
      <c r="AA175" s="3"/>
      <c r="AB175" s="3"/>
      <c r="AC175" s="3"/>
      <c r="AD175" s="3"/>
      <c r="AE175" s="3"/>
      <c r="AF175" s="5"/>
      <c r="AG175" s="3"/>
      <c r="AH175" s="3"/>
      <c r="AI175" s="5"/>
      <c r="AJ175" s="3"/>
      <c r="AK175" s="3"/>
      <c r="AL175" s="5"/>
      <c r="AM175" s="3"/>
      <c r="AN175" s="5"/>
    </row>
    <row r="176" spans="1:40" ht="15.75" customHeight="1" x14ac:dyDescent="0.2">
      <c r="A176" s="3"/>
      <c r="B176" s="3"/>
      <c r="C176" s="3"/>
      <c r="D176" s="4"/>
      <c r="E176" s="3"/>
      <c r="F176" s="5"/>
      <c r="G176" s="5"/>
      <c r="H176" s="5"/>
      <c r="I176" s="5"/>
      <c r="J176" s="5"/>
      <c r="K176" s="5"/>
      <c r="L176" s="5"/>
      <c r="M176" s="5"/>
      <c r="N176" s="5"/>
      <c r="O176" s="5"/>
      <c r="P176" s="22"/>
      <c r="Q176" s="3"/>
      <c r="R176" s="5"/>
      <c r="S176" s="3"/>
      <c r="T176" s="3"/>
      <c r="U176" s="3"/>
      <c r="V176" s="23"/>
      <c r="W176" s="24"/>
      <c r="X176" s="3"/>
      <c r="Y176" s="3"/>
      <c r="Z176" s="3"/>
      <c r="AA176" s="3"/>
      <c r="AB176" s="3"/>
      <c r="AC176" s="3"/>
      <c r="AD176" s="3"/>
      <c r="AE176" s="3"/>
      <c r="AF176" s="5"/>
      <c r="AG176" s="3"/>
      <c r="AH176" s="3"/>
      <c r="AI176" s="5"/>
      <c r="AJ176" s="3"/>
      <c r="AK176" s="3"/>
      <c r="AL176" s="5"/>
      <c r="AM176" s="3"/>
      <c r="AN176" s="5"/>
    </row>
    <row r="177" spans="1:40" ht="15.75" customHeight="1" x14ac:dyDescent="0.2">
      <c r="A177" s="3"/>
      <c r="B177" s="3"/>
      <c r="C177" s="3"/>
      <c r="D177" s="4"/>
      <c r="E177" s="3"/>
      <c r="F177" s="5"/>
      <c r="G177" s="5"/>
      <c r="H177" s="5"/>
      <c r="I177" s="5"/>
      <c r="J177" s="5"/>
      <c r="K177" s="5"/>
      <c r="L177" s="5"/>
      <c r="M177" s="5"/>
      <c r="N177" s="5"/>
      <c r="O177" s="5"/>
      <c r="P177" s="22"/>
      <c r="Q177" s="3"/>
      <c r="R177" s="5"/>
      <c r="S177" s="3"/>
      <c r="T177" s="3"/>
      <c r="U177" s="3"/>
      <c r="V177" s="23"/>
      <c r="W177" s="24"/>
      <c r="X177" s="3"/>
      <c r="Y177" s="3"/>
      <c r="Z177" s="3"/>
      <c r="AA177" s="3"/>
      <c r="AB177" s="3"/>
      <c r="AC177" s="3"/>
      <c r="AD177" s="3"/>
      <c r="AE177" s="3"/>
      <c r="AF177" s="5"/>
      <c r="AG177" s="3"/>
      <c r="AH177" s="3"/>
      <c r="AI177" s="5"/>
      <c r="AJ177" s="3"/>
      <c r="AK177" s="3"/>
      <c r="AL177" s="5"/>
      <c r="AM177" s="3"/>
      <c r="AN177" s="5"/>
    </row>
    <row r="178" spans="1:40" ht="15.75" customHeight="1" x14ac:dyDescent="0.2">
      <c r="A178" s="3"/>
      <c r="B178" s="3"/>
      <c r="C178" s="3"/>
      <c r="D178" s="4"/>
      <c r="E178" s="3"/>
      <c r="F178" s="5"/>
      <c r="G178" s="5"/>
      <c r="H178" s="5"/>
      <c r="I178" s="5"/>
      <c r="J178" s="5"/>
      <c r="K178" s="5"/>
      <c r="L178" s="5"/>
      <c r="M178" s="5"/>
      <c r="N178" s="5"/>
      <c r="O178" s="5"/>
      <c r="P178" s="22"/>
      <c r="Q178" s="3"/>
      <c r="R178" s="5"/>
      <c r="S178" s="3"/>
      <c r="T178" s="3"/>
      <c r="U178" s="3"/>
      <c r="V178" s="23"/>
      <c r="W178" s="24"/>
      <c r="X178" s="3"/>
      <c r="Y178" s="3"/>
      <c r="Z178" s="3"/>
      <c r="AA178" s="3"/>
      <c r="AB178" s="3"/>
      <c r="AC178" s="3"/>
      <c r="AD178" s="3"/>
      <c r="AE178" s="3"/>
      <c r="AF178" s="5"/>
      <c r="AG178" s="3"/>
      <c r="AH178" s="3"/>
      <c r="AI178" s="5"/>
      <c r="AJ178" s="3"/>
      <c r="AK178" s="3"/>
      <c r="AL178" s="5"/>
      <c r="AM178" s="3"/>
      <c r="AN178" s="5"/>
    </row>
    <row r="179" spans="1:40" ht="15.75" customHeight="1" x14ac:dyDescent="0.2">
      <c r="A179" s="3"/>
      <c r="B179" s="3"/>
      <c r="C179" s="3"/>
      <c r="D179" s="4"/>
      <c r="E179" s="3"/>
      <c r="F179" s="5"/>
      <c r="G179" s="5"/>
      <c r="H179" s="5"/>
      <c r="I179" s="5"/>
      <c r="J179" s="5"/>
      <c r="K179" s="5"/>
      <c r="L179" s="5"/>
      <c r="M179" s="5"/>
      <c r="N179" s="5"/>
      <c r="O179" s="5"/>
      <c r="P179" s="22"/>
      <c r="Q179" s="3"/>
      <c r="R179" s="5"/>
      <c r="S179" s="3"/>
      <c r="T179" s="3"/>
      <c r="U179" s="3"/>
      <c r="V179" s="23"/>
      <c r="W179" s="24"/>
      <c r="X179" s="3"/>
      <c r="Y179" s="3"/>
      <c r="Z179" s="3"/>
      <c r="AA179" s="3"/>
      <c r="AB179" s="3"/>
      <c r="AC179" s="3"/>
      <c r="AD179" s="3"/>
      <c r="AE179" s="3"/>
      <c r="AF179" s="5"/>
      <c r="AG179" s="3"/>
      <c r="AH179" s="3"/>
      <c r="AI179" s="5"/>
      <c r="AJ179" s="3"/>
      <c r="AK179" s="3"/>
      <c r="AL179" s="5"/>
      <c r="AM179" s="3"/>
      <c r="AN179" s="5"/>
    </row>
    <row r="180" spans="1:40" ht="15.75" customHeight="1" x14ac:dyDescent="0.2">
      <c r="A180" s="3"/>
      <c r="B180" s="3"/>
      <c r="C180" s="3"/>
      <c r="D180" s="4"/>
      <c r="E180" s="3"/>
      <c r="F180" s="5"/>
      <c r="G180" s="5"/>
      <c r="H180" s="5"/>
      <c r="I180" s="5"/>
      <c r="J180" s="5"/>
      <c r="K180" s="5"/>
      <c r="L180" s="5"/>
      <c r="M180" s="5"/>
      <c r="N180" s="5"/>
      <c r="O180" s="5"/>
      <c r="P180" s="22"/>
      <c r="Q180" s="3"/>
      <c r="R180" s="5"/>
      <c r="S180" s="3"/>
      <c r="T180" s="3"/>
      <c r="U180" s="3"/>
      <c r="V180" s="23"/>
      <c r="W180" s="24"/>
      <c r="X180" s="3"/>
      <c r="Y180" s="3"/>
      <c r="Z180" s="3"/>
      <c r="AA180" s="3"/>
      <c r="AB180" s="3"/>
      <c r="AC180" s="3"/>
      <c r="AD180" s="3"/>
      <c r="AE180" s="3"/>
      <c r="AF180" s="5"/>
      <c r="AG180" s="3"/>
      <c r="AH180" s="3"/>
      <c r="AI180" s="5"/>
      <c r="AJ180" s="3"/>
      <c r="AK180" s="3"/>
      <c r="AL180" s="5"/>
      <c r="AM180" s="3"/>
      <c r="AN180" s="5"/>
    </row>
    <row r="181" spans="1:40" ht="15.75" customHeight="1" x14ac:dyDescent="0.2">
      <c r="A181" s="3"/>
      <c r="B181" s="3"/>
      <c r="C181" s="3"/>
      <c r="D181" s="4"/>
      <c r="E181" s="3"/>
      <c r="F181" s="5"/>
      <c r="G181" s="5"/>
      <c r="H181" s="5"/>
      <c r="I181" s="5"/>
      <c r="J181" s="5"/>
      <c r="K181" s="5"/>
      <c r="L181" s="5"/>
      <c r="M181" s="5"/>
      <c r="N181" s="5"/>
      <c r="O181" s="5"/>
      <c r="P181" s="22"/>
      <c r="Q181" s="3"/>
      <c r="R181" s="5"/>
      <c r="S181" s="3"/>
      <c r="T181" s="3"/>
      <c r="U181" s="3"/>
      <c r="V181" s="23"/>
      <c r="W181" s="24"/>
      <c r="X181" s="3"/>
      <c r="Y181" s="3"/>
      <c r="Z181" s="3"/>
      <c r="AA181" s="3"/>
      <c r="AB181" s="3"/>
      <c r="AC181" s="3"/>
      <c r="AD181" s="3"/>
      <c r="AE181" s="3"/>
      <c r="AF181" s="5"/>
      <c r="AG181" s="3"/>
      <c r="AH181" s="3"/>
      <c r="AI181" s="5"/>
      <c r="AJ181" s="3"/>
      <c r="AK181" s="3"/>
      <c r="AL181" s="5"/>
      <c r="AM181" s="3"/>
      <c r="AN181" s="5"/>
    </row>
    <row r="182" spans="1:40" ht="15.75" customHeight="1" x14ac:dyDescent="0.2">
      <c r="A182" s="3"/>
      <c r="B182" s="3"/>
      <c r="C182" s="3"/>
      <c r="D182" s="4"/>
      <c r="E182" s="3"/>
      <c r="F182" s="5"/>
      <c r="G182" s="5"/>
      <c r="H182" s="5"/>
      <c r="I182" s="5"/>
      <c r="J182" s="5"/>
      <c r="K182" s="5"/>
      <c r="L182" s="5"/>
      <c r="M182" s="5"/>
      <c r="N182" s="5"/>
      <c r="O182" s="5"/>
      <c r="P182" s="22"/>
      <c r="Q182" s="3"/>
      <c r="R182" s="5"/>
      <c r="S182" s="3"/>
      <c r="T182" s="3"/>
      <c r="U182" s="3"/>
      <c r="V182" s="23"/>
      <c r="W182" s="24"/>
      <c r="X182" s="3"/>
      <c r="Y182" s="3"/>
      <c r="Z182" s="3"/>
      <c r="AA182" s="3"/>
      <c r="AB182" s="3"/>
      <c r="AC182" s="3"/>
      <c r="AD182" s="3"/>
      <c r="AE182" s="3"/>
      <c r="AF182" s="5"/>
      <c r="AG182" s="3"/>
      <c r="AH182" s="3"/>
      <c r="AI182" s="5"/>
      <c r="AJ182" s="3"/>
      <c r="AK182" s="3"/>
      <c r="AL182" s="5"/>
      <c r="AM182" s="3"/>
      <c r="AN182" s="5"/>
    </row>
    <row r="183" spans="1:40" ht="15.75" customHeight="1" x14ac:dyDescent="0.2">
      <c r="A183" s="3"/>
      <c r="B183" s="3"/>
      <c r="C183" s="3"/>
      <c r="D183" s="4"/>
      <c r="E183" s="3"/>
      <c r="F183" s="5"/>
      <c r="G183" s="5"/>
      <c r="H183" s="5"/>
      <c r="I183" s="5"/>
      <c r="J183" s="5"/>
      <c r="K183" s="5"/>
      <c r="L183" s="5"/>
      <c r="M183" s="5"/>
      <c r="N183" s="5"/>
      <c r="O183" s="5"/>
      <c r="P183" s="22"/>
      <c r="Q183" s="3"/>
      <c r="R183" s="5"/>
      <c r="S183" s="3"/>
      <c r="T183" s="3"/>
      <c r="U183" s="3"/>
      <c r="V183" s="23"/>
      <c r="W183" s="24"/>
      <c r="X183" s="3"/>
      <c r="Y183" s="3"/>
      <c r="Z183" s="3"/>
      <c r="AA183" s="3"/>
      <c r="AB183" s="3"/>
      <c r="AC183" s="3"/>
      <c r="AD183" s="3"/>
      <c r="AE183" s="3"/>
      <c r="AF183" s="5"/>
      <c r="AG183" s="3"/>
      <c r="AH183" s="3"/>
      <c r="AI183" s="5"/>
      <c r="AJ183" s="3"/>
      <c r="AK183" s="3"/>
      <c r="AL183" s="5"/>
      <c r="AM183" s="3"/>
      <c r="AN183" s="5"/>
    </row>
    <row r="184" spans="1:40" ht="15.75" customHeight="1" x14ac:dyDescent="0.2">
      <c r="A184" s="3"/>
      <c r="B184" s="3"/>
      <c r="C184" s="3"/>
      <c r="D184" s="4"/>
      <c r="E184" s="3"/>
      <c r="F184" s="5"/>
      <c r="G184" s="5"/>
      <c r="H184" s="5"/>
      <c r="I184" s="5"/>
      <c r="J184" s="5"/>
      <c r="K184" s="5"/>
      <c r="L184" s="5"/>
      <c r="M184" s="5"/>
      <c r="N184" s="5"/>
      <c r="O184" s="5"/>
      <c r="P184" s="22"/>
      <c r="Q184" s="3"/>
      <c r="R184" s="5"/>
      <c r="S184" s="3"/>
      <c r="T184" s="3"/>
      <c r="U184" s="3"/>
      <c r="V184" s="23"/>
      <c r="W184" s="24"/>
      <c r="X184" s="3"/>
      <c r="Y184" s="3"/>
      <c r="Z184" s="3"/>
      <c r="AA184" s="3"/>
      <c r="AB184" s="3"/>
      <c r="AC184" s="3"/>
      <c r="AD184" s="3"/>
      <c r="AE184" s="3"/>
      <c r="AF184" s="5"/>
      <c r="AG184" s="3"/>
      <c r="AH184" s="3"/>
      <c r="AI184" s="5"/>
      <c r="AJ184" s="3"/>
      <c r="AK184" s="3"/>
      <c r="AL184" s="5"/>
      <c r="AM184" s="3"/>
      <c r="AN184" s="5"/>
    </row>
    <row r="185" spans="1:40" ht="15.75" customHeight="1" x14ac:dyDescent="0.2">
      <c r="A185" s="3"/>
      <c r="B185" s="3"/>
      <c r="C185" s="3"/>
      <c r="D185" s="4"/>
      <c r="E185" s="3"/>
      <c r="F185" s="5"/>
      <c r="G185" s="5"/>
      <c r="H185" s="5"/>
      <c r="I185" s="5"/>
      <c r="J185" s="5"/>
      <c r="K185" s="5"/>
      <c r="L185" s="5"/>
      <c r="M185" s="5"/>
      <c r="N185" s="5"/>
      <c r="O185" s="5"/>
      <c r="P185" s="22"/>
      <c r="Q185" s="3"/>
      <c r="R185" s="5"/>
      <c r="S185" s="3"/>
      <c r="T185" s="3"/>
      <c r="U185" s="3"/>
      <c r="V185" s="23"/>
      <c r="W185" s="24"/>
      <c r="X185" s="3"/>
      <c r="Y185" s="3"/>
      <c r="Z185" s="3"/>
      <c r="AA185" s="3"/>
      <c r="AB185" s="3"/>
      <c r="AC185" s="3"/>
      <c r="AD185" s="3"/>
      <c r="AE185" s="3"/>
      <c r="AF185" s="5"/>
      <c r="AG185" s="3"/>
      <c r="AH185" s="3"/>
      <c r="AI185" s="5"/>
      <c r="AJ185" s="3"/>
      <c r="AK185" s="3"/>
      <c r="AL185" s="5"/>
      <c r="AM185" s="3"/>
      <c r="AN185" s="5"/>
    </row>
    <row r="186" spans="1:40" ht="15.75" customHeight="1" x14ac:dyDescent="0.2">
      <c r="A186" s="3"/>
      <c r="B186" s="3"/>
      <c r="C186" s="3"/>
      <c r="D186" s="4"/>
      <c r="E186" s="3"/>
      <c r="F186" s="5"/>
      <c r="G186" s="5"/>
      <c r="H186" s="5"/>
      <c r="I186" s="5"/>
      <c r="J186" s="5"/>
      <c r="K186" s="5"/>
      <c r="L186" s="5"/>
      <c r="M186" s="5"/>
      <c r="N186" s="5"/>
      <c r="O186" s="5"/>
      <c r="P186" s="22"/>
      <c r="Q186" s="3"/>
      <c r="R186" s="5"/>
      <c r="S186" s="3"/>
      <c r="T186" s="3"/>
      <c r="U186" s="3"/>
      <c r="V186" s="23"/>
      <c r="W186" s="24"/>
      <c r="X186" s="3"/>
      <c r="Y186" s="3"/>
      <c r="Z186" s="3"/>
      <c r="AA186" s="3"/>
      <c r="AB186" s="3"/>
      <c r="AC186" s="3"/>
      <c r="AD186" s="3"/>
      <c r="AE186" s="3"/>
      <c r="AF186" s="5"/>
      <c r="AG186" s="3"/>
      <c r="AH186" s="3"/>
      <c r="AI186" s="5"/>
      <c r="AJ186" s="3"/>
      <c r="AK186" s="3"/>
      <c r="AL186" s="5"/>
      <c r="AM186" s="3"/>
      <c r="AN186" s="5"/>
    </row>
    <row r="187" spans="1:40" ht="15.75" customHeight="1" x14ac:dyDescent="0.2">
      <c r="A187" s="3"/>
      <c r="B187" s="3"/>
      <c r="C187" s="3"/>
      <c r="D187" s="4"/>
      <c r="E187" s="3"/>
      <c r="F187" s="5"/>
      <c r="G187" s="5"/>
      <c r="H187" s="5"/>
      <c r="I187" s="5"/>
      <c r="J187" s="5"/>
      <c r="K187" s="5"/>
      <c r="L187" s="5"/>
      <c r="M187" s="5"/>
      <c r="N187" s="5"/>
      <c r="O187" s="5"/>
      <c r="P187" s="22"/>
      <c r="Q187" s="3"/>
      <c r="R187" s="5"/>
      <c r="S187" s="3"/>
      <c r="T187" s="3"/>
      <c r="U187" s="3"/>
      <c r="V187" s="23"/>
      <c r="W187" s="24"/>
      <c r="X187" s="3"/>
      <c r="Y187" s="3"/>
      <c r="Z187" s="3"/>
      <c r="AA187" s="3"/>
      <c r="AB187" s="3"/>
      <c r="AC187" s="3"/>
      <c r="AD187" s="3"/>
      <c r="AE187" s="3"/>
      <c r="AF187" s="5"/>
      <c r="AG187" s="3"/>
      <c r="AH187" s="3"/>
      <c r="AI187" s="5"/>
      <c r="AJ187" s="3"/>
      <c r="AK187" s="3"/>
      <c r="AL187" s="5"/>
      <c r="AM187" s="3"/>
      <c r="AN187" s="5"/>
    </row>
    <row r="188" spans="1:40" ht="15.75" customHeight="1" x14ac:dyDescent="0.2">
      <c r="A188" s="3"/>
      <c r="B188" s="3"/>
      <c r="C188" s="3"/>
      <c r="D188" s="4"/>
      <c r="E188" s="3"/>
      <c r="F188" s="5"/>
      <c r="G188" s="5"/>
      <c r="H188" s="5"/>
      <c r="I188" s="5"/>
      <c r="J188" s="5"/>
      <c r="K188" s="5"/>
      <c r="L188" s="5"/>
      <c r="M188" s="5"/>
      <c r="N188" s="5"/>
      <c r="O188" s="5"/>
      <c r="P188" s="22"/>
      <c r="Q188" s="3"/>
      <c r="R188" s="5"/>
      <c r="S188" s="3"/>
      <c r="T188" s="3"/>
      <c r="U188" s="3"/>
      <c r="V188" s="23"/>
      <c r="W188" s="24"/>
      <c r="X188" s="3"/>
      <c r="Y188" s="3"/>
      <c r="Z188" s="3"/>
      <c r="AA188" s="3"/>
      <c r="AB188" s="3"/>
      <c r="AC188" s="3"/>
      <c r="AD188" s="3"/>
      <c r="AE188" s="3"/>
      <c r="AF188" s="5"/>
      <c r="AG188" s="3"/>
      <c r="AH188" s="3"/>
      <c r="AI188" s="5"/>
      <c r="AJ188" s="3"/>
      <c r="AK188" s="3"/>
      <c r="AL188" s="5"/>
      <c r="AM188" s="3"/>
      <c r="AN188" s="5"/>
    </row>
    <row r="189" spans="1:40" ht="15.75" customHeight="1" x14ac:dyDescent="0.2">
      <c r="A189" s="3"/>
      <c r="B189" s="3"/>
      <c r="C189" s="3"/>
      <c r="D189" s="4"/>
      <c r="E189" s="3"/>
      <c r="F189" s="5"/>
      <c r="G189" s="5"/>
      <c r="H189" s="5"/>
      <c r="I189" s="5"/>
      <c r="J189" s="5"/>
      <c r="K189" s="5"/>
      <c r="L189" s="5"/>
      <c r="M189" s="5"/>
      <c r="N189" s="5"/>
      <c r="O189" s="5"/>
      <c r="P189" s="22"/>
      <c r="Q189" s="3"/>
      <c r="R189" s="5"/>
      <c r="S189" s="3"/>
      <c r="T189" s="3"/>
      <c r="U189" s="3"/>
      <c r="V189" s="23"/>
      <c r="W189" s="24"/>
      <c r="X189" s="3"/>
      <c r="Y189" s="3"/>
      <c r="Z189" s="3"/>
      <c r="AA189" s="3"/>
      <c r="AB189" s="3"/>
      <c r="AC189" s="3"/>
      <c r="AD189" s="3"/>
      <c r="AE189" s="3"/>
      <c r="AF189" s="5"/>
      <c r="AG189" s="3"/>
      <c r="AH189" s="3"/>
      <c r="AI189" s="5"/>
      <c r="AJ189" s="3"/>
      <c r="AK189" s="3"/>
      <c r="AL189" s="5"/>
      <c r="AM189" s="3"/>
      <c r="AN189" s="5"/>
    </row>
    <row r="190" spans="1:40" ht="15.75" customHeight="1" x14ac:dyDescent="0.2">
      <c r="A190" s="3"/>
      <c r="B190" s="3"/>
      <c r="C190" s="3"/>
      <c r="D190" s="4"/>
      <c r="E190" s="3"/>
      <c r="F190" s="5"/>
      <c r="G190" s="5"/>
      <c r="H190" s="5"/>
      <c r="I190" s="5"/>
      <c r="J190" s="5"/>
      <c r="K190" s="5"/>
      <c r="L190" s="5"/>
      <c r="M190" s="5"/>
      <c r="N190" s="5"/>
      <c r="O190" s="5"/>
      <c r="P190" s="22"/>
      <c r="Q190" s="3"/>
      <c r="R190" s="5"/>
      <c r="S190" s="3"/>
      <c r="T190" s="3"/>
      <c r="U190" s="3"/>
      <c r="V190" s="23"/>
      <c r="W190" s="24"/>
      <c r="X190" s="3"/>
      <c r="Y190" s="3"/>
      <c r="Z190" s="3"/>
      <c r="AA190" s="3"/>
      <c r="AB190" s="3"/>
      <c r="AC190" s="3"/>
      <c r="AD190" s="3"/>
      <c r="AE190" s="3"/>
      <c r="AF190" s="5"/>
      <c r="AG190" s="3"/>
      <c r="AH190" s="3"/>
      <c r="AI190" s="5"/>
      <c r="AJ190" s="3"/>
      <c r="AK190" s="3"/>
      <c r="AL190" s="5"/>
      <c r="AM190" s="3"/>
      <c r="AN190" s="5"/>
    </row>
    <row r="191" spans="1:40" ht="15.75" customHeight="1" x14ac:dyDescent="0.2">
      <c r="A191" s="3"/>
      <c r="B191" s="3"/>
      <c r="C191" s="3"/>
      <c r="D191" s="4"/>
      <c r="E191" s="3"/>
      <c r="F191" s="5"/>
      <c r="G191" s="5"/>
      <c r="H191" s="5"/>
      <c r="I191" s="5"/>
      <c r="J191" s="5"/>
      <c r="K191" s="5"/>
      <c r="L191" s="5"/>
      <c r="M191" s="5"/>
      <c r="N191" s="5"/>
      <c r="O191" s="5"/>
      <c r="P191" s="22"/>
      <c r="Q191" s="3"/>
      <c r="R191" s="5"/>
      <c r="S191" s="3"/>
      <c r="T191" s="3"/>
      <c r="U191" s="3"/>
      <c r="V191" s="23"/>
      <c r="W191" s="24"/>
      <c r="X191" s="3"/>
      <c r="Y191" s="3"/>
      <c r="Z191" s="3"/>
      <c r="AA191" s="3"/>
      <c r="AB191" s="3"/>
      <c r="AC191" s="3"/>
      <c r="AD191" s="3"/>
      <c r="AE191" s="3"/>
      <c r="AF191" s="5"/>
      <c r="AG191" s="3"/>
      <c r="AH191" s="3"/>
      <c r="AI191" s="5"/>
      <c r="AJ191" s="3"/>
      <c r="AK191" s="3"/>
      <c r="AL191" s="5"/>
      <c r="AM191" s="3"/>
      <c r="AN191" s="5"/>
    </row>
    <row r="192" spans="1:40" ht="15.75" customHeight="1" x14ac:dyDescent="0.2">
      <c r="A192" s="3"/>
      <c r="B192" s="3"/>
      <c r="C192" s="3"/>
      <c r="D192" s="4"/>
      <c r="E192" s="3"/>
      <c r="F192" s="5"/>
      <c r="G192" s="5"/>
      <c r="H192" s="5"/>
      <c r="I192" s="5"/>
      <c r="J192" s="5"/>
      <c r="K192" s="5"/>
      <c r="L192" s="5"/>
      <c r="M192" s="5"/>
      <c r="N192" s="5"/>
      <c r="O192" s="5"/>
      <c r="P192" s="22"/>
      <c r="Q192" s="3"/>
      <c r="R192" s="5"/>
      <c r="S192" s="3"/>
      <c r="T192" s="3"/>
      <c r="U192" s="3"/>
      <c r="V192" s="23"/>
      <c r="W192" s="24"/>
      <c r="X192" s="3"/>
      <c r="Y192" s="3"/>
      <c r="Z192" s="3"/>
      <c r="AA192" s="3"/>
      <c r="AB192" s="3"/>
      <c r="AC192" s="3"/>
      <c r="AD192" s="3"/>
      <c r="AE192" s="3"/>
      <c r="AF192" s="5"/>
      <c r="AG192" s="3"/>
      <c r="AH192" s="3"/>
      <c r="AI192" s="5"/>
      <c r="AJ192" s="3"/>
      <c r="AK192" s="3"/>
      <c r="AL192" s="5"/>
      <c r="AM192" s="3"/>
      <c r="AN192" s="5"/>
    </row>
    <row r="193" spans="1:40" ht="15.75" customHeight="1" x14ac:dyDescent="0.2">
      <c r="A193" s="3"/>
      <c r="B193" s="3"/>
      <c r="C193" s="3"/>
      <c r="D193" s="4"/>
      <c r="E193" s="3"/>
      <c r="F193" s="5"/>
      <c r="G193" s="5"/>
      <c r="H193" s="5"/>
      <c r="I193" s="5"/>
      <c r="J193" s="5"/>
      <c r="K193" s="5"/>
      <c r="L193" s="5"/>
      <c r="M193" s="5"/>
      <c r="N193" s="5"/>
      <c r="O193" s="5"/>
      <c r="P193" s="22"/>
      <c r="Q193" s="3"/>
      <c r="R193" s="5"/>
      <c r="S193" s="3"/>
      <c r="T193" s="3"/>
      <c r="U193" s="3"/>
      <c r="V193" s="23"/>
      <c r="W193" s="24"/>
      <c r="X193" s="3"/>
      <c r="Y193" s="3"/>
      <c r="Z193" s="3"/>
      <c r="AA193" s="3"/>
      <c r="AB193" s="3"/>
      <c r="AC193" s="3"/>
      <c r="AD193" s="3"/>
      <c r="AE193" s="3"/>
      <c r="AF193" s="5"/>
      <c r="AG193" s="3"/>
      <c r="AH193" s="3"/>
      <c r="AI193" s="5"/>
      <c r="AJ193" s="3"/>
      <c r="AK193" s="3"/>
      <c r="AL193" s="5"/>
      <c r="AM193" s="3"/>
      <c r="AN193" s="5"/>
    </row>
    <row r="194" spans="1:40" ht="15.75" customHeight="1" x14ac:dyDescent="0.2">
      <c r="A194" s="3"/>
      <c r="B194" s="3"/>
      <c r="C194" s="3"/>
      <c r="D194" s="4"/>
      <c r="E194" s="3"/>
      <c r="F194" s="5"/>
      <c r="G194" s="5"/>
      <c r="H194" s="5"/>
      <c r="I194" s="5"/>
      <c r="J194" s="5"/>
      <c r="K194" s="5"/>
      <c r="L194" s="5"/>
      <c r="M194" s="5"/>
      <c r="N194" s="5"/>
      <c r="O194" s="5"/>
      <c r="P194" s="22"/>
      <c r="Q194" s="3"/>
      <c r="R194" s="5"/>
      <c r="S194" s="3"/>
      <c r="T194" s="3"/>
      <c r="U194" s="3"/>
      <c r="V194" s="23"/>
      <c r="W194" s="24"/>
      <c r="X194" s="3"/>
      <c r="Y194" s="3"/>
      <c r="Z194" s="3"/>
      <c r="AA194" s="3"/>
      <c r="AB194" s="3"/>
      <c r="AC194" s="3"/>
      <c r="AD194" s="3"/>
      <c r="AE194" s="3"/>
      <c r="AF194" s="5"/>
      <c r="AG194" s="3"/>
      <c r="AH194" s="3"/>
      <c r="AI194" s="5"/>
      <c r="AJ194" s="3"/>
      <c r="AK194" s="3"/>
      <c r="AL194" s="5"/>
      <c r="AM194" s="3"/>
      <c r="AN194" s="5"/>
    </row>
    <row r="195" spans="1:40" ht="15.75" customHeight="1" x14ac:dyDescent="0.2">
      <c r="A195" s="3"/>
      <c r="B195" s="3"/>
      <c r="C195" s="3"/>
      <c r="D195" s="4"/>
      <c r="E195" s="3"/>
      <c r="F195" s="5"/>
      <c r="G195" s="5"/>
      <c r="H195" s="5"/>
      <c r="I195" s="5"/>
      <c r="J195" s="5"/>
      <c r="K195" s="5"/>
      <c r="L195" s="5"/>
      <c r="M195" s="5"/>
      <c r="N195" s="5"/>
      <c r="O195" s="5"/>
      <c r="P195" s="22"/>
      <c r="Q195" s="3"/>
      <c r="R195" s="5"/>
      <c r="S195" s="3"/>
      <c r="T195" s="3"/>
      <c r="U195" s="3"/>
      <c r="V195" s="23"/>
      <c r="W195" s="24"/>
      <c r="X195" s="3"/>
      <c r="Y195" s="3"/>
      <c r="Z195" s="3"/>
      <c r="AA195" s="3"/>
      <c r="AB195" s="3"/>
      <c r="AC195" s="3"/>
      <c r="AD195" s="3"/>
      <c r="AE195" s="3"/>
      <c r="AF195" s="5"/>
      <c r="AG195" s="3"/>
      <c r="AH195" s="3"/>
      <c r="AI195" s="5"/>
      <c r="AJ195" s="3"/>
      <c r="AK195" s="3"/>
      <c r="AL195" s="5"/>
      <c r="AM195" s="3"/>
      <c r="AN195" s="5"/>
    </row>
    <row r="196" spans="1:40" ht="15.75" customHeight="1" x14ac:dyDescent="0.2">
      <c r="A196" s="3"/>
      <c r="B196" s="3"/>
      <c r="C196" s="3"/>
      <c r="D196" s="4"/>
      <c r="E196" s="3"/>
      <c r="F196" s="5"/>
      <c r="G196" s="5"/>
      <c r="H196" s="5"/>
      <c r="I196" s="5"/>
      <c r="J196" s="5"/>
      <c r="K196" s="5"/>
      <c r="L196" s="5"/>
      <c r="M196" s="5"/>
      <c r="N196" s="5"/>
      <c r="O196" s="5"/>
      <c r="P196" s="22"/>
      <c r="Q196" s="3"/>
      <c r="R196" s="5"/>
      <c r="S196" s="3"/>
      <c r="T196" s="3"/>
      <c r="U196" s="3"/>
      <c r="V196" s="23"/>
      <c r="W196" s="24"/>
      <c r="X196" s="3"/>
      <c r="Y196" s="3"/>
      <c r="Z196" s="3"/>
      <c r="AA196" s="3"/>
      <c r="AB196" s="3"/>
      <c r="AC196" s="3"/>
      <c r="AD196" s="3"/>
      <c r="AE196" s="3"/>
      <c r="AF196" s="5"/>
      <c r="AG196" s="3"/>
      <c r="AH196" s="3"/>
      <c r="AI196" s="5"/>
      <c r="AJ196" s="3"/>
      <c r="AK196" s="3"/>
      <c r="AL196" s="5"/>
      <c r="AM196" s="3"/>
      <c r="AN196" s="5"/>
    </row>
    <row r="197" spans="1:40" ht="15.75" customHeight="1" x14ac:dyDescent="0.2">
      <c r="A197" s="3"/>
      <c r="B197" s="3"/>
      <c r="C197" s="3"/>
      <c r="D197" s="4"/>
      <c r="E197" s="3"/>
      <c r="F197" s="5"/>
      <c r="G197" s="5"/>
      <c r="H197" s="5"/>
      <c r="I197" s="5"/>
      <c r="J197" s="5"/>
      <c r="K197" s="5"/>
      <c r="L197" s="5"/>
      <c r="M197" s="5"/>
      <c r="N197" s="5"/>
      <c r="O197" s="5"/>
      <c r="P197" s="22"/>
      <c r="Q197" s="3"/>
      <c r="R197" s="5"/>
      <c r="S197" s="3"/>
      <c r="T197" s="3"/>
      <c r="U197" s="3"/>
      <c r="V197" s="23"/>
      <c r="W197" s="24"/>
      <c r="X197" s="3"/>
      <c r="Y197" s="3"/>
      <c r="Z197" s="3"/>
      <c r="AA197" s="3"/>
      <c r="AB197" s="3"/>
      <c r="AC197" s="3"/>
      <c r="AD197" s="3"/>
      <c r="AE197" s="3"/>
      <c r="AF197" s="5"/>
      <c r="AG197" s="3"/>
      <c r="AH197" s="3"/>
      <c r="AI197" s="5"/>
      <c r="AJ197" s="3"/>
      <c r="AK197" s="3"/>
      <c r="AL197" s="5"/>
      <c r="AM197" s="3"/>
      <c r="AN197" s="5"/>
    </row>
    <row r="198" spans="1:40" ht="15.75" customHeight="1" x14ac:dyDescent="0.2">
      <c r="A198" s="3"/>
      <c r="B198" s="3"/>
      <c r="C198" s="3"/>
      <c r="D198" s="4"/>
      <c r="E198" s="3"/>
      <c r="F198" s="5"/>
      <c r="G198" s="5"/>
      <c r="H198" s="5"/>
      <c r="I198" s="5"/>
      <c r="J198" s="5"/>
      <c r="K198" s="5"/>
      <c r="L198" s="5"/>
      <c r="M198" s="5"/>
      <c r="N198" s="5"/>
      <c r="O198" s="5"/>
      <c r="P198" s="22"/>
      <c r="Q198" s="3"/>
      <c r="R198" s="5"/>
      <c r="S198" s="3"/>
      <c r="T198" s="3"/>
      <c r="U198" s="3"/>
      <c r="V198" s="23"/>
      <c r="W198" s="24"/>
      <c r="X198" s="3"/>
      <c r="Y198" s="3"/>
      <c r="Z198" s="3"/>
      <c r="AA198" s="3"/>
      <c r="AB198" s="3"/>
      <c r="AC198" s="3"/>
      <c r="AD198" s="3"/>
      <c r="AE198" s="3"/>
      <c r="AF198" s="5"/>
      <c r="AG198" s="3"/>
      <c r="AH198" s="3"/>
      <c r="AI198" s="5"/>
      <c r="AJ198" s="3"/>
      <c r="AK198" s="3"/>
      <c r="AL198" s="5"/>
      <c r="AM198" s="3"/>
      <c r="AN198" s="5"/>
    </row>
    <row r="199" spans="1:40" ht="15.75" customHeight="1" x14ac:dyDescent="0.2">
      <c r="A199" s="3"/>
      <c r="B199" s="3"/>
      <c r="C199" s="3"/>
      <c r="D199" s="4"/>
      <c r="E199" s="3"/>
      <c r="F199" s="5"/>
      <c r="G199" s="5"/>
      <c r="H199" s="5"/>
      <c r="I199" s="5"/>
      <c r="J199" s="5"/>
      <c r="K199" s="5"/>
      <c r="L199" s="5"/>
      <c r="M199" s="5"/>
      <c r="N199" s="5"/>
      <c r="O199" s="5"/>
      <c r="P199" s="22"/>
      <c r="Q199" s="3"/>
      <c r="R199" s="5"/>
      <c r="S199" s="3"/>
      <c r="T199" s="3"/>
      <c r="U199" s="3"/>
      <c r="V199" s="23"/>
      <c r="W199" s="24"/>
      <c r="X199" s="3"/>
      <c r="Y199" s="3"/>
      <c r="Z199" s="3"/>
      <c r="AA199" s="3"/>
      <c r="AB199" s="3"/>
      <c r="AC199" s="3"/>
      <c r="AD199" s="3"/>
      <c r="AE199" s="3"/>
      <c r="AF199" s="5"/>
      <c r="AG199" s="3"/>
      <c r="AH199" s="3"/>
      <c r="AI199" s="5"/>
      <c r="AJ199" s="3"/>
      <c r="AK199" s="3"/>
      <c r="AL199" s="5"/>
      <c r="AM199" s="3"/>
      <c r="AN199" s="5"/>
    </row>
    <row r="200" spans="1:40" ht="15.75" customHeight="1" x14ac:dyDescent="0.2">
      <c r="A200" s="3"/>
      <c r="B200" s="3"/>
      <c r="C200" s="3"/>
      <c r="D200" s="4"/>
      <c r="E200" s="3"/>
      <c r="F200" s="5"/>
      <c r="G200" s="5"/>
      <c r="H200" s="5"/>
      <c r="I200" s="5"/>
      <c r="J200" s="5"/>
      <c r="K200" s="5"/>
      <c r="L200" s="5"/>
      <c r="M200" s="5"/>
      <c r="N200" s="5"/>
      <c r="O200" s="5"/>
      <c r="P200" s="22"/>
      <c r="Q200" s="3"/>
      <c r="R200" s="5"/>
      <c r="S200" s="3"/>
      <c r="T200" s="3"/>
      <c r="U200" s="3"/>
      <c r="V200" s="23"/>
      <c r="W200" s="24"/>
      <c r="X200" s="3"/>
      <c r="Y200" s="3"/>
      <c r="Z200" s="3"/>
      <c r="AA200" s="3"/>
      <c r="AB200" s="3"/>
      <c r="AC200" s="3"/>
      <c r="AD200" s="3"/>
      <c r="AE200" s="3"/>
      <c r="AF200" s="5"/>
      <c r="AG200" s="3"/>
      <c r="AH200" s="3"/>
      <c r="AI200" s="5"/>
      <c r="AJ200" s="3"/>
      <c r="AK200" s="3"/>
      <c r="AL200" s="5"/>
      <c r="AM200" s="3"/>
      <c r="AN200" s="5"/>
    </row>
    <row r="201" spans="1:40" ht="15.75" customHeight="1" x14ac:dyDescent="0.2">
      <c r="A201" s="3"/>
      <c r="B201" s="3"/>
      <c r="C201" s="3"/>
      <c r="D201" s="4"/>
      <c r="E201" s="3"/>
      <c r="F201" s="5"/>
      <c r="G201" s="5"/>
      <c r="H201" s="5"/>
      <c r="I201" s="5"/>
      <c r="J201" s="5"/>
      <c r="K201" s="5"/>
      <c r="L201" s="5"/>
      <c r="M201" s="5"/>
      <c r="N201" s="5"/>
      <c r="O201" s="5"/>
      <c r="P201" s="22"/>
      <c r="Q201" s="3"/>
      <c r="R201" s="5"/>
      <c r="S201" s="3"/>
      <c r="T201" s="3"/>
      <c r="U201" s="3"/>
      <c r="V201" s="23"/>
      <c r="W201" s="24"/>
      <c r="X201" s="3"/>
      <c r="Y201" s="3"/>
      <c r="Z201" s="3"/>
      <c r="AA201" s="3"/>
      <c r="AB201" s="3"/>
      <c r="AC201" s="3"/>
      <c r="AD201" s="3"/>
      <c r="AE201" s="3"/>
      <c r="AF201" s="5"/>
      <c r="AG201" s="3"/>
      <c r="AH201" s="3"/>
      <c r="AI201" s="5"/>
      <c r="AJ201" s="3"/>
      <c r="AK201" s="3"/>
      <c r="AL201" s="5"/>
      <c r="AM201" s="3"/>
      <c r="AN201" s="5"/>
    </row>
    <row r="202" spans="1:40" ht="15.75" customHeight="1" x14ac:dyDescent="0.2">
      <c r="A202" s="3"/>
      <c r="B202" s="3"/>
      <c r="C202" s="3"/>
      <c r="D202" s="4"/>
      <c r="E202" s="3"/>
      <c r="F202" s="5"/>
      <c r="G202" s="5"/>
      <c r="H202" s="5"/>
      <c r="I202" s="5"/>
      <c r="J202" s="5"/>
      <c r="K202" s="5"/>
      <c r="L202" s="5"/>
      <c r="M202" s="5"/>
      <c r="N202" s="5"/>
      <c r="O202" s="5"/>
      <c r="P202" s="22"/>
      <c r="Q202" s="3"/>
      <c r="R202" s="5"/>
      <c r="S202" s="3"/>
      <c r="T202" s="3"/>
      <c r="U202" s="3"/>
      <c r="V202" s="23"/>
      <c r="W202" s="24"/>
      <c r="X202" s="3"/>
      <c r="Y202" s="3"/>
      <c r="Z202" s="3"/>
      <c r="AA202" s="3"/>
      <c r="AB202" s="3"/>
      <c r="AC202" s="3"/>
      <c r="AD202" s="3"/>
      <c r="AE202" s="3"/>
      <c r="AF202" s="5"/>
      <c r="AG202" s="3"/>
      <c r="AH202" s="3"/>
      <c r="AI202" s="5"/>
      <c r="AJ202" s="3"/>
      <c r="AK202" s="3"/>
      <c r="AL202" s="5"/>
      <c r="AM202" s="3"/>
      <c r="AN202" s="5"/>
    </row>
    <row r="203" spans="1:40" ht="15.75" customHeight="1" x14ac:dyDescent="0.2">
      <c r="A203" s="3"/>
      <c r="B203" s="3"/>
      <c r="C203" s="3"/>
      <c r="D203" s="4"/>
      <c r="E203" s="3"/>
      <c r="F203" s="5"/>
      <c r="G203" s="5"/>
      <c r="H203" s="5"/>
      <c r="I203" s="5"/>
      <c r="J203" s="5"/>
      <c r="K203" s="5"/>
      <c r="L203" s="5"/>
      <c r="M203" s="5"/>
      <c r="N203" s="5"/>
      <c r="O203" s="5"/>
      <c r="P203" s="22"/>
      <c r="Q203" s="3"/>
      <c r="R203" s="5"/>
      <c r="S203" s="3"/>
      <c r="T203" s="3"/>
      <c r="U203" s="3"/>
      <c r="V203" s="23"/>
      <c r="W203" s="24"/>
      <c r="X203" s="3"/>
      <c r="Y203" s="3"/>
      <c r="Z203" s="3"/>
      <c r="AA203" s="3"/>
      <c r="AB203" s="3"/>
      <c r="AC203" s="3"/>
      <c r="AD203" s="3"/>
      <c r="AE203" s="3"/>
      <c r="AF203" s="5"/>
      <c r="AG203" s="3"/>
      <c r="AH203" s="3"/>
      <c r="AI203" s="5"/>
      <c r="AJ203" s="3"/>
      <c r="AK203" s="3"/>
      <c r="AL203" s="5"/>
      <c r="AM203" s="3"/>
      <c r="AN203" s="5"/>
    </row>
    <row r="204" spans="1:40" ht="15.75" customHeight="1" x14ac:dyDescent="0.2">
      <c r="A204" s="3"/>
      <c r="B204" s="3"/>
      <c r="C204" s="3"/>
      <c r="D204" s="4"/>
      <c r="E204" s="3"/>
      <c r="F204" s="5"/>
      <c r="G204" s="5"/>
      <c r="H204" s="5"/>
      <c r="I204" s="5"/>
      <c r="J204" s="5"/>
      <c r="K204" s="5"/>
      <c r="L204" s="5"/>
      <c r="M204" s="5"/>
      <c r="N204" s="5"/>
      <c r="O204" s="5"/>
      <c r="P204" s="22"/>
      <c r="Q204" s="3"/>
      <c r="R204" s="5"/>
      <c r="S204" s="3"/>
      <c r="T204" s="3"/>
      <c r="U204" s="3"/>
      <c r="V204" s="23"/>
      <c r="W204" s="24"/>
      <c r="X204" s="3"/>
      <c r="Y204" s="3"/>
      <c r="Z204" s="3"/>
      <c r="AA204" s="3"/>
      <c r="AB204" s="3"/>
      <c r="AC204" s="3"/>
      <c r="AD204" s="3"/>
      <c r="AE204" s="3"/>
      <c r="AF204" s="5"/>
      <c r="AG204" s="3"/>
      <c r="AH204" s="3"/>
      <c r="AI204" s="5"/>
      <c r="AJ204" s="3"/>
      <c r="AK204" s="3"/>
      <c r="AL204" s="5"/>
      <c r="AM204" s="3"/>
      <c r="AN204" s="5"/>
    </row>
    <row r="205" spans="1:40" ht="15.75" customHeight="1" x14ac:dyDescent="0.2">
      <c r="A205" s="3"/>
      <c r="B205" s="3"/>
      <c r="C205" s="3"/>
      <c r="D205" s="4"/>
      <c r="E205" s="3"/>
      <c r="F205" s="5"/>
      <c r="G205" s="5"/>
      <c r="H205" s="5"/>
      <c r="I205" s="5"/>
      <c r="J205" s="5"/>
      <c r="K205" s="5"/>
      <c r="L205" s="5"/>
      <c r="M205" s="5"/>
      <c r="N205" s="5"/>
      <c r="O205" s="5"/>
      <c r="P205" s="22"/>
      <c r="Q205" s="3"/>
      <c r="R205" s="5"/>
      <c r="S205" s="3"/>
      <c r="T205" s="3"/>
      <c r="U205" s="3"/>
      <c r="V205" s="23"/>
      <c r="W205" s="24"/>
      <c r="X205" s="3"/>
      <c r="Y205" s="3"/>
      <c r="Z205" s="3"/>
      <c r="AA205" s="3"/>
      <c r="AB205" s="3"/>
      <c r="AC205" s="3"/>
      <c r="AD205" s="3"/>
      <c r="AE205" s="3"/>
      <c r="AF205" s="5"/>
      <c r="AG205" s="3"/>
      <c r="AH205" s="3"/>
      <c r="AI205" s="5"/>
      <c r="AJ205" s="3"/>
      <c r="AK205" s="3"/>
      <c r="AL205" s="5"/>
      <c r="AM205" s="3"/>
      <c r="AN205" s="5"/>
    </row>
    <row r="206" spans="1:40" ht="15.75" customHeight="1" x14ac:dyDescent="0.2">
      <c r="A206" s="3"/>
      <c r="B206" s="3"/>
      <c r="C206" s="3"/>
      <c r="D206" s="4"/>
      <c r="E206" s="3"/>
      <c r="F206" s="5"/>
      <c r="G206" s="5"/>
      <c r="H206" s="5"/>
      <c r="I206" s="5"/>
      <c r="J206" s="5"/>
      <c r="K206" s="5"/>
      <c r="L206" s="5"/>
      <c r="M206" s="5"/>
      <c r="N206" s="5"/>
      <c r="O206" s="5"/>
      <c r="P206" s="22"/>
      <c r="Q206" s="3"/>
      <c r="R206" s="5"/>
      <c r="S206" s="3"/>
      <c r="T206" s="3"/>
      <c r="U206" s="3"/>
      <c r="V206" s="23"/>
      <c r="W206" s="24"/>
      <c r="X206" s="3"/>
      <c r="Y206" s="3"/>
      <c r="Z206" s="3"/>
      <c r="AA206" s="3"/>
      <c r="AB206" s="3"/>
      <c r="AC206" s="3"/>
      <c r="AD206" s="3"/>
      <c r="AE206" s="3"/>
      <c r="AF206" s="5"/>
      <c r="AG206" s="3"/>
      <c r="AH206" s="3"/>
      <c r="AI206" s="5"/>
      <c r="AJ206" s="3"/>
      <c r="AK206" s="3"/>
      <c r="AL206" s="5"/>
      <c r="AM206" s="3"/>
      <c r="AN206" s="5"/>
    </row>
    <row r="207" spans="1:40" ht="15.75" customHeight="1" x14ac:dyDescent="0.2">
      <c r="A207" s="3"/>
      <c r="B207" s="3"/>
      <c r="C207" s="3"/>
      <c r="D207" s="4"/>
      <c r="E207" s="3"/>
      <c r="F207" s="5"/>
      <c r="G207" s="5"/>
      <c r="H207" s="5"/>
      <c r="I207" s="5"/>
      <c r="J207" s="5"/>
      <c r="K207" s="5"/>
      <c r="L207" s="5"/>
      <c r="M207" s="5"/>
      <c r="N207" s="5"/>
      <c r="O207" s="5"/>
      <c r="P207" s="22"/>
      <c r="Q207" s="3"/>
      <c r="R207" s="5"/>
      <c r="S207" s="3"/>
      <c r="T207" s="3"/>
      <c r="U207" s="3"/>
      <c r="V207" s="23"/>
      <c r="W207" s="24"/>
      <c r="X207" s="3"/>
      <c r="Y207" s="3"/>
      <c r="Z207" s="3"/>
      <c r="AA207" s="3"/>
      <c r="AB207" s="3"/>
      <c r="AC207" s="3"/>
      <c r="AD207" s="3"/>
      <c r="AE207" s="3"/>
      <c r="AF207" s="5"/>
      <c r="AG207" s="3"/>
      <c r="AH207" s="3"/>
      <c r="AI207" s="5"/>
      <c r="AJ207" s="3"/>
      <c r="AK207" s="3"/>
      <c r="AL207" s="5"/>
      <c r="AM207" s="3"/>
      <c r="AN207" s="5"/>
    </row>
    <row r="208" spans="1:40" ht="15.75" customHeight="1" x14ac:dyDescent="0.2">
      <c r="A208" s="3"/>
      <c r="B208" s="3"/>
      <c r="C208" s="3"/>
      <c r="D208" s="4"/>
      <c r="E208" s="3"/>
      <c r="F208" s="5"/>
      <c r="G208" s="5"/>
      <c r="H208" s="5"/>
      <c r="I208" s="5"/>
      <c r="J208" s="5"/>
      <c r="K208" s="5"/>
      <c r="L208" s="5"/>
      <c r="M208" s="5"/>
      <c r="N208" s="5"/>
      <c r="O208" s="5"/>
      <c r="P208" s="22"/>
      <c r="Q208" s="3"/>
      <c r="R208" s="5"/>
      <c r="S208" s="3"/>
      <c r="T208" s="3"/>
      <c r="U208" s="3"/>
      <c r="V208" s="23"/>
      <c r="W208" s="24"/>
      <c r="X208" s="3"/>
      <c r="Y208" s="3"/>
      <c r="Z208" s="3"/>
      <c r="AA208" s="3"/>
      <c r="AB208" s="3"/>
      <c r="AC208" s="3"/>
      <c r="AD208" s="3"/>
      <c r="AE208" s="3"/>
      <c r="AF208" s="5"/>
      <c r="AG208" s="3"/>
      <c r="AH208" s="3"/>
      <c r="AI208" s="5"/>
      <c r="AJ208" s="3"/>
      <c r="AK208" s="3"/>
      <c r="AL208" s="5"/>
      <c r="AM208" s="3"/>
      <c r="AN208" s="5"/>
    </row>
    <row r="209" spans="1:40" ht="15.75" customHeight="1" x14ac:dyDescent="0.2">
      <c r="A209" s="3"/>
      <c r="B209" s="3"/>
      <c r="C209" s="3"/>
      <c r="D209" s="4"/>
      <c r="E209" s="3"/>
      <c r="F209" s="5"/>
      <c r="G209" s="5"/>
      <c r="H209" s="5"/>
      <c r="I209" s="5"/>
      <c r="J209" s="5"/>
      <c r="K209" s="5"/>
      <c r="L209" s="5"/>
      <c r="M209" s="5"/>
      <c r="N209" s="5"/>
      <c r="O209" s="5"/>
      <c r="P209" s="22"/>
      <c r="Q209" s="3"/>
      <c r="R209" s="5"/>
      <c r="S209" s="3"/>
      <c r="T209" s="3"/>
      <c r="U209" s="3"/>
      <c r="V209" s="23"/>
      <c r="W209" s="24"/>
      <c r="X209" s="3"/>
      <c r="Y209" s="3"/>
      <c r="Z209" s="3"/>
      <c r="AA209" s="3"/>
      <c r="AB209" s="3"/>
      <c r="AC209" s="3"/>
      <c r="AD209" s="3"/>
      <c r="AE209" s="3"/>
      <c r="AF209" s="5"/>
      <c r="AG209" s="3"/>
      <c r="AH209" s="3"/>
      <c r="AI209" s="5"/>
      <c r="AJ209" s="3"/>
      <c r="AK209" s="3"/>
      <c r="AL209" s="5"/>
      <c r="AM209" s="3"/>
      <c r="AN209" s="5"/>
    </row>
    <row r="210" spans="1:40" ht="15.75" customHeight="1" x14ac:dyDescent="0.2">
      <c r="A210" s="3"/>
      <c r="B210" s="3"/>
      <c r="C210" s="3"/>
      <c r="D210" s="4"/>
      <c r="E210" s="3"/>
      <c r="F210" s="5"/>
      <c r="G210" s="5"/>
      <c r="H210" s="5"/>
      <c r="I210" s="5"/>
      <c r="J210" s="5"/>
      <c r="K210" s="5"/>
      <c r="L210" s="5"/>
      <c r="M210" s="5"/>
      <c r="N210" s="5"/>
      <c r="O210" s="5"/>
      <c r="P210" s="22"/>
      <c r="Q210" s="3"/>
      <c r="R210" s="5"/>
      <c r="S210" s="3"/>
      <c r="T210" s="3"/>
      <c r="U210" s="3"/>
      <c r="V210" s="23"/>
      <c r="W210" s="24"/>
      <c r="X210" s="3"/>
      <c r="Y210" s="3"/>
      <c r="Z210" s="3"/>
      <c r="AA210" s="3"/>
      <c r="AB210" s="3"/>
      <c r="AC210" s="3"/>
      <c r="AD210" s="3"/>
      <c r="AE210" s="3"/>
      <c r="AF210" s="5"/>
      <c r="AG210" s="3"/>
      <c r="AH210" s="3"/>
      <c r="AI210" s="5"/>
      <c r="AJ210" s="3"/>
      <c r="AK210" s="3"/>
      <c r="AL210" s="5"/>
      <c r="AM210" s="3"/>
      <c r="AN210" s="5"/>
    </row>
    <row r="211" spans="1:40" ht="15.75" customHeight="1" x14ac:dyDescent="0.2">
      <c r="A211" s="3"/>
      <c r="B211" s="3"/>
      <c r="C211" s="3"/>
      <c r="D211" s="4"/>
      <c r="E211" s="3"/>
      <c r="F211" s="5"/>
      <c r="G211" s="5"/>
      <c r="H211" s="5"/>
      <c r="I211" s="5"/>
      <c r="J211" s="5"/>
      <c r="K211" s="5"/>
      <c r="L211" s="5"/>
      <c r="M211" s="5"/>
      <c r="N211" s="5"/>
      <c r="O211" s="5"/>
      <c r="P211" s="22"/>
      <c r="Q211" s="3"/>
      <c r="R211" s="5"/>
      <c r="S211" s="3"/>
      <c r="T211" s="3"/>
      <c r="U211" s="3"/>
      <c r="V211" s="23"/>
      <c r="W211" s="24"/>
      <c r="X211" s="3"/>
      <c r="Y211" s="3"/>
      <c r="Z211" s="3"/>
      <c r="AA211" s="3"/>
      <c r="AB211" s="3"/>
      <c r="AC211" s="3"/>
      <c r="AD211" s="3"/>
      <c r="AE211" s="3"/>
      <c r="AF211" s="5"/>
      <c r="AG211" s="3"/>
      <c r="AH211" s="3"/>
      <c r="AI211" s="5"/>
      <c r="AJ211" s="3"/>
      <c r="AK211" s="3"/>
      <c r="AL211" s="5"/>
      <c r="AM211" s="3"/>
      <c r="AN211" s="5"/>
    </row>
    <row r="212" spans="1:40" ht="15.75" customHeight="1" x14ac:dyDescent="0.2">
      <c r="A212" s="3"/>
      <c r="B212" s="3"/>
      <c r="C212" s="3"/>
      <c r="D212" s="4"/>
      <c r="E212" s="3"/>
      <c r="F212" s="5"/>
      <c r="G212" s="5"/>
      <c r="H212" s="5"/>
      <c r="I212" s="5"/>
      <c r="J212" s="5"/>
      <c r="K212" s="5"/>
      <c r="L212" s="5"/>
      <c r="M212" s="5"/>
      <c r="N212" s="5"/>
      <c r="O212" s="5"/>
      <c r="P212" s="22"/>
      <c r="Q212" s="3"/>
      <c r="R212" s="5"/>
      <c r="S212" s="3"/>
      <c r="T212" s="3"/>
      <c r="U212" s="3"/>
      <c r="V212" s="23"/>
      <c r="W212" s="24"/>
      <c r="X212" s="3"/>
      <c r="Y212" s="3"/>
      <c r="Z212" s="3"/>
      <c r="AA212" s="3"/>
      <c r="AB212" s="3"/>
      <c r="AC212" s="3"/>
      <c r="AD212" s="3"/>
      <c r="AE212" s="3"/>
      <c r="AF212" s="5"/>
      <c r="AG212" s="3"/>
      <c r="AH212" s="3"/>
      <c r="AI212" s="5"/>
      <c r="AJ212" s="3"/>
      <c r="AK212" s="3"/>
      <c r="AL212" s="5"/>
      <c r="AM212" s="3"/>
      <c r="AN212" s="5"/>
    </row>
    <row r="213" spans="1:40" ht="15.75" customHeight="1" x14ac:dyDescent="0.2">
      <c r="A213" s="3"/>
      <c r="B213" s="3"/>
      <c r="C213" s="3"/>
      <c r="D213" s="4"/>
      <c r="E213" s="3"/>
      <c r="F213" s="5"/>
      <c r="G213" s="5"/>
      <c r="H213" s="5"/>
      <c r="I213" s="5"/>
      <c r="J213" s="5"/>
      <c r="K213" s="5"/>
      <c r="L213" s="5"/>
      <c r="M213" s="5"/>
      <c r="N213" s="5"/>
      <c r="O213" s="5"/>
      <c r="P213" s="22"/>
      <c r="Q213" s="3"/>
      <c r="R213" s="5"/>
      <c r="S213" s="3"/>
      <c r="T213" s="3"/>
      <c r="U213" s="3"/>
      <c r="V213" s="23"/>
      <c r="W213" s="24"/>
      <c r="X213" s="3"/>
      <c r="Y213" s="3"/>
      <c r="Z213" s="3"/>
      <c r="AA213" s="3"/>
      <c r="AB213" s="3"/>
      <c r="AC213" s="3"/>
      <c r="AD213" s="3"/>
      <c r="AE213" s="3"/>
      <c r="AF213" s="5"/>
      <c r="AG213" s="3"/>
      <c r="AH213" s="3"/>
      <c r="AI213" s="5"/>
      <c r="AJ213" s="3"/>
      <c r="AK213" s="3"/>
      <c r="AL213" s="5"/>
      <c r="AM213" s="3"/>
      <c r="AN213" s="5"/>
    </row>
    <row r="214" spans="1:40" ht="15.75" customHeight="1" x14ac:dyDescent="0.2">
      <c r="A214" s="3"/>
      <c r="B214" s="3"/>
      <c r="C214" s="3"/>
      <c r="D214" s="4"/>
      <c r="E214" s="3"/>
      <c r="F214" s="5"/>
      <c r="G214" s="5"/>
      <c r="H214" s="5"/>
      <c r="I214" s="5"/>
      <c r="J214" s="5"/>
      <c r="K214" s="5"/>
      <c r="L214" s="5"/>
      <c r="M214" s="5"/>
      <c r="N214" s="5"/>
      <c r="O214" s="5"/>
      <c r="P214" s="22"/>
      <c r="Q214" s="3"/>
      <c r="R214" s="5"/>
      <c r="S214" s="3"/>
      <c r="T214" s="3"/>
      <c r="U214" s="3"/>
      <c r="V214" s="23"/>
      <c r="W214" s="24"/>
      <c r="X214" s="3"/>
      <c r="Y214" s="3"/>
      <c r="Z214" s="3"/>
      <c r="AA214" s="3"/>
      <c r="AB214" s="3"/>
      <c r="AC214" s="3"/>
      <c r="AD214" s="3"/>
      <c r="AE214" s="3"/>
      <c r="AF214" s="5"/>
      <c r="AG214" s="3"/>
      <c r="AH214" s="3"/>
      <c r="AI214" s="5"/>
      <c r="AJ214" s="3"/>
      <c r="AK214" s="3"/>
      <c r="AL214" s="5"/>
      <c r="AM214" s="3"/>
      <c r="AN214" s="5"/>
    </row>
    <row r="215" spans="1:40" ht="15.75" customHeight="1" x14ac:dyDescent="0.2">
      <c r="A215" s="3"/>
      <c r="B215" s="3"/>
      <c r="C215" s="3"/>
      <c r="D215" s="4"/>
      <c r="E215" s="3"/>
      <c r="F215" s="5"/>
      <c r="G215" s="5"/>
      <c r="H215" s="5"/>
      <c r="I215" s="5"/>
      <c r="J215" s="5"/>
      <c r="K215" s="5"/>
      <c r="L215" s="5"/>
      <c r="M215" s="5"/>
      <c r="N215" s="5"/>
      <c r="O215" s="5"/>
      <c r="P215" s="22"/>
      <c r="Q215" s="3"/>
      <c r="R215" s="5"/>
      <c r="S215" s="3"/>
      <c r="T215" s="3"/>
      <c r="U215" s="3"/>
      <c r="V215" s="23"/>
      <c r="W215" s="24"/>
      <c r="X215" s="3"/>
      <c r="Y215" s="3"/>
      <c r="Z215" s="3"/>
      <c r="AA215" s="3"/>
      <c r="AB215" s="3"/>
      <c r="AC215" s="3"/>
      <c r="AD215" s="3"/>
      <c r="AE215" s="3"/>
      <c r="AF215" s="5"/>
      <c r="AG215" s="3"/>
      <c r="AH215" s="3"/>
      <c r="AI215" s="5"/>
      <c r="AJ215" s="3"/>
      <c r="AK215" s="3"/>
      <c r="AL215" s="5"/>
      <c r="AM215" s="3"/>
      <c r="AN215" s="5"/>
    </row>
    <row r="216" spans="1:40" ht="15.75" customHeight="1" x14ac:dyDescent="0.2">
      <c r="A216" s="3"/>
      <c r="B216" s="3"/>
      <c r="C216" s="3"/>
      <c r="D216" s="4"/>
      <c r="E216" s="3"/>
      <c r="F216" s="5"/>
      <c r="G216" s="5"/>
      <c r="H216" s="5"/>
      <c r="I216" s="5"/>
      <c r="J216" s="5"/>
      <c r="K216" s="5"/>
      <c r="L216" s="5"/>
      <c r="M216" s="5"/>
      <c r="N216" s="5"/>
      <c r="O216" s="5"/>
      <c r="P216" s="22"/>
      <c r="Q216" s="3"/>
      <c r="R216" s="5"/>
      <c r="S216" s="3"/>
      <c r="T216" s="3"/>
      <c r="U216" s="3"/>
      <c r="V216" s="23"/>
      <c r="W216" s="24"/>
      <c r="X216" s="3"/>
      <c r="Y216" s="3"/>
      <c r="Z216" s="3"/>
      <c r="AA216" s="3"/>
      <c r="AB216" s="3"/>
      <c r="AC216" s="3"/>
      <c r="AD216" s="3"/>
      <c r="AE216" s="3"/>
      <c r="AF216" s="5"/>
      <c r="AG216" s="3"/>
      <c r="AH216" s="3"/>
      <c r="AI216" s="5"/>
      <c r="AJ216" s="3"/>
      <c r="AK216" s="3"/>
      <c r="AL216" s="5"/>
      <c r="AM216" s="3"/>
      <c r="AN216" s="5"/>
    </row>
    <row r="217" spans="1:40" ht="15.75" customHeight="1" x14ac:dyDescent="0.2">
      <c r="A217" s="3"/>
      <c r="B217" s="3"/>
      <c r="C217" s="3"/>
      <c r="D217" s="4"/>
      <c r="E217" s="3"/>
      <c r="F217" s="5"/>
      <c r="G217" s="5"/>
      <c r="H217" s="5"/>
      <c r="I217" s="5"/>
      <c r="J217" s="5"/>
      <c r="K217" s="5"/>
      <c r="L217" s="5"/>
      <c r="M217" s="5"/>
      <c r="N217" s="5"/>
      <c r="O217" s="5"/>
      <c r="P217" s="22"/>
      <c r="Q217" s="3"/>
      <c r="R217" s="5"/>
      <c r="S217" s="3"/>
      <c r="T217" s="3"/>
      <c r="U217" s="3"/>
      <c r="V217" s="23"/>
      <c r="W217" s="24"/>
      <c r="X217" s="3"/>
      <c r="Y217" s="3"/>
      <c r="Z217" s="3"/>
      <c r="AA217" s="3"/>
      <c r="AB217" s="3"/>
      <c r="AC217" s="3"/>
      <c r="AD217" s="3"/>
      <c r="AE217" s="3"/>
      <c r="AF217" s="5"/>
      <c r="AG217" s="3"/>
      <c r="AH217" s="3"/>
      <c r="AI217" s="5"/>
      <c r="AJ217" s="3"/>
      <c r="AK217" s="3"/>
      <c r="AL217" s="5"/>
      <c r="AM217" s="3"/>
      <c r="AN217" s="5"/>
    </row>
    <row r="218" spans="1:40" ht="15.75" customHeight="1" x14ac:dyDescent="0.2">
      <c r="A218" s="3"/>
      <c r="B218" s="3"/>
      <c r="C218" s="3"/>
      <c r="D218" s="4"/>
      <c r="E218" s="3"/>
      <c r="F218" s="5"/>
      <c r="G218" s="5"/>
      <c r="H218" s="5"/>
      <c r="I218" s="5"/>
      <c r="J218" s="5"/>
      <c r="K218" s="5"/>
      <c r="L218" s="5"/>
      <c r="M218" s="5"/>
      <c r="N218" s="5"/>
      <c r="O218" s="5"/>
      <c r="P218" s="22"/>
      <c r="Q218" s="3"/>
      <c r="R218" s="5"/>
      <c r="S218" s="3"/>
      <c r="T218" s="3"/>
      <c r="U218" s="3"/>
      <c r="V218" s="23"/>
      <c r="W218" s="24"/>
      <c r="X218" s="3"/>
      <c r="Y218" s="3"/>
      <c r="Z218" s="3"/>
      <c r="AA218" s="3"/>
      <c r="AB218" s="3"/>
      <c r="AC218" s="3"/>
      <c r="AD218" s="3"/>
      <c r="AE218" s="3"/>
      <c r="AF218" s="5"/>
      <c r="AG218" s="3"/>
      <c r="AH218" s="3"/>
      <c r="AI218" s="5"/>
      <c r="AJ218" s="3"/>
      <c r="AK218" s="3"/>
      <c r="AL218" s="5"/>
      <c r="AM218" s="3"/>
      <c r="AN218" s="5"/>
    </row>
    <row r="219" spans="1:40" ht="15.75" customHeight="1" x14ac:dyDescent="0.2">
      <c r="A219" s="3"/>
      <c r="B219" s="3"/>
      <c r="C219" s="3"/>
      <c r="D219" s="4"/>
      <c r="E219" s="3"/>
      <c r="F219" s="5"/>
      <c r="G219" s="5"/>
      <c r="H219" s="5"/>
      <c r="I219" s="5"/>
      <c r="J219" s="5"/>
      <c r="K219" s="5"/>
      <c r="L219" s="5"/>
      <c r="M219" s="5"/>
      <c r="N219" s="5"/>
      <c r="O219" s="5"/>
      <c r="P219" s="22"/>
      <c r="Q219" s="3"/>
      <c r="R219" s="5"/>
      <c r="S219" s="3"/>
      <c r="T219" s="3"/>
      <c r="U219" s="3"/>
      <c r="V219" s="23"/>
      <c r="W219" s="24"/>
      <c r="X219" s="3"/>
      <c r="Y219" s="3"/>
      <c r="Z219" s="3"/>
      <c r="AA219" s="3"/>
      <c r="AB219" s="3"/>
      <c r="AC219" s="3"/>
      <c r="AD219" s="3"/>
      <c r="AE219" s="3"/>
      <c r="AF219" s="5"/>
      <c r="AG219" s="3"/>
      <c r="AH219" s="3"/>
      <c r="AI219" s="5"/>
      <c r="AJ219" s="3"/>
      <c r="AK219" s="3"/>
      <c r="AL219" s="5"/>
      <c r="AM219" s="3"/>
      <c r="AN219" s="5"/>
    </row>
    <row r="220" spans="1:40" ht="15.75" customHeight="1" x14ac:dyDescent="0.2">
      <c r="A220" s="3"/>
      <c r="B220" s="3"/>
      <c r="C220" s="3"/>
      <c r="D220" s="4"/>
      <c r="E220" s="3"/>
      <c r="F220" s="5"/>
      <c r="G220" s="5"/>
      <c r="H220" s="5"/>
      <c r="I220" s="5"/>
      <c r="J220" s="5"/>
      <c r="K220" s="5"/>
      <c r="L220" s="5"/>
      <c r="M220" s="5"/>
      <c r="N220" s="5"/>
      <c r="O220" s="5"/>
      <c r="P220" s="22"/>
      <c r="Q220" s="3"/>
      <c r="R220" s="5"/>
      <c r="S220" s="3"/>
      <c r="T220" s="3"/>
      <c r="U220" s="3"/>
      <c r="V220" s="23"/>
      <c r="W220" s="24"/>
      <c r="X220" s="3"/>
      <c r="Y220" s="3"/>
      <c r="Z220" s="3"/>
      <c r="AA220" s="3"/>
      <c r="AB220" s="3"/>
      <c r="AC220" s="3"/>
      <c r="AD220" s="3"/>
      <c r="AE220" s="3"/>
      <c r="AF220" s="5"/>
      <c r="AG220" s="3"/>
      <c r="AH220" s="3"/>
      <c r="AI220" s="5"/>
      <c r="AJ220" s="3"/>
      <c r="AK220" s="3"/>
      <c r="AL220" s="5"/>
      <c r="AM220" s="3"/>
      <c r="AN220" s="5"/>
    </row>
    <row r="221" spans="1:40" ht="15.75" customHeight="1" x14ac:dyDescent="0.2">
      <c r="A221" s="3"/>
      <c r="B221" s="3"/>
      <c r="C221" s="3"/>
      <c r="D221" s="4"/>
      <c r="E221" s="3"/>
      <c r="F221" s="5"/>
      <c r="G221" s="5"/>
      <c r="H221" s="5"/>
      <c r="I221" s="5"/>
      <c r="J221" s="5"/>
      <c r="K221" s="5"/>
      <c r="L221" s="5"/>
      <c r="M221" s="5"/>
      <c r="N221" s="5"/>
      <c r="O221" s="5"/>
      <c r="P221" s="22"/>
      <c r="Q221" s="3"/>
      <c r="R221" s="5"/>
      <c r="S221" s="3"/>
      <c r="T221" s="3"/>
      <c r="U221" s="3"/>
      <c r="V221" s="23"/>
      <c r="W221" s="24"/>
      <c r="X221" s="3"/>
      <c r="Y221" s="3"/>
      <c r="Z221" s="3"/>
      <c r="AA221" s="3"/>
      <c r="AB221" s="3"/>
      <c r="AC221" s="3"/>
      <c r="AD221" s="3"/>
      <c r="AE221" s="3"/>
      <c r="AF221" s="5"/>
      <c r="AG221" s="3"/>
      <c r="AH221" s="3"/>
      <c r="AI221" s="5"/>
      <c r="AJ221" s="3"/>
      <c r="AK221" s="3"/>
      <c r="AL221" s="5"/>
      <c r="AM221" s="3"/>
      <c r="AN221" s="5"/>
    </row>
    <row r="222" spans="1:40" ht="15.75" customHeight="1" x14ac:dyDescent="0.2">
      <c r="A222" s="3"/>
      <c r="B222" s="3"/>
      <c r="C222" s="3"/>
      <c r="D222" s="4"/>
      <c r="E222" s="3"/>
      <c r="F222" s="5"/>
      <c r="G222" s="5"/>
      <c r="H222" s="5"/>
      <c r="I222" s="5"/>
      <c r="J222" s="5"/>
      <c r="K222" s="5"/>
      <c r="L222" s="5"/>
      <c r="M222" s="5"/>
      <c r="N222" s="5"/>
      <c r="O222" s="5"/>
      <c r="P222" s="22"/>
      <c r="Q222" s="3"/>
      <c r="R222" s="5"/>
      <c r="S222" s="3"/>
      <c r="T222" s="3"/>
      <c r="U222" s="3"/>
      <c r="V222" s="23"/>
      <c r="W222" s="24"/>
      <c r="X222" s="3"/>
      <c r="Y222" s="3"/>
      <c r="Z222" s="3"/>
      <c r="AA222" s="3"/>
      <c r="AB222" s="3"/>
      <c r="AC222" s="3"/>
      <c r="AD222" s="3"/>
      <c r="AE222" s="3"/>
      <c r="AF222" s="5"/>
      <c r="AG222" s="3"/>
      <c r="AH222" s="3"/>
      <c r="AI222" s="5"/>
      <c r="AJ222" s="3"/>
      <c r="AK222" s="3"/>
      <c r="AL222" s="5"/>
      <c r="AM222" s="3"/>
      <c r="AN222" s="5"/>
    </row>
    <row r="223" spans="1:40" ht="15.75" customHeight="1" x14ac:dyDescent="0.2">
      <c r="A223" s="3"/>
      <c r="B223" s="3"/>
      <c r="C223" s="3"/>
      <c r="D223" s="4"/>
      <c r="E223" s="3"/>
      <c r="F223" s="5"/>
      <c r="G223" s="5"/>
      <c r="H223" s="5"/>
      <c r="I223" s="5"/>
      <c r="J223" s="5"/>
      <c r="K223" s="5"/>
      <c r="L223" s="5"/>
      <c r="M223" s="5"/>
      <c r="N223" s="5"/>
      <c r="O223" s="5"/>
      <c r="P223" s="22"/>
      <c r="Q223" s="3"/>
      <c r="R223" s="5"/>
      <c r="S223" s="3"/>
      <c r="T223" s="3"/>
      <c r="U223" s="3"/>
      <c r="V223" s="23"/>
      <c r="W223" s="24"/>
      <c r="X223" s="3"/>
      <c r="Y223" s="3"/>
      <c r="Z223" s="3"/>
      <c r="AA223" s="3"/>
      <c r="AB223" s="3"/>
      <c r="AC223" s="3"/>
      <c r="AD223" s="3"/>
      <c r="AE223" s="3"/>
      <c r="AF223" s="5"/>
      <c r="AG223" s="3"/>
      <c r="AH223" s="3"/>
      <c r="AI223" s="5"/>
      <c r="AJ223" s="3"/>
      <c r="AK223" s="3"/>
      <c r="AL223" s="5"/>
      <c r="AM223" s="3"/>
      <c r="AN223" s="5"/>
    </row>
    <row r="224" spans="1:40" ht="15.75" customHeight="1" x14ac:dyDescent="0.2">
      <c r="A224" s="3"/>
      <c r="B224" s="3"/>
      <c r="C224" s="3"/>
      <c r="D224" s="4"/>
      <c r="E224" s="3"/>
      <c r="F224" s="5"/>
      <c r="G224" s="5"/>
      <c r="H224" s="5"/>
      <c r="I224" s="5"/>
      <c r="J224" s="5"/>
      <c r="K224" s="5"/>
      <c r="L224" s="5"/>
      <c r="M224" s="5"/>
      <c r="N224" s="5"/>
      <c r="O224" s="5"/>
      <c r="P224" s="22"/>
      <c r="Q224" s="3"/>
      <c r="R224" s="5"/>
      <c r="S224" s="3"/>
      <c r="T224" s="3"/>
      <c r="U224" s="3"/>
      <c r="V224" s="23"/>
      <c r="W224" s="24"/>
      <c r="X224" s="3"/>
      <c r="Y224" s="3"/>
      <c r="Z224" s="3"/>
      <c r="AA224" s="3"/>
      <c r="AB224" s="3"/>
      <c r="AC224" s="3"/>
      <c r="AD224" s="3"/>
      <c r="AE224" s="3"/>
      <c r="AF224" s="5"/>
      <c r="AG224" s="3"/>
      <c r="AH224" s="3"/>
      <c r="AI224" s="5"/>
      <c r="AJ224" s="3"/>
      <c r="AK224" s="3"/>
      <c r="AL224" s="5"/>
      <c r="AM224" s="3"/>
      <c r="AN224" s="5"/>
    </row>
    <row r="225" spans="1:40" ht="15.75" customHeight="1" x14ac:dyDescent="0.2">
      <c r="A225" s="3"/>
      <c r="B225" s="3"/>
      <c r="C225" s="3"/>
      <c r="D225" s="4"/>
      <c r="E225" s="3"/>
      <c r="F225" s="5"/>
      <c r="G225" s="5"/>
      <c r="H225" s="5"/>
      <c r="I225" s="5"/>
      <c r="J225" s="5"/>
      <c r="K225" s="5"/>
      <c r="L225" s="5"/>
      <c r="M225" s="5"/>
      <c r="N225" s="5"/>
      <c r="O225" s="5"/>
      <c r="P225" s="22"/>
      <c r="Q225" s="3"/>
      <c r="R225" s="5"/>
      <c r="S225" s="3"/>
      <c r="T225" s="3"/>
      <c r="U225" s="3"/>
      <c r="V225" s="23"/>
      <c r="W225" s="24"/>
      <c r="X225" s="3"/>
      <c r="Y225" s="3"/>
      <c r="Z225" s="3"/>
      <c r="AA225" s="3"/>
      <c r="AB225" s="3"/>
      <c r="AC225" s="3"/>
      <c r="AD225" s="3"/>
      <c r="AE225" s="3"/>
      <c r="AF225" s="5"/>
      <c r="AG225" s="3"/>
      <c r="AH225" s="3"/>
      <c r="AI225" s="5"/>
      <c r="AJ225" s="3"/>
      <c r="AK225" s="3"/>
      <c r="AL225" s="5"/>
      <c r="AM225" s="3"/>
      <c r="AN225" s="5"/>
    </row>
    <row r="226" spans="1:40" ht="15.75" customHeight="1" x14ac:dyDescent="0.2">
      <c r="A226" s="3"/>
      <c r="B226" s="3"/>
      <c r="C226" s="3"/>
      <c r="D226" s="4"/>
      <c r="E226" s="3"/>
      <c r="F226" s="5"/>
      <c r="G226" s="5"/>
      <c r="H226" s="5"/>
      <c r="I226" s="5"/>
      <c r="J226" s="5"/>
      <c r="K226" s="5"/>
      <c r="L226" s="5"/>
      <c r="M226" s="5"/>
      <c r="N226" s="5"/>
      <c r="O226" s="5"/>
      <c r="P226" s="22"/>
      <c r="Q226" s="3"/>
      <c r="R226" s="5"/>
      <c r="S226" s="3"/>
      <c r="T226" s="3"/>
      <c r="U226" s="3"/>
      <c r="V226" s="23"/>
      <c r="W226" s="24"/>
      <c r="X226" s="3"/>
      <c r="Y226" s="3"/>
      <c r="Z226" s="3"/>
      <c r="AA226" s="3"/>
      <c r="AB226" s="3"/>
      <c r="AC226" s="3"/>
      <c r="AD226" s="3"/>
      <c r="AE226" s="3"/>
      <c r="AF226" s="5"/>
      <c r="AG226" s="3"/>
      <c r="AH226" s="3"/>
      <c r="AI226" s="5"/>
      <c r="AJ226" s="3"/>
      <c r="AK226" s="3"/>
      <c r="AL226" s="5"/>
      <c r="AM226" s="3"/>
      <c r="AN226" s="5"/>
    </row>
    <row r="227" spans="1:40" ht="15.75" customHeight="1" x14ac:dyDescent="0.2">
      <c r="A227" s="3"/>
      <c r="B227" s="3"/>
      <c r="C227" s="3"/>
      <c r="D227" s="4"/>
      <c r="E227" s="3"/>
      <c r="F227" s="5"/>
      <c r="G227" s="5"/>
      <c r="H227" s="5"/>
      <c r="I227" s="5"/>
      <c r="J227" s="5"/>
      <c r="K227" s="5"/>
      <c r="L227" s="5"/>
      <c r="M227" s="5"/>
      <c r="N227" s="5"/>
      <c r="O227" s="5"/>
      <c r="P227" s="22"/>
      <c r="Q227" s="3"/>
      <c r="R227" s="5"/>
      <c r="S227" s="3"/>
      <c r="T227" s="3"/>
      <c r="U227" s="3"/>
      <c r="V227" s="23"/>
      <c r="W227" s="24"/>
      <c r="X227" s="3"/>
      <c r="Y227" s="3"/>
      <c r="Z227" s="3"/>
      <c r="AA227" s="3"/>
      <c r="AB227" s="3"/>
      <c r="AC227" s="3"/>
      <c r="AD227" s="3"/>
      <c r="AE227" s="3"/>
      <c r="AF227" s="5"/>
      <c r="AG227" s="3"/>
      <c r="AH227" s="3"/>
      <c r="AI227" s="5"/>
      <c r="AJ227" s="3"/>
      <c r="AK227" s="3"/>
      <c r="AL227" s="5"/>
      <c r="AM227" s="3"/>
      <c r="AN227" s="5"/>
    </row>
    <row r="228" spans="1:40" ht="15.75" customHeight="1" x14ac:dyDescent="0.2">
      <c r="A228" s="3"/>
      <c r="B228" s="3"/>
      <c r="C228" s="3"/>
      <c r="D228" s="4"/>
      <c r="E228" s="3"/>
      <c r="F228" s="5"/>
      <c r="G228" s="5"/>
      <c r="H228" s="5"/>
      <c r="I228" s="5"/>
      <c r="J228" s="5"/>
      <c r="K228" s="5"/>
      <c r="L228" s="5"/>
      <c r="M228" s="5"/>
      <c r="N228" s="5"/>
      <c r="O228" s="5"/>
      <c r="P228" s="22"/>
      <c r="Q228" s="3"/>
      <c r="R228" s="5"/>
      <c r="S228" s="3"/>
      <c r="T228" s="3"/>
      <c r="U228" s="3"/>
      <c r="V228" s="23"/>
      <c r="W228" s="24"/>
      <c r="X228" s="3"/>
      <c r="Y228" s="3"/>
      <c r="Z228" s="3"/>
      <c r="AA228" s="3"/>
      <c r="AB228" s="3"/>
      <c r="AC228" s="3"/>
      <c r="AD228" s="3"/>
      <c r="AE228" s="3"/>
      <c r="AF228" s="5"/>
      <c r="AG228" s="3"/>
      <c r="AH228" s="3"/>
      <c r="AI228" s="5"/>
      <c r="AJ228" s="3"/>
      <c r="AK228" s="3"/>
      <c r="AL228" s="5"/>
      <c r="AM228" s="3"/>
      <c r="AN228" s="5"/>
    </row>
    <row r="229" spans="1:40" ht="15.75" customHeight="1" x14ac:dyDescent="0.2">
      <c r="A229" s="3"/>
      <c r="B229" s="3"/>
      <c r="C229" s="3"/>
      <c r="D229" s="4"/>
      <c r="E229" s="3"/>
      <c r="F229" s="5"/>
      <c r="G229" s="5"/>
      <c r="H229" s="5"/>
      <c r="I229" s="5"/>
      <c r="J229" s="5"/>
      <c r="K229" s="5"/>
      <c r="L229" s="5"/>
      <c r="M229" s="5"/>
      <c r="N229" s="5"/>
      <c r="O229" s="5"/>
      <c r="P229" s="22"/>
      <c r="Q229" s="3"/>
      <c r="R229" s="5"/>
      <c r="S229" s="3"/>
      <c r="T229" s="3"/>
      <c r="U229" s="3"/>
      <c r="V229" s="23"/>
      <c r="W229" s="24"/>
      <c r="X229" s="3"/>
      <c r="Y229" s="3"/>
      <c r="Z229" s="3"/>
      <c r="AA229" s="3"/>
      <c r="AB229" s="3"/>
      <c r="AC229" s="3"/>
      <c r="AD229" s="3"/>
      <c r="AE229" s="3"/>
      <c r="AF229" s="5"/>
      <c r="AG229" s="3"/>
      <c r="AH229" s="3"/>
      <c r="AI229" s="5"/>
      <c r="AJ229" s="3"/>
      <c r="AK229" s="3"/>
      <c r="AL229" s="5"/>
      <c r="AM229" s="3"/>
      <c r="AN229" s="5"/>
    </row>
    <row r="230" spans="1:40" ht="15.75" customHeight="1" x14ac:dyDescent="0.2">
      <c r="A230" s="3"/>
      <c r="B230" s="3"/>
      <c r="C230" s="3"/>
      <c r="D230" s="4"/>
      <c r="E230" s="3"/>
      <c r="F230" s="5"/>
      <c r="G230" s="5"/>
      <c r="H230" s="5"/>
      <c r="I230" s="5"/>
      <c r="J230" s="5"/>
      <c r="K230" s="5"/>
      <c r="L230" s="5"/>
      <c r="M230" s="5"/>
      <c r="N230" s="5"/>
      <c r="O230" s="5"/>
      <c r="P230" s="22"/>
      <c r="Q230" s="3"/>
      <c r="R230" s="5"/>
      <c r="S230" s="3"/>
      <c r="T230" s="3"/>
      <c r="U230" s="3"/>
      <c r="V230" s="23"/>
      <c r="W230" s="24"/>
      <c r="X230" s="3"/>
      <c r="Y230" s="3"/>
      <c r="Z230" s="3"/>
      <c r="AA230" s="3"/>
      <c r="AB230" s="3"/>
      <c r="AC230" s="3"/>
      <c r="AD230" s="3"/>
      <c r="AE230" s="3"/>
      <c r="AF230" s="5"/>
      <c r="AG230" s="3"/>
      <c r="AH230" s="3"/>
      <c r="AI230" s="5"/>
      <c r="AJ230" s="3"/>
      <c r="AK230" s="3"/>
      <c r="AL230" s="5"/>
      <c r="AM230" s="3"/>
      <c r="AN230" s="5"/>
    </row>
    <row r="231" spans="1:40" ht="15.75" customHeight="1" x14ac:dyDescent="0.2">
      <c r="A231" s="3"/>
      <c r="B231" s="3"/>
      <c r="C231" s="3"/>
      <c r="D231" s="4"/>
      <c r="E231" s="3"/>
      <c r="F231" s="5"/>
      <c r="G231" s="5"/>
      <c r="H231" s="5"/>
      <c r="I231" s="5"/>
      <c r="J231" s="5"/>
      <c r="K231" s="5"/>
      <c r="L231" s="5"/>
      <c r="M231" s="5"/>
      <c r="N231" s="5"/>
      <c r="O231" s="5"/>
      <c r="P231" s="22"/>
      <c r="Q231" s="3"/>
      <c r="R231" s="5"/>
      <c r="S231" s="3"/>
      <c r="T231" s="3"/>
      <c r="U231" s="3"/>
      <c r="V231" s="23"/>
      <c r="W231" s="24"/>
      <c r="X231" s="3"/>
      <c r="Y231" s="3"/>
      <c r="Z231" s="3"/>
      <c r="AA231" s="3"/>
      <c r="AB231" s="3"/>
      <c r="AC231" s="3"/>
      <c r="AD231" s="3"/>
      <c r="AE231" s="3"/>
      <c r="AF231" s="5"/>
      <c r="AG231" s="3"/>
      <c r="AH231" s="3"/>
      <c r="AI231" s="5"/>
      <c r="AJ231" s="3"/>
      <c r="AK231" s="3"/>
      <c r="AL231" s="5"/>
      <c r="AM231" s="3"/>
      <c r="AN231" s="5"/>
    </row>
    <row r="232" spans="1:40" ht="15.75" customHeight="1" x14ac:dyDescent="0.2">
      <c r="A232" s="3"/>
      <c r="B232" s="3"/>
      <c r="C232" s="3"/>
      <c r="D232" s="4"/>
      <c r="E232" s="3"/>
      <c r="F232" s="5"/>
      <c r="G232" s="5"/>
      <c r="H232" s="5"/>
      <c r="I232" s="5"/>
      <c r="J232" s="5"/>
      <c r="K232" s="5"/>
      <c r="L232" s="5"/>
      <c r="M232" s="5"/>
      <c r="N232" s="5"/>
      <c r="O232" s="5"/>
      <c r="P232" s="22"/>
      <c r="Q232" s="3"/>
      <c r="R232" s="5"/>
      <c r="S232" s="3"/>
      <c r="T232" s="3"/>
      <c r="U232" s="3"/>
      <c r="V232" s="23"/>
      <c r="W232" s="24"/>
      <c r="X232" s="3"/>
      <c r="Y232" s="3"/>
      <c r="Z232" s="3"/>
      <c r="AA232" s="3"/>
      <c r="AB232" s="3"/>
      <c r="AC232" s="3"/>
      <c r="AD232" s="3"/>
      <c r="AE232" s="3"/>
      <c r="AF232" s="5"/>
      <c r="AG232" s="3"/>
      <c r="AH232" s="3"/>
      <c r="AI232" s="5"/>
      <c r="AJ232" s="3"/>
      <c r="AK232" s="3"/>
      <c r="AL232" s="5"/>
      <c r="AM232" s="3"/>
      <c r="AN232" s="5"/>
    </row>
    <row r="233" spans="1:40" ht="15.75" customHeight="1" x14ac:dyDescent="0.2">
      <c r="A233" s="3"/>
      <c r="B233" s="3"/>
      <c r="C233" s="3"/>
      <c r="D233" s="4"/>
      <c r="E233" s="3"/>
      <c r="F233" s="5"/>
      <c r="G233" s="5"/>
      <c r="H233" s="5"/>
      <c r="I233" s="5"/>
      <c r="J233" s="5"/>
      <c r="K233" s="5"/>
      <c r="L233" s="5"/>
      <c r="M233" s="5"/>
      <c r="N233" s="5"/>
      <c r="O233" s="5"/>
      <c r="P233" s="22"/>
      <c r="Q233" s="3"/>
      <c r="R233" s="5"/>
      <c r="S233" s="3"/>
      <c r="T233" s="3"/>
      <c r="U233" s="3"/>
      <c r="V233" s="23"/>
      <c r="W233" s="24"/>
      <c r="X233" s="3"/>
      <c r="Y233" s="3"/>
      <c r="Z233" s="3"/>
      <c r="AA233" s="3"/>
      <c r="AB233" s="3"/>
      <c r="AC233" s="3"/>
      <c r="AD233" s="3"/>
      <c r="AE233" s="3"/>
      <c r="AF233" s="5"/>
      <c r="AG233" s="3"/>
      <c r="AH233" s="3"/>
      <c r="AI233" s="5"/>
      <c r="AJ233" s="3"/>
      <c r="AK233" s="3"/>
      <c r="AL233" s="5"/>
      <c r="AM233" s="3"/>
      <c r="AN233" s="5"/>
    </row>
    <row r="234" spans="1:40" ht="15.75" customHeight="1" x14ac:dyDescent="0.2">
      <c r="A234" s="3"/>
      <c r="B234" s="3"/>
      <c r="C234" s="3"/>
      <c r="D234" s="4"/>
      <c r="E234" s="3"/>
      <c r="F234" s="5"/>
      <c r="G234" s="5"/>
      <c r="H234" s="5"/>
      <c r="I234" s="5"/>
      <c r="J234" s="5"/>
      <c r="K234" s="5"/>
      <c r="L234" s="5"/>
      <c r="M234" s="5"/>
      <c r="N234" s="5"/>
      <c r="O234" s="5"/>
      <c r="P234" s="22"/>
      <c r="Q234" s="3"/>
      <c r="R234" s="5"/>
      <c r="S234" s="3"/>
      <c r="T234" s="3"/>
      <c r="U234" s="3"/>
      <c r="V234" s="23"/>
      <c r="W234" s="24"/>
      <c r="X234" s="3"/>
      <c r="Y234" s="3"/>
      <c r="Z234" s="3"/>
      <c r="AA234" s="3"/>
      <c r="AB234" s="3"/>
      <c r="AC234" s="3"/>
      <c r="AD234" s="3"/>
      <c r="AE234" s="3"/>
      <c r="AF234" s="5"/>
      <c r="AG234" s="3"/>
      <c r="AH234" s="3"/>
      <c r="AI234" s="5"/>
      <c r="AJ234" s="3"/>
      <c r="AK234" s="3"/>
      <c r="AL234" s="5"/>
      <c r="AM234" s="3"/>
      <c r="AN234" s="5"/>
    </row>
    <row r="235" spans="1:40" ht="15.75" customHeight="1" x14ac:dyDescent="0.2">
      <c r="A235" s="3"/>
      <c r="B235" s="3"/>
      <c r="C235" s="3"/>
      <c r="D235" s="4"/>
      <c r="E235" s="3"/>
      <c r="F235" s="5"/>
      <c r="G235" s="5"/>
      <c r="H235" s="5"/>
      <c r="I235" s="5"/>
      <c r="J235" s="5"/>
      <c r="K235" s="5"/>
      <c r="L235" s="5"/>
      <c r="M235" s="5"/>
      <c r="N235" s="5"/>
      <c r="O235" s="5"/>
      <c r="P235" s="22"/>
      <c r="Q235" s="3"/>
      <c r="R235" s="5"/>
      <c r="S235" s="3"/>
      <c r="T235" s="3"/>
      <c r="U235" s="3"/>
      <c r="V235" s="23"/>
      <c r="W235" s="24"/>
      <c r="X235" s="3"/>
      <c r="Y235" s="3"/>
      <c r="Z235" s="3"/>
      <c r="AA235" s="3"/>
      <c r="AB235" s="3"/>
      <c r="AC235" s="3"/>
      <c r="AD235" s="3"/>
      <c r="AE235" s="3"/>
      <c r="AF235" s="5"/>
      <c r="AG235" s="3"/>
      <c r="AH235" s="3"/>
      <c r="AI235" s="5"/>
      <c r="AJ235" s="3"/>
      <c r="AK235" s="3"/>
      <c r="AL235" s="5"/>
      <c r="AM235" s="3"/>
      <c r="AN235" s="5"/>
    </row>
    <row r="236" spans="1:40" ht="15.75" customHeight="1" x14ac:dyDescent="0.2">
      <c r="A236" s="3"/>
      <c r="B236" s="3"/>
      <c r="C236" s="3"/>
      <c r="D236" s="4"/>
      <c r="E236" s="3"/>
      <c r="F236" s="5"/>
      <c r="G236" s="5"/>
      <c r="H236" s="5"/>
      <c r="I236" s="5"/>
      <c r="J236" s="5"/>
      <c r="K236" s="5"/>
      <c r="L236" s="5"/>
      <c r="M236" s="5"/>
      <c r="N236" s="5"/>
      <c r="O236" s="5"/>
      <c r="P236" s="22"/>
      <c r="Q236" s="3"/>
      <c r="R236" s="5"/>
      <c r="S236" s="3"/>
      <c r="T236" s="3"/>
      <c r="U236" s="3"/>
      <c r="V236" s="23"/>
      <c r="W236" s="24"/>
      <c r="X236" s="3"/>
      <c r="Y236" s="3"/>
      <c r="Z236" s="3"/>
      <c r="AA236" s="3"/>
      <c r="AB236" s="3"/>
      <c r="AC236" s="3"/>
      <c r="AD236" s="3"/>
      <c r="AE236" s="3"/>
      <c r="AF236" s="5"/>
      <c r="AG236" s="3"/>
      <c r="AH236" s="3"/>
      <c r="AI236" s="5"/>
      <c r="AJ236" s="3"/>
      <c r="AK236" s="3"/>
      <c r="AL236" s="5"/>
      <c r="AM236" s="3"/>
      <c r="AN236" s="5"/>
    </row>
    <row r="237" spans="1:40" ht="15.75" customHeight="1" x14ac:dyDescent="0.2">
      <c r="A237" s="3"/>
      <c r="B237" s="3"/>
      <c r="C237" s="3"/>
      <c r="D237" s="4"/>
      <c r="E237" s="3"/>
      <c r="F237" s="5"/>
      <c r="G237" s="5"/>
      <c r="H237" s="5"/>
      <c r="I237" s="5"/>
      <c r="J237" s="5"/>
      <c r="K237" s="5"/>
      <c r="L237" s="5"/>
      <c r="M237" s="5"/>
      <c r="N237" s="5"/>
      <c r="O237" s="5"/>
      <c r="P237" s="22"/>
      <c r="Q237" s="3"/>
      <c r="R237" s="5"/>
      <c r="S237" s="3"/>
      <c r="T237" s="3"/>
      <c r="U237" s="3"/>
      <c r="V237" s="23"/>
      <c r="W237" s="24"/>
      <c r="X237" s="3"/>
      <c r="Y237" s="3"/>
      <c r="Z237" s="3"/>
      <c r="AA237" s="3"/>
      <c r="AB237" s="3"/>
      <c r="AC237" s="3"/>
      <c r="AD237" s="3"/>
      <c r="AE237" s="3"/>
      <c r="AF237" s="5"/>
      <c r="AG237" s="3"/>
      <c r="AH237" s="3"/>
      <c r="AI237" s="5"/>
      <c r="AJ237" s="3"/>
      <c r="AK237" s="3"/>
      <c r="AL237" s="5"/>
      <c r="AM237" s="3"/>
      <c r="AN237" s="5"/>
    </row>
    <row r="238" spans="1:40" ht="15.75" customHeight="1" x14ac:dyDescent="0.2">
      <c r="A238" s="3"/>
      <c r="B238" s="3"/>
      <c r="C238" s="3"/>
      <c r="D238" s="4"/>
      <c r="E238" s="3"/>
      <c r="F238" s="5"/>
      <c r="G238" s="5"/>
      <c r="H238" s="5"/>
      <c r="I238" s="5"/>
      <c r="J238" s="5"/>
      <c r="K238" s="5"/>
      <c r="L238" s="5"/>
      <c r="M238" s="5"/>
      <c r="N238" s="5"/>
      <c r="O238" s="5"/>
      <c r="P238" s="22"/>
      <c r="Q238" s="3"/>
      <c r="R238" s="5"/>
      <c r="S238" s="3"/>
      <c r="T238" s="3"/>
      <c r="U238" s="3"/>
      <c r="V238" s="23"/>
      <c r="W238" s="24"/>
      <c r="X238" s="3"/>
      <c r="Y238" s="3"/>
      <c r="Z238" s="3"/>
      <c r="AA238" s="3"/>
      <c r="AB238" s="3"/>
      <c r="AC238" s="3"/>
      <c r="AD238" s="3"/>
      <c r="AE238" s="3"/>
      <c r="AF238" s="5"/>
      <c r="AG238" s="3"/>
      <c r="AH238" s="3"/>
      <c r="AI238" s="5"/>
      <c r="AJ238" s="3"/>
      <c r="AK238" s="3"/>
      <c r="AL238" s="5"/>
      <c r="AM238" s="3"/>
      <c r="AN238" s="5"/>
    </row>
    <row r="239" spans="1:40" ht="15.75" customHeight="1" x14ac:dyDescent="0.2">
      <c r="A239" s="3"/>
      <c r="B239" s="3"/>
      <c r="C239" s="3"/>
      <c r="D239" s="4"/>
      <c r="E239" s="3"/>
      <c r="F239" s="5"/>
      <c r="G239" s="5"/>
      <c r="H239" s="5"/>
      <c r="I239" s="5"/>
      <c r="J239" s="5"/>
      <c r="K239" s="5"/>
      <c r="L239" s="5"/>
      <c r="M239" s="5"/>
      <c r="N239" s="5"/>
      <c r="O239" s="5"/>
      <c r="P239" s="22"/>
      <c r="Q239" s="3"/>
      <c r="R239" s="5"/>
      <c r="S239" s="3"/>
      <c r="T239" s="3"/>
      <c r="U239" s="3"/>
      <c r="V239" s="23"/>
      <c r="W239" s="24"/>
      <c r="X239" s="3"/>
      <c r="Y239" s="3"/>
      <c r="Z239" s="3"/>
      <c r="AA239" s="3"/>
      <c r="AB239" s="3"/>
      <c r="AC239" s="3"/>
      <c r="AD239" s="3"/>
      <c r="AE239" s="3"/>
      <c r="AF239" s="5"/>
      <c r="AG239" s="3"/>
      <c r="AH239" s="3"/>
      <c r="AI239" s="5"/>
      <c r="AJ239" s="3"/>
      <c r="AK239" s="3"/>
      <c r="AL239" s="5"/>
      <c r="AM239" s="3"/>
      <c r="AN239" s="5"/>
    </row>
    <row r="240" spans="1:40" ht="15.75" customHeight="1" x14ac:dyDescent="0.2">
      <c r="A240" s="3"/>
      <c r="B240" s="3"/>
      <c r="C240" s="3"/>
      <c r="D240" s="4"/>
      <c r="E240" s="3"/>
      <c r="F240" s="5"/>
      <c r="G240" s="5"/>
      <c r="H240" s="5"/>
      <c r="I240" s="5"/>
      <c r="J240" s="5"/>
      <c r="K240" s="5"/>
      <c r="L240" s="5"/>
      <c r="M240" s="5"/>
      <c r="N240" s="5"/>
      <c r="O240" s="5"/>
      <c r="P240" s="22"/>
      <c r="Q240" s="3"/>
      <c r="R240" s="5"/>
      <c r="S240" s="3"/>
      <c r="T240" s="3"/>
      <c r="U240" s="3"/>
      <c r="V240" s="23"/>
      <c r="W240" s="24"/>
      <c r="X240" s="3"/>
      <c r="Y240" s="3"/>
      <c r="Z240" s="3"/>
      <c r="AA240" s="3"/>
      <c r="AB240" s="3"/>
      <c r="AC240" s="3"/>
      <c r="AD240" s="3"/>
      <c r="AE240" s="3"/>
      <c r="AF240" s="5"/>
      <c r="AG240" s="3"/>
      <c r="AH240" s="3"/>
      <c r="AI240" s="5"/>
      <c r="AJ240" s="3"/>
      <c r="AK240" s="3"/>
      <c r="AL240" s="5"/>
      <c r="AM240" s="3"/>
      <c r="AN240" s="5"/>
    </row>
    <row r="241" spans="1:40" ht="15.75" customHeight="1" x14ac:dyDescent="0.2">
      <c r="A241" s="3"/>
      <c r="B241" s="3"/>
      <c r="C241" s="3"/>
      <c r="D241" s="4"/>
      <c r="E241" s="3"/>
      <c r="F241" s="5"/>
      <c r="G241" s="5"/>
      <c r="H241" s="5"/>
      <c r="I241" s="5"/>
      <c r="J241" s="5"/>
      <c r="K241" s="5"/>
      <c r="L241" s="5"/>
      <c r="M241" s="5"/>
      <c r="N241" s="5"/>
      <c r="O241" s="5"/>
      <c r="P241" s="22"/>
      <c r="Q241" s="3"/>
      <c r="R241" s="5"/>
      <c r="S241" s="3"/>
      <c r="T241" s="3"/>
      <c r="U241" s="3"/>
      <c r="V241" s="23"/>
      <c r="W241" s="24"/>
      <c r="X241" s="3"/>
      <c r="Y241" s="3"/>
      <c r="Z241" s="3"/>
      <c r="AA241" s="3"/>
      <c r="AB241" s="3"/>
      <c r="AC241" s="3"/>
      <c r="AD241" s="3"/>
      <c r="AE241" s="3"/>
      <c r="AF241" s="5"/>
      <c r="AG241" s="3"/>
      <c r="AH241" s="3"/>
      <c r="AI241" s="5"/>
      <c r="AJ241" s="3"/>
      <c r="AK241" s="3"/>
      <c r="AL241" s="5"/>
      <c r="AM241" s="3"/>
      <c r="AN241" s="5"/>
    </row>
    <row r="242" spans="1:40" ht="15.75" customHeight="1" x14ac:dyDescent="0.2">
      <c r="A242" s="3"/>
      <c r="B242" s="3"/>
      <c r="C242" s="3"/>
      <c r="D242" s="4"/>
      <c r="E242" s="3"/>
      <c r="F242" s="5"/>
      <c r="G242" s="5"/>
      <c r="H242" s="5"/>
      <c r="I242" s="5"/>
      <c r="J242" s="5"/>
      <c r="K242" s="5"/>
      <c r="L242" s="5"/>
      <c r="M242" s="5"/>
      <c r="N242" s="5"/>
      <c r="O242" s="5"/>
      <c r="P242" s="22"/>
      <c r="Q242" s="3"/>
      <c r="R242" s="5"/>
      <c r="S242" s="3"/>
      <c r="T242" s="3"/>
      <c r="U242" s="3"/>
      <c r="V242" s="23"/>
      <c r="W242" s="24"/>
      <c r="X242" s="3"/>
      <c r="Y242" s="3"/>
      <c r="Z242" s="3"/>
      <c r="AA242" s="3"/>
      <c r="AB242" s="3"/>
      <c r="AC242" s="3"/>
      <c r="AD242" s="3"/>
      <c r="AE242" s="3"/>
      <c r="AF242" s="5"/>
      <c r="AG242" s="3"/>
      <c r="AH242" s="3"/>
      <c r="AI242" s="5"/>
      <c r="AJ242" s="3"/>
      <c r="AK242" s="3"/>
      <c r="AL242" s="5"/>
      <c r="AM242" s="3"/>
      <c r="AN242" s="5"/>
    </row>
    <row r="243" spans="1:40" ht="15.75" customHeight="1" x14ac:dyDescent="0.2">
      <c r="A243" s="3"/>
      <c r="B243" s="3"/>
      <c r="C243" s="3"/>
      <c r="D243" s="4"/>
      <c r="E243" s="3"/>
      <c r="F243" s="5"/>
      <c r="G243" s="5"/>
      <c r="H243" s="5"/>
      <c r="I243" s="5"/>
      <c r="J243" s="5"/>
      <c r="K243" s="5"/>
      <c r="L243" s="5"/>
      <c r="M243" s="5"/>
      <c r="N243" s="5"/>
      <c r="O243" s="5"/>
      <c r="P243" s="22"/>
      <c r="Q243" s="3"/>
      <c r="R243" s="5"/>
      <c r="S243" s="3"/>
      <c r="T243" s="3"/>
      <c r="U243" s="3"/>
      <c r="V243" s="23"/>
      <c r="W243" s="24"/>
      <c r="X243" s="3"/>
      <c r="Y243" s="3"/>
      <c r="Z243" s="3"/>
      <c r="AA243" s="3"/>
      <c r="AB243" s="3"/>
      <c r="AC243" s="3"/>
      <c r="AD243" s="3"/>
      <c r="AE243" s="3"/>
      <c r="AF243" s="5"/>
      <c r="AG243" s="3"/>
      <c r="AH243" s="3"/>
      <c r="AI243" s="5"/>
      <c r="AJ243" s="3"/>
      <c r="AK243" s="3"/>
      <c r="AL243" s="5"/>
      <c r="AM243" s="3"/>
      <c r="AN243" s="5"/>
    </row>
    <row r="244" spans="1:40" ht="15.75" customHeight="1" x14ac:dyDescent="0.2">
      <c r="A244" s="3"/>
      <c r="B244" s="3"/>
      <c r="C244" s="3"/>
      <c r="D244" s="4"/>
      <c r="E244" s="3"/>
      <c r="F244" s="5"/>
      <c r="G244" s="5"/>
      <c r="H244" s="5"/>
      <c r="I244" s="5"/>
      <c r="J244" s="5"/>
      <c r="K244" s="5"/>
      <c r="L244" s="5"/>
      <c r="M244" s="5"/>
      <c r="N244" s="5"/>
      <c r="O244" s="5"/>
      <c r="P244" s="22"/>
      <c r="Q244" s="3"/>
      <c r="R244" s="5"/>
      <c r="S244" s="3"/>
      <c r="T244" s="3"/>
      <c r="U244" s="3"/>
      <c r="V244" s="23"/>
      <c r="W244" s="24"/>
      <c r="X244" s="3"/>
      <c r="Y244" s="3"/>
      <c r="Z244" s="3"/>
      <c r="AA244" s="3"/>
      <c r="AB244" s="3"/>
      <c r="AC244" s="3"/>
      <c r="AD244" s="3"/>
      <c r="AE244" s="3"/>
      <c r="AF244" s="5"/>
      <c r="AG244" s="3"/>
      <c r="AH244" s="3"/>
      <c r="AI244" s="5"/>
      <c r="AJ244" s="3"/>
      <c r="AK244" s="3"/>
      <c r="AL244" s="5"/>
      <c r="AM244" s="3"/>
      <c r="AN244" s="5"/>
    </row>
    <row r="245" spans="1:40" ht="15.75" customHeight="1" x14ac:dyDescent="0.2">
      <c r="A245" s="3"/>
      <c r="B245" s="3"/>
      <c r="C245" s="3"/>
      <c r="D245" s="4"/>
      <c r="E245" s="3"/>
      <c r="F245" s="5"/>
      <c r="G245" s="5"/>
      <c r="H245" s="5"/>
      <c r="I245" s="5"/>
      <c r="J245" s="5"/>
      <c r="K245" s="5"/>
      <c r="L245" s="5"/>
      <c r="M245" s="5"/>
      <c r="N245" s="5"/>
      <c r="O245" s="5"/>
      <c r="P245" s="22"/>
      <c r="Q245" s="3"/>
      <c r="R245" s="5"/>
      <c r="S245" s="3"/>
      <c r="T245" s="3"/>
      <c r="U245" s="3"/>
      <c r="V245" s="23"/>
      <c r="W245" s="24"/>
      <c r="X245" s="3"/>
      <c r="Y245" s="3"/>
      <c r="Z245" s="3"/>
      <c r="AA245" s="3"/>
      <c r="AB245" s="3"/>
      <c r="AC245" s="3"/>
      <c r="AD245" s="3"/>
      <c r="AE245" s="3"/>
      <c r="AF245" s="5"/>
      <c r="AG245" s="3"/>
      <c r="AH245" s="3"/>
      <c r="AI245" s="5"/>
      <c r="AJ245" s="3"/>
      <c r="AK245" s="3"/>
      <c r="AL245" s="5"/>
      <c r="AM245" s="3"/>
      <c r="AN245" s="5"/>
    </row>
    <row r="246" spans="1:40" ht="15.75" customHeight="1" x14ac:dyDescent="0.2">
      <c r="A246" s="3"/>
      <c r="B246" s="3"/>
      <c r="C246" s="3"/>
      <c r="D246" s="4"/>
      <c r="E246" s="3"/>
      <c r="F246" s="5"/>
      <c r="G246" s="5"/>
      <c r="H246" s="5"/>
      <c r="I246" s="5"/>
      <c r="J246" s="5"/>
      <c r="K246" s="5"/>
      <c r="L246" s="5"/>
      <c r="M246" s="5"/>
      <c r="N246" s="5"/>
      <c r="O246" s="5"/>
      <c r="P246" s="22"/>
      <c r="Q246" s="3"/>
      <c r="R246" s="5"/>
      <c r="S246" s="3"/>
      <c r="T246" s="3"/>
      <c r="U246" s="3"/>
      <c r="V246" s="23"/>
      <c r="W246" s="24"/>
      <c r="X246" s="3"/>
      <c r="Y246" s="3"/>
      <c r="Z246" s="3"/>
      <c r="AA246" s="3"/>
      <c r="AB246" s="3"/>
      <c r="AC246" s="3"/>
      <c r="AD246" s="3"/>
      <c r="AE246" s="3"/>
      <c r="AF246" s="5"/>
      <c r="AG246" s="3"/>
      <c r="AH246" s="3"/>
      <c r="AI246" s="5"/>
      <c r="AJ246" s="3"/>
      <c r="AK246" s="3"/>
      <c r="AL246" s="5"/>
      <c r="AM246" s="3"/>
      <c r="AN246" s="5"/>
    </row>
    <row r="247" spans="1:40" ht="15.75" customHeight="1" x14ac:dyDescent="0.2">
      <c r="A247" s="3"/>
      <c r="B247" s="3"/>
      <c r="C247" s="3"/>
      <c r="D247" s="4"/>
      <c r="E247" s="3"/>
      <c r="F247" s="5"/>
      <c r="G247" s="5"/>
      <c r="H247" s="5"/>
      <c r="I247" s="5"/>
      <c r="J247" s="5"/>
      <c r="K247" s="5"/>
      <c r="L247" s="5"/>
      <c r="M247" s="5"/>
      <c r="N247" s="5"/>
      <c r="O247" s="5"/>
      <c r="P247" s="22"/>
      <c r="Q247" s="3"/>
      <c r="R247" s="5"/>
      <c r="S247" s="3"/>
      <c r="T247" s="3"/>
      <c r="U247" s="3"/>
      <c r="V247" s="23"/>
      <c r="W247" s="24"/>
      <c r="X247" s="3"/>
      <c r="Y247" s="3"/>
      <c r="Z247" s="3"/>
      <c r="AA247" s="3"/>
      <c r="AB247" s="3"/>
      <c r="AC247" s="3"/>
      <c r="AD247" s="3"/>
      <c r="AE247" s="3"/>
      <c r="AF247" s="5"/>
      <c r="AG247" s="3"/>
      <c r="AH247" s="3"/>
      <c r="AI247" s="5"/>
      <c r="AJ247" s="3"/>
      <c r="AK247" s="3"/>
      <c r="AL247" s="5"/>
      <c r="AM247" s="3"/>
      <c r="AN247" s="5"/>
    </row>
    <row r="248" spans="1:40" ht="15.75" customHeight="1" x14ac:dyDescent="0.2">
      <c r="A248" s="3"/>
      <c r="B248" s="3"/>
      <c r="C248" s="3"/>
      <c r="D248" s="4"/>
      <c r="E248" s="3"/>
      <c r="F248" s="5"/>
      <c r="G248" s="5"/>
      <c r="H248" s="5"/>
      <c r="I248" s="5"/>
      <c r="J248" s="5"/>
      <c r="K248" s="5"/>
      <c r="L248" s="5"/>
      <c r="M248" s="5"/>
      <c r="N248" s="5"/>
      <c r="O248" s="5"/>
      <c r="P248" s="22"/>
      <c r="Q248" s="3"/>
      <c r="R248" s="5"/>
      <c r="S248" s="3"/>
      <c r="T248" s="3"/>
      <c r="U248" s="3"/>
      <c r="V248" s="23"/>
      <c r="W248" s="24"/>
      <c r="X248" s="3"/>
      <c r="Y248" s="3"/>
      <c r="Z248" s="3"/>
      <c r="AA248" s="3"/>
      <c r="AB248" s="3"/>
      <c r="AC248" s="3"/>
      <c r="AD248" s="3"/>
      <c r="AE248" s="3"/>
      <c r="AF248" s="5"/>
      <c r="AG248" s="3"/>
      <c r="AH248" s="3"/>
      <c r="AI248" s="5"/>
      <c r="AJ248" s="3"/>
      <c r="AK248" s="3"/>
      <c r="AL248" s="5"/>
      <c r="AM248" s="3"/>
      <c r="AN248" s="5"/>
    </row>
    <row r="249" spans="1:40" ht="15.75" customHeight="1" x14ac:dyDescent="0.2">
      <c r="A249" s="3"/>
      <c r="B249" s="3"/>
      <c r="C249" s="3"/>
      <c r="D249" s="4"/>
      <c r="E249" s="3"/>
      <c r="F249" s="5"/>
      <c r="G249" s="5"/>
      <c r="H249" s="5"/>
      <c r="I249" s="5"/>
      <c r="J249" s="5"/>
      <c r="K249" s="5"/>
      <c r="L249" s="5"/>
      <c r="M249" s="5"/>
      <c r="N249" s="5"/>
      <c r="O249" s="5"/>
      <c r="P249" s="22"/>
      <c r="Q249" s="3"/>
      <c r="R249" s="5"/>
      <c r="S249" s="3"/>
      <c r="T249" s="3"/>
      <c r="U249" s="3"/>
      <c r="V249" s="23"/>
      <c r="W249" s="24"/>
      <c r="X249" s="3"/>
      <c r="Y249" s="3"/>
      <c r="Z249" s="3"/>
      <c r="AA249" s="3"/>
      <c r="AB249" s="3"/>
      <c r="AC249" s="3"/>
      <c r="AD249" s="3"/>
      <c r="AE249" s="3"/>
      <c r="AF249" s="5"/>
      <c r="AG249" s="3"/>
      <c r="AH249" s="3"/>
      <c r="AI249" s="5"/>
      <c r="AJ249" s="3"/>
      <c r="AK249" s="3"/>
      <c r="AL249" s="5"/>
      <c r="AM249" s="3"/>
      <c r="AN249" s="5"/>
    </row>
    <row r="250" spans="1:40" ht="15.75" customHeight="1" x14ac:dyDescent="0.2">
      <c r="A250" s="3"/>
      <c r="B250" s="3"/>
      <c r="C250" s="3"/>
      <c r="D250" s="4"/>
      <c r="E250" s="3"/>
      <c r="F250" s="5"/>
      <c r="G250" s="5"/>
      <c r="H250" s="5"/>
      <c r="I250" s="5"/>
      <c r="J250" s="5"/>
      <c r="K250" s="5"/>
      <c r="L250" s="5"/>
      <c r="M250" s="5"/>
      <c r="N250" s="5"/>
      <c r="O250" s="5"/>
      <c r="P250" s="22"/>
      <c r="Q250" s="3"/>
      <c r="R250" s="5"/>
      <c r="S250" s="3"/>
      <c r="T250" s="3"/>
      <c r="U250" s="3"/>
      <c r="V250" s="23"/>
      <c r="W250" s="24"/>
      <c r="X250" s="3"/>
      <c r="Y250" s="3"/>
      <c r="Z250" s="3"/>
      <c r="AA250" s="3"/>
      <c r="AB250" s="3"/>
      <c r="AC250" s="3"/>
      <c r="AD250" s="3"/>
      <c r="AE250" s="3"/>
      <c r="AF250" s="5"/>
      <c r="AG250" s="3"/>
      <c r="AH250" s="3"/>
      <c r="AI250" s="5"/>
      <c r="AJ250" s="3"/>
      <c r="AK250" s="3"/>
      <c r="AL250" s="5"/>
      <c r="AM250" s="3"/>
      <c r="AN250" s="5"/>
    </row>
    <row r="251" spans="1:40" ht="15.75" customHeight="1" x14ac:dyDescent="0.2">
      <c r="A251" s="3"/>
      <c r="B251" s="3"/>
      <c r="C251" s="3"/>
      <c r="D251" s="4"/>
      <c r="E251" s="3"/>
      <c r="F251" s="5"/>
      <c r="G251" s="5"/>
      <c r="H251" s="5"/>
      <c r="I251" s="5"/>
      <c r="J251" s="5"/>
      <c r="K251" s="5"/>
      <c r="L251" s="5"/>
      <c r="M251" s="5"/>
      <c r="N251" s="5"/>
      <c r="O251" s="5"/>
      <c r="P251" s="22"/>
      <c r="Q251" s="3"/>
      <c r="R251" s="5"/>
      <c r="S251" s="3"/>
      <c r="T251" s="3"/>
      <c r="U251" s="3"/>
      <c r="V251" s="23"/>
      <c r="W251" s="24"/>
      <c r="X251" s="3"/>
      <c r="Y251" s="3"/>
      <c r="Z251" s="3"/>
      <c r="AA251" s="3"/>
      <c r="AB251" s="3"/>
      <c r="AC251" s="3"/>
      <c r="AD251" s="3"/>
      <c r="AE251" s="3"/>
      <c r="AF251" s="5"/>
      <c r="AG251" s="3"/>
      <c r="AH251" s="3"/>
      <c r="AI251" s="5"/>
      <c r="AJ251" s="3"/>
      <c r="AK251" s="3"/>
      <c r="AL251" s="5"/>
      <c r="AM251" s="3"/>
      <c r="AN251" s="5"/>
    </row>
    <row r="252" spans="1:40" ht="15.75" customHeight="1" x14ac:dyDescent="0.2">
      <c r="A252" s="3"/>
      <c r="B252" s="3"/>
      <c r="C252" s="3"/>
      <c r="D252" s="4"/>
      <c r="E252" s="3"/>
      <c r="F252" s="5"/>
      <c r="G252" s="5"/>
      <c r="H252" s="5"/>
      <c r="I252" s="5"/>
      <c r="J252" s="5"/>
      <c r="K252" s="5"/>
      <c r="L252" s="5"/>
      <c r="M252" s="5"/>
      <c r="N252" s="5"/>
      <c r="O252" s="5"/>
      <c r="P252" s="22"/>
      <c r="Q252" s="3"/>
      <c r="R252" s="5"/>
      <c r="S252" s="3"/>
      <c r="T252" s="3"/>
      <c r="U252" s="3"/>
      <c r="V252" s="23"/>
      <c r="W252" s="24"/>
      <c r="X252" s="3"/>
      <c r="Y252" s="3"/>
      <c r="Z252" s="3"/>
      <c r="AA252" s="3"/>
      <c r="AB252" s="3"/>
      <c r="AC252" s="3"/>
      <c r="AD252" s="3"/>
      <c r="AE252" s="3"/>
      <c r="AF252" s="5"/>
      <c r="AG252" s="3"/>
      <c r="AH252" s="3"/>
      <c r="AI252" s="5"/>
      <c r="AJ252" s="3"/>
      <c r="AK252" s="3"/>
      <c r="AL252" s="5"/>
      <c r="AM252" s="3"/>
      <c r="AN252" s="5"/>
    </row>
    <row r="253" spans="1:40" ht="15.75" customHeight="1" x14ac:dyDescent="0.2">
      <c r="A253" s="3"/>
      <c r="B253" s="3"/>
      <c r="C253" s="3"/>
      <c r="D253" s="4"/>
      <c r="E253" s="3"/>
      <c r="F253" s="5"/>
      <c r="G253" s="5"/>
      <c r="H253" s="5"/>
      <c r="I253" s="5"/>
      <c r="J253" s="5"/>
      <c r="K253" s="5"/>
      <c r="L253" s="5"/>
      <c r="M253" s="5"/>
      <c r="N253" s="5"/>
      <c r="O253" s="5"/>
      <c r="P253" s="22"/>
      <c r="Q253" s="3"/>
      <c r="R253" s="5"/>
      <c r="S253" s="3"/>
      <c r="T253" s="3"/>
      <c r="U253" s="3"/>
      <c r="V253" s="23"/>
      <c r="W253" s="24"/>
      <c r="X253" s="3"/>
      <c r="Y253" s="3"/>
      <c r="Z253" s="3"/>
      <c r="AA253" s="3"/>
      <c r="AB253" s="3"/>
      <c r="AC253" s="3"/>
      <c r="AD253" s="3"/>
      <c r="AE253" s="3"/>
      <c r="AF253" s="5"/>
      <c r="AG253" s="3"/>
      <c r="AH253" s="3"/>
      <c r="AI253" s="5"/>
      <c r="AJ253" s="3"/>
      <c r="AK253" s="3"/>
      <c r="AL253" s="5"/>
      <c r="AM253" s="3"/>
      <c r="AN253" s="5"/>
    </row>
    <row r="254" spans="1:40" ht="15.75" customHeight="1" x14ac:dyDescent="0.2">
      <c r="A254" s="3"/>
      <c r="B254" s="3"/>
      <c r="C254" s="3"/>
      <c r="D254" s="4"/>
      <c r="E254" s="3"/>
      <c r="F254" s="5"/>
      <c r="G254" s="5"/>
      <c r="H254" s="5"/>
      <c r="I254" s="5"/>
      <c r="J254" s="5"/>
      <c r="K254" s="5"/>
      <c r="L254" s="5"/>
      <c r="M254" s="5"/>
      <c r="N254" s="5"/>
      <c r="O254" s="5"/>
      <c r="P254" s="22"/>
      <c r="Q254" s="3"/>
      <c r="R254" s="5"/>
      <c r="S254" s="3"/>
      <c r="T254" s="3"/>
      <c r="U254" s="3"/>
      <c r="V254" s="23"/>
      <c r="W254" s="24"/>
      <c r="X254" s="3"/>
      <c r="Y254" s="3"/>
      <c r="Z254" s="3"/>
      <c r="AA254" s="3"/>
      <c r="AB254" s="3"/>
      <c r="AC254" s="3"/>
      <c r="AD254" s="3"/>
      <c r="AE254" s="3"/>
      <c r="AF254" s="5"/>
      <c r="AG254" s="3"/>
      <c r="AH254" s="3"/>
      <c r="AI254" s="5"/>
      <c r="AJ254" s="3"/>
      <c r="AK254" s="3"/>
      <c r="AL254" s="5"/>
      <c r="AM254" s="3"/>
      <c r="AN254" s="5"/>
    </row>
    <row r="255" spans="1:40" ht="15.75" customHeight="1" x14ac:dyDescent="0.2">
      <c r="A255" s="3"/>
      <c r="B255" s="3"/>
      <c r="C255" s="3"/>
      <c r="D255" s="4"/>
      <c r="E255" s="3"/>
      <c r="F255" s="5"/>
      <c r="G255" s="5"/>
      <c r="H255" s="5"/>
      <c r="I255" s="5"/>
      <c r="J255" s="5"/>
      <c r="K255" s="5"/>
      <c r="L255" s="5"/>
      <c r="M255" s="5"/>
      <c r="N255" s="5"/>
      <c r="O255" s="5"/>
      <c r="P255" s="22"/>
      <c r="Q255" s="3"/>
      <c r="R255" s="5"/>
      <c r="S255" s="3"/>
      <c r="T255" s="3"/>
      <c r="U255" s="3"/>
      <c r="V255" s="23"/>
      <c r="W255" s="24"/>
      <c r="X255" s="3"/>
      <c r="Y255" s="3"/>
      <c r="Z255" s="3"/>
      <c r="AA255" s="3"/>
      <c r="AB255" s="3"/>
      <c r="AC255" s="3"/>
      <c r="AD255" s="3"/>
      <c r="AE255" s="3"/>
      <c r="AF255" s="5"/>
      <c r="AG255" s="3"/>
      <c r="AH255" s="3"/>
      <c r="AI255" s="5"/>
      <c r="AJ255" s="3"/>
      <c r="AK255" s="3"/>
      <c r="AL255" s="5"/>
      <c r="AM255" s="3"/>
      <c r="AN255" s="5"/>
    </row>
    <row r="256" spans="1:40" ht="15.75" customHeight="1" x14ac:dyDescent="0.2">
      <c r="A256" s="3"/>
      <c r="B256" s="3"/>
      <c r="C256" s="3"/>
      <c r="D256" s="4"/>
      <c r="E256" s="3"/>
      <c r="F256" s="5"/>
      <c r="G256" s="5"/>
      <c r="H256" s="5"/>
      <c r="I256" s="5"/>
      <c r="J256" s="5"/>
      <c r="K256" s="5"/>
      <c r="L256" s="5"/>
      <c r="M256" s="5"/>
      <c r="N256" s="5"/>
      <c r="O256" s="5"/>
      <c r="P256" s="22"/>
      <c r="Q256" s="3"/>
      <c r="R256" s="5"/>
      <c r="S256" s="3"/>
      <c r="T256" s="3"/>
      <c r="U256" s="3"/>
      <c r="V256" s="23"/>
      <c r="W256" s="24"/>
      <c r="X256" s="3"/>
      <c r="Y256" s="3"/>
      <c r="Z256" s="3"/>
      <c r="AA256" s="3"/>
      <c r="AB256" s="3"/>
      <c r="AC256" s="3"/>
      <c r="AD256" s="3"/>
      <c r="AE256" s="3"/>
      <c r="AF256" s="5"/>
      <c r="AG256" s="3"/>
      <c r="AH256" s="3"/>
      <c r="AI256" s="5"/>
      <c r="AJ256" s="3"/>
      <c r="AK256" s="3"/>
      <c r="AL256" s="5"/>
      <c r="AM256" s="3"/>
      <c r="AN256" s="5"/>
    </row>
    <row r="257" spans="1:40" ht="15.75" customHeight="1" x14ac:dyDescent="0.2">
      <c r="A257" s="3"/>
      <c r="B257" s="3"/>
      <c r="C257" s="3"/>
      <c r="D257" s="4"/>
      <c r="E257" s="3"/>
      <c r="F257" s="5"/>
      <c r="G257" s="5"/>
      <c r="H257" s="5"/>
      <c r="I257" s="5"/>
      <c r="J257" s="5"/>
      <c r="K257" s="5"/>
      <c r="L257" s="5"/>
      <c r="M257" s="5"/>
      <c r="N257" s="5"/>
      <c r="O257" s="5"/>
      <c r="P257" s="22"/>
      <c r="Q257" s="3"/>
      <c r="R257" s="5"/>
      <c r="S257" s="3"/>
      <c r="T257" s="3"/>
      <c r="U257" s="3"/>
      <c r="V257" s="23"/>
      <c r="W257" s="24"/>
      <c r="X257" s="3"/>
      <c r="Y257" s="3"/>
      <c r="Z257" s="3"/>
      <c r="AA257" s="3"/>
      <c r="AB257" s="3"/>
      <c r="AC257" s="3"/>
      <c r="AD257" s="3"/>
      <c r="AE257" s="3"/>
      <c r="AF257" s="5"/>
      <c r="AG257" s="3"/>
      <c r="AH257" s="3"/>
      <c r="AI257" s="5"/>
      <c r="AJ257" s="3"/>
      <c r="AK257" s="3"/>
      <c r="AL257" s="5"/>
      <c r="AM257" s="3"/>
      <c r="AN257" s="5"/>
    </row>
    <row r="258" spans="1:40" ht="15.75" customHeight="1" x14ac:dyDescent="0.2">
      <c r="A258" s="3"/>
      <c r="B258" s="3"/>
      <c r="C258" s="3"/>
      <c r="D258" s="4"/>
      <c r="E258" s="3"/>
      <c r="F258" s="5"/>
      <c r="G258" s="5"/>
      <c r="H258" s="5"/>
      <c r="I258" s="5"/>
      <c r="J258" s="5"/>
      <c r="K258" s="5"/>
      <c r="L258" s="5"/>
      <c r="M258" s="5"/>
      <c r="N258" s="5"/>
      <c r="O258" s="5"/>
      <c r="P258" s="22"/>
      <c r="Q258" s="3"/>
      <c r="R258" s="5"/>
      <c r="S258" s="3"/>
      <c r="T258" s="3"/>
      <c r="U258" s="3"/>
      <c r="V258" s="23"/>
      <c r="W258" s="24"/>
      <c r="X258" s="3"/>
      <c r="Y258" s="3"/>
      <c r="Z258" s="3"/>
      <c r="AA258" s="3"/>
      <c r="AB258" s="3"/>
      <c r="AC258" s="3"/>
      <c r="AD258" s="3"/>
      <c r="AE258" s="3"/>
      <c r="AF258" s="5"/>
      <c r="AG258" s="3"/>
      <c r="AH258" s="3"/>
      <c r="AI258" s="5"/>
      <c r="AJ258" s="3"/>
      <c r="AK258" s="3"/>
      <c r="AL258" s="5"/>
      <c r="AM258" s="3"/>
      <c r="AN258" s="5"/>
    </row>
    <row r="259" spans="1:40" ht="15.75" customHeight="1" x14ac:dyDescent="0.2">
      <c r="A259" s="3"/>
      <c r="B259" s="3"/>
      <c r="C259" s="3"/>
      <c r="D259" s="4"/>
      <c r="E259" s="3"/>
      <c r="F259" s="5"/>
      <c r="G259" s="5"/>
      <c r="H259" s="5"/>
      <c r="I259" s="5"/>
      <c r="J259" s="5"/>
      <c r="K259" s="5"/>
      <c r="L259" s="5"/>
      <c r="M259" s="5"/>
      <c r="N259" s="5"/>
      <c r="O259" s="5"/>
      <c r="P259" s="22"/>
      <c r="Q259" s="3"/>
      <c r="R259" s="5"/>
      <c r="S259" s="3"/>
      <c r="T259" s="3"/>
      <c r="U259" s="3"/>
      <c r="V259" s="23"/>
      <c r="W259" s="24"/>
      <c r="X259" s="3"/>
      <c r="Y259" s="3"/>
      <c r="Z259" s="3"/>
      <c r="AA259" s="3"/>
      <c r="AB259" s="3"/>
      <c r="AC259" s="3"/>
      <c r="AD259" s="3"/>
      <c r="AE259" s="3"/>
      <c r="AF259" s="5"/>
      <c r="AG259" s="3"/>
      <c r="AH259" s="3"/>
      <c r="AI259" s="5"/>
      <c r="AJ259" s="3"/>
      <c r="AK259" s="3"/>
      <c r="AL259" s="5"/>
      <c r="AM259" s="3"/>
      <c r="AN259" s="5"/>
    </row>
    <row r="260" spans="1:40" ht="15.75" customHeight="1" x14ac:dyDescent="0.2">
      <c r="A260" s="3"/>
      <c r="B260" s="3"/>
      <c r="C260" s="3"/>
      <c r="D260" s="4"/>
      <c r="E260" s="3"/>
      <c r="F260" s="5"/>
      <c r="G260" s="5"/>
      <c r="H260" s="5"/>
      <c r="I260" s="5"/>
      <c r="J260" s="5"/>
      <c r="K260" s="5"/>
      <c r="L260" s="5"/>
      <c r="M260" s="5"/>
      <c r="N260" s="5"/>
      <c r="O260" s="5"/>
      <c r="P260" s="22"/>
      <c r="Q260" s="3"/>
      <c r="R260" s="5"/>
      <c r="S260" s="3"/>
      <c r="T260" s="3"/>
      <c r="U260" s="3"/>
      <c r="V260" s="23"/>
      <c r="W260" s="24"/>
      <c r="X260" s="3"/>
      <c r="Y260" s="3"/>
      <c r="Z260" s="3"/>
      <c r="AA260" s="3"/>
      <c r="AB260" s="3"/>
      <c r="AC260" s="3"/>
      <c r="AD260" s="3"/>
      <c r="AE260" s="3"/>
      <c r="AF260" s="5"/>
      <c r="AG260" s="3"/>
      <c r="AH260" s="3"/>
      <c r="AI260" s="5"/>
      <c r="AJ260" s="3"/>
      <c r="AK260" s="3"/>
      <c r="AL260" s="5"/>
      <c r="AM260" s="3"/>
      <c r="AN260" s="5"/>
    </row>
    <row r="261" spans="1:40" ht="15.75" customHeight="1" x14ac:dyDescent="0.2">
      <c r="A261" s="3"/>
      <c r="B261" s="3"/>
      <c r="C261" s="3"/>
      <c r="D261" s="4"/>
      <c r="E261" s="3"/>
      <c r="F261" s="5"/>
      <c r="G261" s="5"/>
      <c r="H261" s="5"/>
      <c r="I261" s="5"/>
      <c r="J261" s="5"/>
      <c r="K261" s="5"/>
      <c r="L261" s="5"/>
      <c r="M261" s="5"/>
      <c r="N261" s="5"/>
      <c r="O261" s="5"/>
      <c r="P261" s="22"/>
      <c r="Q261" s="3"/>
      <c r="R261" s="5"/>
      <c r="S261" s="3"/>
      <c r="T261" s="3"/>
      <c r="U261" s="3"/>
      <c r="V261" s="23"/>
      <c r="W261" s="24"/>
      <c r="X261" s="3"/>
      <c r="Y261" s="3"/>
      <c r="Z261" s="3"/>
      <c r="AA261" s="3"/>
      <c r="AB261" s="3"/>
      <c r="AC261" s="3"/>
      <c r="AD261" s="3"/>
      <c r="AE261" s="3"/>
      <c r="AF261" s="5"/>
      <c r="AG261" s="3"/>
      <c r="AH261" s="3"/>
      <c r="AI261" s="5"/>
      <c r="AJ261" s="3"/>
      <c r="AK261" s="3"/>
      <c r="AL261" s="5"/>
      <c r="AM261" s="3"/>
      <c r="AN261" s="5"/>
    </row>
    <row r="262" spans="1:40" ht="15.75" customHeight="1" x14ac:dyDescent="0.2">
      <c r="A262" s="3"/>
      <c r="B262" s="3"/>
      <c r="C262" s="3"/>
      <c r="D262" s="4"/>
      <c r="E262" s="3"/>
      <c r="F262" s="5"/>
      <c r="G262" s="5"/>
      <c r="H262" s="5"/>
      <c r="I262" s="5"/>
      <c r="J262" s="5"/>
      <c r="K262" s="5"/>
      <c r="L262" s="5"/>
      <c r="M262" s="5"/>
      <c r="N262" s="5"/>
      <c r="O262" s="5"/>
      <c r="P262" s="22"/>
      <c r="Q262" s="3"/>
      <c r="R262" s="5"/>
      <c r="S262" s="3"/>
      <c r="T262" s="3"/>
      <c r="U262" s="3"/>
      <c r="V262" s="23"/>
      <c r="W262" s="24"/>
      <c r="X262" s="3"/>
      <c r="Y262" s="3"/>
      <c r="Z262" s="3"/>
      <c r="AA262" s="3"/>
      <c r="AB262" s="3"/>
      <c r="AC262" s="3"/>
      <c r="AD262" s="3"/>
      <c r="AE262" s="3"/>
      <c r="AF262" s="5"/>
      <c r="AG262" s="3"/>
      <c r="AH262" s="3"/>
      <c r="AI262" s="5"/>
      <c r="AJ262" s="3"/>
      <c r="AK262" s="3"/>
      <c r="AL262" s="5"/>
      <c r="AM262" s="3"/>
      <c r="AN262" s="5"/>
    </row>
    <row r="263" spans="1:40" ht="15.75" customHeight="1" x14ac:dyDescent="0.2">
      <c r="A263" s="3"/>
      <c r="B263" s="3"/>
      <c r="C263" s="3"/>
      <c r="D263" s="4"/>
      <c r="E263" s="3"/>
      <c r="F263" s="5"/>
      <c r="G263" s="5"/>
      <c r="H263" s="5"/>
      <c r="I263" s="5"/>
      <c r="J263" s="5"/>
      <c r="K263" s="5"/>
      <c r="L263" s="5"/>
      <c r="M263" s="5"/>
      <c r="N263" s="5"/>
      <c r="O263" s="5"/>
      <c r="P263" s="22"/>
      <c r="Q263" s="3"/>
      <c r="R263" s="5"/>
      <c r="S263" s="3"/>
      <c r="T263" s="3"/>
      <c r="U263" s="3"/>
      <c r="V263" s="23"/>
      <c r="W263" s="24"/>
      <c r="X263" s="3"/>
      <c r="Y263" s="3"/>
      <c r="Z263" s="3"/>
      <c r="AA263" s="3"/>
      <c r="AB263" s="3"/>
      <c r="AC263" s="3"/>
      <c r="AD263" s="3"/>
      <c r="AE263" s="3"/>
      <c r="AF263" s="5"/>
      <c r="AG263" s="3"/>
      <c r="AH263" s="3"/>
      <c r="AI263" s="5"/>
      <c r="AJ263" s="3"/>
      <c r="AK263" s="3"/>
      <c r="AL263" s="5"/>
      <c r="AM263" s="3"/>
      <c r="AN263" s="5"/>
    </row>
    <row r="264" spans="1:40" ht="15.75" customHeight="1" x14ac:dyDescent="0.2">
      <c r="A264" s="3"/>
      <c r="B264" s="3"/>
      <c r="C264" s="3"/>
      <c r="D264" s="4"/>
      <c r="E264" s="3"/>
      <c r="F264" s="5"/>
      <c r="G264" s="5"/>
      <c r="H264" s="5"/>
      <c r="I264" s="5"/>
      <c r="J264" s="5"/>
      <c r="K264" s="5"/>
      <c r="L264" s="5"/>
      <c r="M264" s="5"/>
      <c r="N264" s="5"/>
      <c r="O264" s="5"/>
      <c r="P264" s="22"/>
      <c r="Q264" s="3"/>
      <c r="R264" s="5"/>
      <c r="S264" s="3"/>
      <c r="T264" s="3"/>
      <c r="U264" s="3"/>
      <c r="V264" s="23"/>
      <c r="W264" s="24"/>
      <c r="X264" s="3"/>
      <c r="Y264" s="3"/>
      <c r="Z264" s="3"/>
      <c r="AA264" s="3"/>
      <c r="AB264" s="3"/>
      <c r="AC264" s="3"/>
      <c r="AD264" s="3"/>
      <c r="AE264" s="3"/>
      <c r="AF264" s="5"/>
      <c r="AG264" s="3"/>
      <c r="AH264" s="3"/>
      <c r="AI264" s="5"/>
      <c r="AJ264" s="3"/>
      <c r="AK264" s="3"/>
      <c r="AL264" s="5"/>
      <c r="AM264" s="3"/>
      <c r="AN264" s="5"/>
    </row>
    <row r="265" spans="1:40" ht="15.75" customHeight="1" x14ac:dyDescent="0.2">
      <c r="A265" s="3"/>
      <c r="B265" s="3"/>
      <c r="C265" s="3"/>
      <c r="D265" s="4"/>
      <c r="E265" s="3"/>
      <c r="F265" s="5"/>
      <c r="G265" s="5"/>
      <c r="H265" s="5"/>
      <c r="I265" s="5"/>
      <c r="J265" s="5"/>
      <c r="K265" s="5"/>
      <c r="L265" s="5"/>
      <c r="M265" s="5"/>
      <c r="N265" s="5"/>
      <c r="O265" s="5"/>
      <c r="P265" s="22"/>
      <c r="Q265" s="3"/>
      <c r="R265" s="5"/>
      <c r="S265" s="3"/>
      <c r="T265" s="3"/>
      <c r="U265" s="3"/>
      <c r="V265" s="23"/>
      <c r="W265" s="24"/>
      <c r="X265" s="3"/>
      <c r="Y265" s="3"/>
      <c r="Z265" s="3"/>
      <c r="AA265" s="3"/>
      <c r="AB265" s="3"/>
      <c r="AC265" s="3"/>
      <c r="AD265" s="3"/>
      <c r="AE265" s="3"/>
      <c r="AF265" s="5"/>
      <c r="AG265" s="3"/>
      <c r="AH265" s="3"/>
      <c r="AI265" s="5"/>
      <c r="AJ265" s="3"/>
      <c r="AK265" s="3"/>
      <c r="AL265" s="5"/>
      <c r="AM265" s="3"/>
      <c r="AN265" s="5"/>
    </row>
    <row r="266" spans="1:40" ht="15.75" customHeight="1" x14ac:dyDescent="0.2">
      <c r="A266" s="3"/>
      <c r="B266" s="3"/>
      <c r="C266" s="3"/>
      <c r="D266" s="4"/>
      <c r="E266" s="3"/>
      <c r="F266" s="5"/>
      <c r="G266" s="5"/>
      <c r="H266" s="5"/>
      <c r="I266" s="5"/>
      <c r="J266" s="5"/>
      <c r="K266" s="5"/>
      <c r="L266" s="5"/>
      <c r="M266" s="5"/>
      <c r="N266" s="5"/>
      <c r="O266" s="5"/>
      <c r="P266" s="22"/>
      <c r="Q266" s="3"/>
      <c r="R266" s="5"/>
      <c r="S266" s="3"/>
      <c r="T266" s="3"/>
      <c r="U266" s="3"/>
      <c r="V266" s="23"/>
      <c r="W266" s="24"/>
      <c r="X266" s="3"/>
      <c r="Y266" s="3"/>
      <c r="Z266" s="3"/>
      <c r="AA266" s="3"/>
      <c r="AB266" s="3"/>
      <c r="AC266" s="3"/>
      <c r="AD266" s="3"/>
      <c r="AE266" s="3"/>
      <c r="AF266" s="5"/>
      <c r="AG266" s="3"/>
      <c r="AH266" s="3"/>
      <c r="AI266" s="5"/>
      <c r="AJ266" s="3"/>
      <c r="AK266" s="3"/>
      <c r="AL266" s="5"/>
      <c r="AM266" s="3"/>
      <c r="AN266" s="5"/>
    </row>
    <row r="267" spans="1:40" ht="15.75" customHeight="1" x14ac:dyDescent="0.2">
      <c r="A267" s="3"/>
      <c r="B267" s="3"/>
      <c r="C267" s="3"/>
      <c r="D267" s="4"/>
      <c r="E267" s="3"/>
      <c r="F267" s="5"/>
      <c r="G267" s="5"/>
      <c r="H267" s="5"/>
      <c r="I267" s="5"/>
      <c r="J267" s="5"/>
      <c r="K267" s="5"/>
      <c r="L267" s="5"/>
      <c r="M267" s="5"/>
      <c r="N267" s="5"/>
      <c r="O267" s="5"/>
      <c r="P267" s="22"/>
      <c r="Q267" s="3"/>
      <c r="R267" s="5"/>
      <c r="S267" s="3"/>
      <c r="T267" s="3"/>
      <c r="U267" s="3"/>
      <c r="V267" s="23"/>
      <c r="W267" s="24"/>
      <c r="X267" s="3"/>
      <c r="Y267" s="3"/>
      <c r="Z267" s="3"/>
      <c r="AA267" s="3"/>
      <c r="AB267" s="3"/>
      <c r="AC267" s="3"/>
      <c r="AD267" s="3"/>
      <c r="AE267" s="3"/>
      <c r="AF267" s="5"/>
      <c r="AG267" s="3"/>
      <c r="AH267" s="3"/>
      <c r="AI267" s="5"/>
      <c r="AJ267" s="3"/>
      <c r="AK267" s="3"/>
      <c r="AL267" s="5"/>
      <c r="AM267" s="3"/>
      <c r="AN267" s="5"/>
    </row>
    <row r="268" spans="1:40" ht="15.75" customHeight="1" x14ac:dyDescent="0.2">
      <c r="A268" s="3"/>
      <c r="B268" s="3"/>
      <c r="C268" s="3"/>
      <c r="D268" s="4"/>
      <c r="E268" s="3"/>
      <c r="F268" s="5"/>
      <c r="G268" s="5"/>
      <c r="H268" s="5"/>
      <c r="I268" s="5"/>
      <c r="J268" s="5"/>
      <c r="K268" s="5"/>
      <c r="L268" s="5"/>
      <c r="M268" s="5"/>
      <c r="N268" s="5"/>
      <c r="O268" s="5"/>
      <c r="P268" s="22"/>
      <c r="Q268" s="3"/>
      <c r="R268" s="5"/>
      <c r="S268" s="3"/>
      <c r="T268" s="3"/>
      <c r="U268" s="3"/>
      <c r="V268" s="23"/>
      <c r="W268" s="24"/>
      <c r="X268" s="3"/>
      <c r="Y268" s="3"/>
      <c r="Z268" s="3"/>
      <c r="AA268" s="3"/>
      <c r="AB268" s="3"/>
      <c r="AC268" s="3"/>
      <c r="AD268" s="3"/>
      <c r="AE268" s="3"/>
      <c r="AF268" s="5"/>
      <c r="AG268" s="3"/>
      <c r="AH268" s="3"/>
      <c r="AI268" s="5"/>
      <c r="AJ268" s="3"/>
      <c r="AK268" s="3"/>
      <c r="AL268" s="5"/>
      <c r="AM268" s="3"/>
      <c r="AN268" s="5"/>
    </row>
    <row r="269" spans="1:40" ht="15.75" customHeight="1" x14ac:dyDescent="0.2">
      <c r="A269" s="3"/>
      <c r="B269" s="3"/>
      <c r="C269" s="3"/>
      <c r="D269" s="4"/>
      <c r="E269" s="3"/>
      <c r="F269" s="5"/>
      <c r="G269" s="5"/>
      <c r="H269" s="5"/>
      <c r="I269" s="5"/>
      <c r="J269" s="5"/>
      <c r="K269" s="5"/>
      <c r="L269" s="5"/>
      <c r="M269" s="5"/>
      <c r="N269" s="5"/>
      <c r="O269" s="5"/>
      <c r="P269" s="22"/>
      <c r="Q269" s="3"/>
      <c r="R269" s="5"/>
      <c r="S269" s="3"/>
      <c r="T269" s="3"/>
      <c r="U269" s="3"/>
      <c r="V269" s="23"/>
      <c r="W269" s="24"/>
      <c r="X269" s="3"/>
      <c r="Y269" s="3"/>
      <c r="Z269" s="3"/>
      <c r="AA269" s="3"/>
      <c r="AB269" s="3"/>
      <c r="AC269" s="3"/>
      <c r="AD269" s="3"/>
      <c r="AE269" s="3"/>
      <c r="AF269" s="5"/>
      <c r="AG269" s="3"/>
      <c r="AH269" s="3"/>
      <c r="AI269" s="5"/>
      <c r="AJ269" s="3"/>
      <c r="AK269" s="3"/>
      <c r="AL269" s="5"/>
      <c r="AM269" s="3"/>
      <c r="AN269" s="5"/>
    </row>
    <row r="270" spans="1:40" ht="15.75" customHeight="1" x14ac:dyDescent="0.2">
      <c r="A270" s="3"/>
      <c r="B270" s="3"/>
      <c r="C270" s="3"/>
      <c r="D270" s="4"/>
      <c r="E270" s="3"/>
      <c r="F270" s="5"/>
      <c r="G270" s="5"/>
      <c r="H270" s="5"/>
      <c r="I270" s="5"/>
      <c r="J270" s="5"/>
      <c r="K270" s="5"/>
      <c r="L270" s="5"/>
      <c r="M270" s="5"/>
      <c r="N270" s="5"/>
      <c r="O270" s="5"/>
      <c r="P270" s="22"/>
      <c r="Q270" s="3"/>
      <c r="R270" s="5"/>
      <c r="S270" s="3"/>
      <c r="T270" s="3"/>
      <c r="U270" s="3"/>
      <c r="V270" s="23"/>
      <c r="W270" s="24"/>
      <c r="X270" s="3"/>
      <c r="Y270" s="3"/>
      <c r="Z270" s="3"/>
      <c r="AA270" s="3"/>
      <c r="AB270" s="3"/>
      <c r="AC270" s="3"/>
      <c r="AD270" s="3"/>
      <c r="AE270" s="3"/>
      <c r="AF270" s="5"/>
      <c r="AG270" s="3"/>
      <c r="AH270" s="3"/>
      <c r="AI270" s="5"/>
      <c r="AJ270" s="3"/>
      <c r="AK270" s="3"/>
      <c r="AL270" s="5"/>
      <c r="AM270" s="3"/>
      <c r="AN270" s="5"/>
    </row>
    <row r="271" spans="1:40" ht="15.75" customHeight="1" x14ac:dyDescent="0.2">
      <c r="A271" s="3"/>
      <c r="B271" s="3"/>
      <c r="C271" s="3"/>
      <c r="D271" s="4"/>
      <c r="E271" s="3"/>
      <c r="F271" s="5"/>
      <c r="G271" s="5"/>
      <c r="H271" s="5"/>
      <c r="I271" s="5"/>
      <c r="J271" s="5"/>
      <c r="K271" s="5"/>
      <c r="L271" s="5"/>
      <c r="M271" s="5"/>
      <c r="N271" s="5"/>
      <c r="O271" s="5"/>
      <c r="P271" s="22"/>
      <c r="Q271" s="3"/>
      <c r="R271" s="5"/>
      <c r="S271" s="3"/>
      <c r="T271" s="3"/>
      <c r="U271" s="3"/>
      <c r="V271" s="23"/>
      <c r="W271" s="24"/>
      <c r="X271" s="3"/>
      <c r="Y271" s="3"/>
      <c r="Z271" s="3"/>
      <c r="AA271" s="3"/>
      <c r="AB271" s="3"/>
      <c r="AC271" s="3"/>
      <c r="AD271" s="3"/>
      <c r="AE271" s="3"/>
      <c r="AF271" s="5"/>
      <c r="AG271" s="3"/>
      <c r="AH271" s="3"/>
      <c r="AI271" s="5"/>
      <c r="AJ271" s="3"/>
      <c r="AK271" s="3"/>
      <c r="AL271" s="5"/>
      <c r="AM271" s="3"/>
      <c r="AN271" s="5"/>
    </row>
    <row r="272" spans="1:40" ht="15.75" customHeight="1" x14ac:dyDescent="0.2">
      <c r="A272" s="3"/>
      <c r="B272" s="3"/>
      <c r="C272" s="3"/>
      <c r="D272" s="4"/>
      <c r="E272" s="3"/>
      <c r="F272" s="5"/>
      <c r="G272" s="5"/>
      <c r="H272" s="5"/>
      <c r="I272" s="5"/>
      <c r="J272" s="5"/>
      <c r="K272" s="5"/>
      <c r="L272" s="5"/>
      <c r="M272" s="5"/>
      <c r="N272" s="5"/>
      <c r="O272" s="5"/>
      <c r="P272" s="22"/>
      <c r="Q272" s="3"/>
      <c r="R272" s="5"/>
      <c r="S272" s="3"/>
      <c r="T272" s="3"/>
      <c r="U272" s="3"/>
      <c r="V272" s="23"/>
      <c r="W272" s="24"/>
      <c r="X272" s="3"/>
      <c r="Y272" s="3"/>
      <c r="Z272" s="3"/>
      <c r="AA272" s="3"/>
      <c r="AB272" s="3"/>
      <c r="AC272" s="3"/>
      <c r="AD272" s="3"/>
      <c r="AE272" s="3"/>
      <c r="AF272" s="5"/>
      <c r="AG272" s="3"/>
      <c r="AH272" s="3"/>
      <c r="AI272" s="5"/>
      <c r="AJ272" s="3"/>
      <c r="AK272" s="3"/>
      <c r="AL272" s="5"/>
      <c r="AM272" s="3"/>
      <c r="AN272" s="5"/>
    </row>
    <row r="273" spans="1:40" ht="15.75" customHeight="1" x14ac:dyDescent="0.2">
      <c r="A273" s="3"/>
      <c r="B273" s="3"/>
      <c r="C273" s="3"/>
      <c r="D273" s="4"/>
      <c r="E273" s="3"/>
      <c r="F273" s="5"/>
      <c r="G273" s="5"/>
      <c r="H273" s="5"/>
      <c r="I273" s="5"/>
      <c r="J273" s="5"/>
      <c r="K273" s="5"/>
      <c r="L273" s="5"/>
      <c r="M273" s="5"/>
      <c r="N273" s="5"/>
      <c r="O273" s="5"/>
      <c r="P273" s="22"/>
      <c r="Q273" s="3"/>
      <c r="R273" s="5"/>
      <c r="S273" s="3"/>
      <c r="T273" s="3"/>
      <c r="U273" s="3"/>
      <c r="V273" s="23"/>
      <c r="W273" s="24"/>
      <c r="X273" s="3"/>
      <c r="Y273" s="3"/>
      <c r="Z273" s="3"/>
      <c r="AA273" s="3"/>
      <c r="AB273" s="3"/>
      <c r="AC273" s="3"/>
      <c r="AD273" s="3"/>
      <c r="AE273" s="3"/>
      <c r="AF273" s="5"/>
      <c r="AG273" s="3"/>
      <c r="AH273" s="3"/>
      <c r="AI273" s="5"/>
      <c r="AJ273" s="3"/>
      <c r="AK273" s="3"/>
      <c r="AL273" s="5"/>
      <c r="AM273" s="3"/>
      <c r="AN273" s="5"/>
    </row>
    <row r="274" spans="1:40" ht="15.75" customHeight="1" x14ac:dyDescent="0.2">
      <c r="A274" s="3"/>
      <c r="B274" s="3"/>
      <c r="C274" s="3"/>
      <c r="D274" s="4"/>
      <c r="E274" s="3"/>
      <c r="F274" s="5"/>
      <c r="G274" s="5"/>
      <c r="H274" s="5"/>
      <c r="I274" s="5"/>
      <c r="J274" s="5"/>
      <c r="K274" s="5"/>
      <c r="L274" s="5"/>
      <c r="M274" s="5"/>
      <c r="N274" s="5"/>
      <c r="O274" s="5"/>
      <c r="P274" s="22"/>
      <c r="Q274" s="3"/>
      <c r="R274" s="5"/>
      <c r="S274" s="3"/>
      <c r="T274" s="3"/>
      <c r="U274" s="3"/>
      <c r="V274" s="23"/>
      <c r="W274" s="24"/>
      <c r="X274" s="3"/>
      <c r="Y274" s="3"/>
      <c r="Z274" s="3"/>
      <c r="AA274" s="3"/>
      <c r="AB274" s="3"/>
      <c r="AC274" s="3"/>
      <c r="AD274" s="3"/>
      <c r="AE274" s="3"/>
      <c r="AF274" s="5"/>
      <c r="AG274" s="3"/>
      <c r="AH274" s="3"/>
      <c r="AI274" s="5"/>
      <c r="AJ274" s="3"/>
      <c r="AK274" s="3"/>
      <c r="AL274" s="5"/>
      <c r="AM274" s="3"/>
      <c r="AN274" s="5"/>
    </row>
    <row r="275" spans="1:40" ht="15.75" customHeight="1" x14ac:dyDescent="0.2">
      <c r="A275" s="3"/>
      <c r="B275" s="3"/>
      <c r="C275" s="3"/>
      <c r="D275" s="4"/>
      <c r="E275" s="3"/>
      <c r="F275" s="5"/>
      <c r="G275" s="5"/>
      <c r="H275" s="5"/>
      <c r="I275" s="5"/>
      <c r="J275" s="5"/>
      <c r="K275" s="5"/>
      <c r="L275" s="5"/>
      <c r="M275" s="5"/>
      <c r="N275" s="5"/>
      <c r="O275" s="5"/>
      <c r="P275" s="22"/>
      <c r="Q275" s="3"/>
      <c r="R275" s="5"/>
      <c r="S275" s="3"/>
      <c r="T275" s="3"/>
      <c r="U275" s="3"/>
      <c r="V275" s="23"/>
      <c r="W275" s="24"/>
      <c r="X275" s="3"/>
      <c r="Y275" s="3"/>
      <c r="Z275" s="3"/>
      <c r="AA275" s="3"/>
      <c r="AB275" s="3"/>
      <c r="AC275" s="3"/>
      <c r="AD275" s="3"/>
      <c r="AE275" s="3"/>
      <c r="AF275" s="5"/>
      <c r="AG275" s="3"/>
      <c r="AH275" s="3"/>
      <c r="AI275" s="5"/>
      <c r="AJ275" s="3"/>
      <c r="AK275" s="3"/>
      <c r="AL275" s="5"/>
      <c r="AM275" s="3"/>
      <c r="AN275" s="5"/>
    </row>
    <row r="276" spans="1:40" ht="15.75" customHeight="1" x14ac:dyDescent="0.2">
      <c r="A276" s="3"/>
      <c r="B276" s="3"/>
      <c r="C276" s="3"/>
      <c r="D276" s="4"/>
      <c r="E276" s="3"/>
      <c r="F276" s="5"/>
      <c r="G276" s="5"/>
      <c r="H276" s="5"/>
      <c r="I276" s="5"/>
      <c r="J276" s="5"/>
      <c r="K276" s="5"/>
      <c r="L276" s="5"/>
      <c r="M276" s="5"/>
      <c r="N276" s="5"/>
      <c r="O276" s="5"/>
      <c r="P276" s="22"/>
      <c r="Q276" s="3"/>
      <c r="R276" s="5"/>
      <c r="S276" s="3"/>
      <c r="T276" s="3"/>
      <c r="U276" s="3"/>
      <c r="V276" s="23"/>
      <c r="W276" s="24"/>
      <c r="X276" s="3"/>
      <c r="Y276" s="3"/>
      <c r="Z276" s="3"/>
      <c r="AA276" s="3"/>
      <c r="AB276" s="3"/>
      <c r="AC276" s="3"/>
      <c r="AD276" s="3"/>
      <c r="AE276" s="3"/>
      <c r="AF276" s="5"/>
      <c r="AG276" s="3"/>
      <c r="AH276" s="3"/>
      <c r="AI276" s="5"/>
      <c r="AJ276" s="3"/>
      <c r="AK276" s="3"/>
      <c r="AL276" s="5"/>
      <c r="AM276" s="3"/>
      <c r="AN276" s="5"/>
    </row>
    <row r="277" spans="1:40" ht="15.75" customHeight="1" x14ac:dyDescent="0.2">
      <c r="A277" s="3"/>
      <c r="B277" s="3"/>
      <c r="C277" s="3"/>
      <c r="D277" s="4"/>
      <c r="E277" s="3"/>
      <c r="F277" s="5"/>
      <c r="G277" s="5"/>
      <c r="H277" s="5"/>
      <c r="I277" s="5"/>
      <c r="J277" s="5"/>
      <c r="K277" s="5"/>
      <c r="L277" s="5"/>
      <c r="M277" s="5"/>
      <c r="N277" s="5"/>
      <c r="O277" s="5"/>
      <c r="P277" s="22"/>
      <c r="Q277" s="3"/>
      <c r="R277" s="5"/>
      <c r="S277" s="3"/>
      <c r="T277" s="3"/>
      <c r="U277" s="3"/>
      <c r="V277" s="23"/>
      <c r="W277" s="24"/>
      <c r="X277" s="3"/>
      <c r="Y277" s="3"/>
      <c r="Z277" s="3"/>
      <c r="AA277" s="3"/>
      <c r="AB277" s="3"/>
      <c r="AC277" s="3"/>
      <c r="AD277" s="3"/>
      <c r="AE277" s="3"/>
      <c r="AF277" s="5"/>
      <c r="AG277" s="3"/>
      <c r="AH277" s="3"/>
      <c r="AI277" s="5"/>
      <c r="AJ277" s="3"/>
      <c r="AK277" s="3"/>
      <c r="AL277" s="5"/>
      <c r="AM277" s="3"/>
      <c r="AN277" s="5"/>
    </row>
    <row r="278" spans="1:40" ht="15.75" customHeight="1" x14ac:dyDescent="0.2">
      <c r="A278" s="3"/>
      <c r="B278" s="3"/>
      <c r="C278" s="3"/>
      <c r="D278" s="4"/>
      <c r="E278" s="3"/>
      <c r="F278" s="5"/>
      <c r="G278" s="5"/>
      <c r="H278" s="5"/>
      <c r="I278" s="5"/>
      <c r="J278" s="5"/>
      <c r="K278" s="5"/>
      <c r="L278" s="5"/>
      <c r="M278" s="5"/>
      <c r="N278" s="5"/>
      <c r="O278" s="5"/>
      <c r="P278" s="22"/>
      <c r="Q278" s="3"/>
      <c r="R278" s="5"/>
      <c r="S278" s="3"/>
      <c r="T278" s="3"/>
      <c r="U278" s="3"/>
      <c r="V278" s="23"/>
      <c r="W278" s="24"/>
      <c r="X278" s="3"/>
      <c r="Y278" s="3"/>
      <c r="Z278" s="3"/>
      <c r="AA278" s="3"/>
      <c r="AB278" s="3"/>
      <c r="AC278" s="3"/>
      <c r="AD278" s="3"/>
      <c r="AE278" s="3"/>
      <c r="AF278" s="5"/>
      <c r="AG278" s="3"/>
      <c r="AH278" s="3"/>
      <c r="AI278" s="5"/>
      <c r="AJ278" s="3"/>
      <c r="AK278" s="3"/>
      <c r="AL278" s="5"/>
      <c r="AM278" s="3"/>
      <c r="AN278" s="5"/>
    </row>
    <row r="279" spans="1:40" ht="15.75" customHeight="1" x14ac:dyDescent="0.2">
      <c r="A279" s="3"/>
      <c r="B279" s="3"/>
      <c r="C279" s="3"/>
      <c r="D279" s="4"/>
      <c r="E279" s="3"/>
      <c r="F279" s="5"/>
      <c r="G279" s="5"/>
      <c r="H279" s="5"/>
      <c r="I279" s="5"/>
      <c r="J279" s="5"/>
      <c r="K279" s="5"/>
      <c r="L279" s="5"/>
      <c r="M279" s="5"/>
      <c r="N279" s="5"/>
      <c r="O279" s="5"/>
      <c r="P279" s="22"/>
      <c r="Q279" s="3"/>
      <c r="R279" s="5"/>
      <c r="S279" s="3"/>
      <c r="T279" s="3"/>
      <c r="U279" s="3"/>
      <c r="V279" s="23"/>
      <c r="W279" s="24"/>
      <c r="X279" s="3"/>
      <c r="Y279" s="3"/>
      <c r="Z279" s="3"/>
      <c r="AA279" s="3"/>
      <c r="AB279" s="3"/>
      <c r="AC279" s="3"/>
      <c r="AD279" s="3"/>
      <c r="AE279" s="3"/>
      <c r="AF279" s="5"/>
      <c r="AG279" s="3"/>
      <c r="AH279" s="3"/>
      <c r="AI279" s="5"/>
      <c r="AJ279" s="3"/>
      <c r="AK279" s="3"/>
      <c r="AL279" s="5"/>
      <c r="AM279" s="3"/>
      <c r="AN279" s="5"/>
    </row>
    <row r="280" spans="1:40" ht="15.75" customHeight="1" x14ac:dyDescent="0.2">
      <c r="A280" s="3"/>
      <c r="B280" s="3"/>
      <c r="C280" s="3"/>
      <c r="D280" s="4"/>
      <c r="E280" s="3"/>
      <c r="F280" s="5"/>
      <c r="G280" s="5"/>
      <c r="H280" s="5"/>
      <c r="I280" s="5"/>
      <c r="J280" s="5"/>
      <c r="K280" s="5"/>
      <c r="L280" s="5"/>
      <c r="M280" s="5"/>
      <c r="N280" s="5"/>
      <c r="O280" s="5"/>
      <c r="P280" s="22"/>
      <c r="Q280" s="3"/>
      <c r="R280" s="5"/>
      <c r="S280" s="3"/>
      <c r="T280" s="3"/>
      <c r="U280" s="3"/>
      <c r="V280" s="23"/>
      <c r="W280" s="24"/>
      <c r="X280" s="3"/>
      <c r="Y280" s="3"/>
      <c r="Z280" s="3"/>
      <c r="AA280" s="3"/>
      <c r="AB280" s="3"/>
      <c r="AC280" s="3"/>
      <c r="AD280" s="3"/>
      <c r="AE280" s="3"/>
      <c r="AF280" s="5"/>
      <c r="AG280" s="3"/>
      <c r="AH280" s="3"/>
      <c r="AI280" s="5"/>
      <c r="AJ280" s="3"/>
      <c r="AK280" s="3"/>
      <c r="AL280" s="5"/>
      <c r="AM280" s="3"/>
      <c r="AN280" s="5"/>
    </row>
    <row r="281" spans="1:40" ht="15.75" customHeight="1" x14ac:dyDescent="0.2">
      <c r="A281" s="3"/>
      <c r="B281" s="3"/>
      <c r="C281" s="3"/>
      <c r="D281" s="4"/>
      <c r="E281" s="3"/>
      <c r="F281" s="5"/>
      <c r="G281" s="5"/>
      <c r="H281" s="5"/>
      <c r="I281" s="5"/>
      <c r="J281" s="5"/>
      <c r="K281" s="5"/>
      <c r="L281" s="5"/>
      <c r="M281" s="5"/>
      <c r="N281" s="5"/>
      <c r="O281" s="5"/>
      <c r="P281" s="22"/>
      <c r="Q281" s="3"/>
      <c r="R281" s="5"/>
      <c r="S281" s="3"/>
      <c r="T281" s="3"/>
      <c r="U281" s="3"/>
      <c r="V281" s="23"/>
      <c r="W281" s="24"/>
      <c r="X281" s="3"/>
      <c r="Y281" s="3"/>
      <c r="Z281" s="3"/>
      <c r="AA281" s="3"/>
      <c r="AB281" s="3"/>
      <c r="AC281" s="3"/>
      <c r="AD281" s="3"/>
      <c r="AE281" s="3"/>
      <c r="AF281" s="5"/>
      <c r="AG281" s="3"/>
      <c r="AH281" s="3"/>
      <c r="AI281" s="5"/>
      <c r="AJ281" s="3"/>
      <c r="AK281" s="3"/>
      <c r="AL281" s="5"/>
      <c r="AM281" s="3"/>
      <c r="AN281" s="5"/>
    </row>
    <row r="282" spans="1:40" ht="15.75" customHeight="1" x14ac:dyDescent="0.2">
      <c r="A282" s="3"/>
      <c r="B282" s="3"/>
      <c r="C282" s="3"/>
      <c r="D282" s="4"/>
      <c r="E282" s="3"/>
      <c r="F282" s="5"/>
      <c r="G282" s="5"/>
      <c r="H282" s="5"/>
      <c r="I282" s="5"/>
      <c r="J282" s="5"/>
      <c r="K282" s="5"/>
      <c r="L282" s="5"/>
      <c r="M282" s="5"/>
      <c r="N282" s="5"/>
      <c r="O282" s="5"/>
      <c r="P282" s="22"/>
      <c r="Q282" s="3"/>
      <c r="R282" s="5"/>
      <c r="S282" s="3"/>
      <c r="T282" s="3"/>
      <c r="U282" s="3"/>
      <c r="V282" s="23"/>
      <c r="W282" s="24"/>
      <c r="X282" s="3"/>
      <c r="Y282" s="3"/>
      <c r="Z282" s="3"/>
      <c r="AA282" s="3"/>
      <c r="AB282" s="3"/>
      <c r="AC282" s="3"/>
      <c r="AD282" s="3"/>
      <c r="AE282" s="3"/>
      <c r="AF282" s="5"/>
      <c r="AG282" s="3"/>
      <c r="AH282" s="3"/>
      <c r="AI282" s="5"/>
      <c r="AJ282" s="3"/>
      <c r="AK282" s="3"/>
      <c r="AL282" s="5"/>
      <c r="AM282" s="3"/>
      <c r="AN282" s="5"/>
    </row>
    <row r="283" spans="1:40" ht="15.75" customHeight="1" x14ac:dyDescent="0.2">
      <c r="A283" s="3"/>
      <c r="B283" s="3"/>
      <c r="C283" s="3"/>
      <c r="D283" s="4"/>
      <c r="E283" s="3"/>
      <c r="F283" s="5"/>
      <c r="G283" s="5"/>
      <c r="H283" s="5"/>
      <c r="I283" s="5"/>
      <c r="J283" s="5"/>
      <c r="K283" s="5"/>
      <c r="L283" s="5"/>
      <c r="M283" s="5"/>
      <c r="N283" s="5"/>
      <c r="O283" s="5"/>
      <c r="P283" s="22"/>
      <c r="Q283" s="3"/>
      <c r="R283" s="5"/>
      <c r="S283" s="3"/>
      <c r="T283" s="3"/>
      <c r="U283" s="3"/>
      <c r="V283" s="23"/>
      <c r="W283" s="24"/>
      <c r="X283" s="3"/>
      <c r="Y283" s="3"/>
      <c r="Z283" s="3"/>
      <c r="AA283" s="3"/>
      <c r="AB283" s="3"/>
      <c r="AC283" s="3"/>
      <c r="AD283" s="3"/>
      <c r="AE283" s="3"/>
      <c r="AF283" s="5"/>
      <c r="AG283" s="3"/>
      <c r="AH283" s="3"/>
      <c r="AI283" s="5"/>
      <c r="AJ283" s="3"/>
      <c r="AK283" s="3"/>
      <c r="AL283" s="5"/>
      <c r="AM283" s="3"/>
      <c r="AN283" s="5"/>
    </row>
    <row r="284" spans="1:40" ht="15.75" customHeight="1" x14ac:dyDescent="0.2">
      <c r="A284" s="3"/>
      <c r="B284" s="3"/>
      <c r="C284" s="3"/>
      <c r="D284" s="4"/>
      <c r="E284" s="3"/>
      <c r="F284" s="5"/>
      <c r="G284" s="5"/>
      <c r="H284" s="5"/>
      <c r="I284" s="5"/>
      <c r="J284" s="5"/>
      <c r="K284" s="5"/>
      <c r="L284" s="5"/>
      <c r="M284" s="5"/>
      <c r="N284" s="5"/>
      <c r="O284" s="5"/>
      <c r="P284" s="22"/>
      <c r="Q284" s="3"/>
      <c r="R284" s="5"/>
      <c r="S284" s="3"/>
      <c r="T284" s="3"/>
      <c r="U284" s="3"/>
      <c r="V284" s="23"/>
      <c r="W284" s="24"/>
      <c r="X284" s="3"/>
      <c r="Y284" s="3"/>
      <c r="Z284" s="3"/>
      <c r="AA284" s="3"/>
      <c r="AB284" s="3"/>
      <c r="AC284" s="3"/>
      <c r="AD284" s="3"/>
      <c r="AE284" s="3"/>
      <c r="AF284" s="5"/>
      <c r="AG284" s="3"/>
      <c r="AH284" s="3"/>
      <c r="AI284" s="5"/>
      <c r="AJ284" s="3"/>
      <c r="AK284" s="3"/>
      <c r="AL284" s="5"/>
      <c r="AM284" s="3"/>
      <c r="AN284" s="5"/>
    </row>
    <row r="285" spans="1:40" ht="15.75" customHeight="1" x14ac:dyDescent="0.2">
      <c r="A285" s="3"/>
      <c r="B285" s="3"/>
      <c r="C285" s="3"/>
      <c r="D285" s="4"/>
      <c r="E285" s="3"/>
      <c r="F285" s="5"/>
      <c r="G285" s="5"/>
      <c r="H285" s="5"/>
      <c r="I285" s="5"/>
      <c r="J285" s="5"/>
      <c r="K285" s="5"/>
      <c r="L285" s="5"/>
      <c r="M285" s="5"/>
      <c r="N285" s="5"/>
      <c r="O285" s="5"/>
      <c r="P285" s="22"/>
      <c r="Q285" s="3"/>
      <c r="R285" s="5"/>
      <c r="S285" s="3"/>
      <c r="T285" s="3"/>
      <c r="U285" s="3"/>
      <c r="V285" s="23"/>
      <c r="W285" s="24"/>
      <c r="X285" s="3"/>
      <c r="Y285" s="3"/>
      <c r="Z285" s="3"/>
      <c r="AA285" s="3"/>
      <c r="AB285" s="3"/>
      <c r="AC285" s="3"/>
      <c r="AD285" s="3"/>
      <c r="AE285" s="3"/>
      <c r="AF285" s="5"/>
      <c r="AG285" s="3"/>
      <c r="AH285" s="3"/>
      <c r="AI285" s="5"/>
      <c r="AJ285" s="3"/>
      <c r="AK285" s="3"/>
      <c r="AL285" s="5"/>
      <c r="AM285" s="3"/>
      <c r="AN285" s="5"/>
    </row>
    <row r="286" spans="1:40" ht="15.75" customHeight="1" x14ac:dyDescent="0.2">
      <c r="A286" s="3"/>
      <c r="B286" s="3"/>
      <c r="C286" s="3"/>
      <c r="D286" s="4"/>
      <c r="E286" s="3"/>
      <c r="F286" s="5"/>
      <c r="G286" s="5"/>
      <c r="H286" s="5"/>
      <c r="I286" s="5"/>
      <c r="J286" s="5"/>
      <c r="K286" s="5"/>
      <c r="L286" s="5"/>
      <c r="M286" s="5"/>
      <c r="N286" s="5"/>
      <c r="O286" s="5"/>
      <c r="P286" s="22"/>
      <c r="Q286" s="3"/>
      <c r="R286" s="5"/>
      <c r="S286" s="3"/>
      <c r="T286" s="3"/>
      <c r="U286" s="3"/>
      <c r="V286" s="23"/>
      <c r="W286" s="24"/>
      <c r="X286" s="3"/>
      <c r="Y286" s="3"/>
      <c r="Z286" s="3"/>
      <c r="AA286" s="3"/>
      <c r="AB286" s="3"/>
      <c r="AC286" s="3"/>
      <c r="AD286" s="3"/>
      <c r="AE286" s="3"/>
      <c r="AF286" s="5"/>
      <c r="AG286" s="3"/>
      <c r="AH286" s="3"/>
      <c r="AI286" s="5"/>
      <c r="AJ286" s="3"/>
      <c r="AK286" s="3"/>
      <c r="AL286" s="5"/>
      <c r="AM286" s="3"/>
      <c r="AN286" s="5"/>
    </row>
    <row r="287" spans="1:40" ht="15.75" customHeight="1" x14ac:dyDescent="0.2">
      <c r="A287" s="3"/>
      <c r="B287" s="3"/>
      <c r="C287" s="3"/>
      <c r="D287" s="4"/>
      <c r="E287" s="3"/>
      <c r="F287" s="5"/>
      <c r="G287" s="5"/>
      <c r="H287" s="5"/>
      <c r="I287" s="5"/>
      <c r="J287" s="5"/>
      <c r="K287" s="5"/>
      <c r="L287" s="5"/>
      <c r="M287" s="5"/>
      <c r="N287" s="5"/>
      <c r="O287" s="5"/>
      <c r="P287" s="22"/>
      <c r="Q287" s="3"/>
      <c r="R287" s="5"/>
      <c r="S287" s="3"/>
      <c r="T287" s="3"/>
      <c r="U287" s="3"/>
      <c r="V287" s="23"/>
      <c r="W287" s="24"/>
      <c r="X287" s="3"/>
      <c r="Y287" s="3"/>
      <c r="Z287" s="3"/>
      <c r="AA287" s="3"/>
      <c r="AB287" s="3"/>
      <c r="AC287" s="3"/>
      <c r="AD287" s="3"/>
      <c r="AE287" s="3"/>
      <c r="AF287" s="5"/>
      <c r="AG287" s="3"/>
      <c r="AH287" s="3"/>
      <c r="AI287" s="5"/>
      <c r="AJ287" s="3"/>
      <c r="AK287" s="3"/>
      <c r="AL287" s="5"/>
      <c r="AM287" s="3"/>
      <c r="AN287" s="5"/>
    </row>
    <row r="288" spans="1:40" ht="15.75" customHeight="1" x14ac:dyDescent="0.2">
      <c r="A288" s="3"/>
      <c r="B288" s="3"/>
      <c r="C288" s="3"/>
      <c r="D288" s="4"/>
      <c r="E288" s="3"/>
      <c r="F288" s="5"/>
      <c r="G288" s="5"/>
      <c r="H288" s="5"/>
      <c r="I288" s="5"/>
      <c r="J288" s="5"/>
      <c r="K288" s="5"/>
      <c r="L288" s="5"/>
      <c r="M288" s="5"/>
      <c r="N288" s="5"/>
      <c r="O288" s="5"/>
      <c r="P288" s="22"/>
      <c r="Q288" s="3"/>
      <c r="R288" s="5"/>
      <c r="S288" s="3"/>
      <c r="T288" s="3"/>
      <c r="U288" s="3"/>
      <c r="V288" s="23"/>
      <c r="W288" s="24"/>
      <c r="X288" s="3"/>
      <c r="Y288" s="3"/>
      <c r="Z288" s="3"/>
      <c r="AA288" s="3"/>
      <c r="AB288" s="3"/>
      <c r="AC288" s="3"/>
      <c r="AD288" s="3"/>
      <c r="AE288" s="3"/>
      <c r="AF288" s="5"/>
      <c r="AG288" s="3"/>
      <c r="AH288" s="3"/>
      <c r="AI288" s="5"/>
      <c r="AJ288" s="3"/>
      <c r="AK288" s="3"/>
      <c r="AL288" s="5"/>
      <c r="AM288" s="3"/>
      <c r="AN288" s="5"/>
    </row>
    <row r="289" spans="1:40" ht="15.75" customHeight="1" x14ac:dyDescent="0.2">
      <c r="A289" s="3"/>
      <c r="B289" s="3"/>
      <c r="C289" s="3"/>
      <c r="D289" s="4"/>
      <c r="E289" s="3"/>
      <c r="F289" s="5"/>
      <c r="G289" s="5"/>
      <c r="H289" s="5"/>
      <c r="I289" s="5"/>
      <c r="J289" s="5"/>
      <c r="K289" s="5"/>
      <c r="L289" s="5"/>
      <c r="M289" s="5"/>
      <c r="N289" s="5"/>
      <c r="O289" s="5"/>
      <c r="P289" s="22"/>
      <c r="Q289" s="3"/>
      <c r="R289" s="5"/>
      <c r="S289" s="3"/>
      <c r="T289" s="3"/>
      <c r="U289" s="3"/>
      <c r="V289" s="23"/>
      <c r="W289" s="24"/>
      <c r="X289" s="3"/>
      <c r="Y289" s="3"/>
      <c r="Z289" s="3"/>
      <c r="AA289" s="3"/>
      <c r="AB289" s="3"/>
      <c r="AC289" s="3"/>
      <c r="AD289" s="3"/>
      <c r="AE289" s="3"/>
      <c r="AF289" s="5"/>
      <c r="AG289" s="3"/>
      <c r="AH289" s="3"/>
      <c r="AI289" s="5"/>
      <c r="AJ289" s="3"/>
      <c r="AK289" s="3"/>
      <c r="AL289" s="5"/>
      <c r="AM289" s="3"/>
      <c r="AN289" s="5"/>
    </row>
    <row r="290" spans="1:40" ht="15.75" customHeight="1" x14ac:dyDescent="0.2">
      <c r="A290" s="3"/>
      <c r="B290" s="3"/>
      <c r="C290" s="3"/>
      <c r="D290" s="4"/>
      <c r="E290" s="3"/>
      <c r="F290" s="5"/>
      <c r="G290" s="5"/>
      <c r="H290" s="5"/>
      <c r="I290" s="5"/>
      <c r="J290" s="5"/>
      <c r="K290" s="5"/>
      <c r="L290" s="5"/>
      <c r="M290" s="5"/>
      <c r="N290" s="5"/>
      <c r="O290" s="5"/>
      <c r="P290" s="22"/>
      <c r="Q290" s="3"/>
      <c r="R290" s="5"/>
      <c r="S290" s="3"/>
      <c r="T290" s="3"/>
      <c r="U290" s="3"/>
      <c r="V290" s="23"/>
      <c r="W290" s="24"/>
      <c r="X290" s="3"/>
      <c r="Y290" s="3"/>
      <c r="Z290" s="3"/>
      <c r="AA290" s="3"/>
      <c r="AB290" s="3"/>
      <c r="AC290" s="3"/>
      <c r="AD290" s="3"/>
      <c r="AE290" s="3"/>
      <c r="AF290" s="5"/>
      <c r="AG290" s="3"/>
      <c r="AH290" s="3"/>
      <c r="AI290" s="5"/>
      <c r="AJ290" s="3"/>
      <c r="AK290" s="3"/>
      <c r="AL290" s="5"/>
      <c r="AM290" s="3"/>
      <c r="AN290" s="5"/>
    </row>
    <row r="291" spans="1:40" ht="15.75" customHeight="1" x14ac:dyDescent="0.2">
      <c r="A291" s="3"/>
      <c r="B291" s="3"/>
      <c r="C291" s="3"/>
      <c r="D291" s="4"/>
      <c r="E291" s="3"/>
      <c r="F291" s="5"/>
      <c r="G291" s="5"/>
      <c r="H291" s="5"/>
      <c r="I291" s="5"/>
      <c r="J291" s="5"/>
      <c r="K291" s="5"/>
      <c r="L291" s="5"/>
      <c r="M291" s="5"/>
      <c r="N291" s="5"/>
      <c r="O291" s="5"/>
      <c r="P291" s="22"/>
      <c r="Q291" s="3"/>
      <c r="R291" s="5"/>
      <c r="S291" s="3"/>
      <c r="T291" s="3"/>
      <c r="U291" s="3"/>
      <c r="V291" s="23"/>
      <c r="W291" s="24"/>
      <c r="X291" s="3"/>
      <c r="Y291" s="3"/>
      <c r="Z291" s="3"/>
      <c r="AA291" s="3"/>
      <c r="AB291" s="3"/>
      <c r="AC291" s="3"/>
      <c r="AD291" s="3"/>
      <c r="AE291" s="3"/>
      <c r="AF291" s="5"/>
      <c r="AG291" s="3"/>
      <c r="AH291" s="3"/>
      <c r="AI291" s="5"/>
      <c r="AJ291" s="3"/>
      <c r="AK291" s="3"/>
      <c r="AL291" s="5"/>
      <c r="AM291" s="3"/>
      <c r="AN291" s="5"/>
    </row>
    <row r="292" spans="1:40" ht="15.75" customHeight="1" x14ac:dyDescent="0.2">
      <c r="A292" s="3"/>
      <c r="B292" s="3"/>
      <c r="C292" s="3"/>
      <c r="D292" s="4"/>
      <c r="E292" s="3"/>
      <c r="F292" s="5"/>
      <c r="G292" s="5"/>
      <c r="H292" s="5"/>
      <c r="I292" s="5"/>
      <c r="J292" s="5"/>
      <c r="K292" s="5"/>
      <c r="L292" s="5"/>
      <c r="M292" s="5"/>
      <c r="N292" s="5"/>
      <c r="O292" s="5"/>
      <c r="P292" s="22"/>
      <c r="Q292" s="3"/>
      <c r="R292" s="5"/>
      <c r="S292" s="3"/>
      <c r="T292" s="3"/>
      <c r="U292" s="3"/>
      <c r="V292" s="23"/>
      <c r="W292" s="24"/>
      <c r="X292" s="3"/>
      <c r="Y292" s="3"/>
      <c r="Z292" s="3"/>
      <c r="AA292" s="3"/>
      <c r="AB292" s="3"/>
      <c r="AC292" s="3"/>
      <c r="AD292" s="3"/>
      <c r="AE292" s="3"/>
      <c r="AF292" s="5"/>
      <c r="AG292" s="3"/>
      <c r="AH292" s="3"/>
      <c r="AI292" s="5"/>
      <c r="AJ292" s="3"/>
      <c r="AK292" s="3"/>
      <c r="AL292" s="5"/>
      <c r="AM292" s="3"/>
      <c r="AN292" s="5"/>
    </row>
    <row r="293" spans="1:40" ht="15.75" customHeight="1" x14ac:dyDescent="0.2">
      <c r="A293" s="3"/>
      <c r="B293" s="3"/>
      <c r="C293" s="3"/>
      <c r="D293" s="4"/>
      <c r="E293" s="3"/>
      <c r="F293" s="5"/>
      <c r="G293" s="5"/>
      <c r="H293" s="5"/>
      <c r="I293" s="5"/>
      <c r="J293" s="5"/>
      <c r="K293" s="5"/>
      <c r="L293" s="5"/>
      <c r="M293" s="5"/>
      <c r="N293" s="5"/>
      <c r="O293" s="5"/>
      <c r="P293" s="22"/>
      <c r="Q293" s="3"/>
      <c r="R293" s="5"/>
      <c r="S293" s="3"/>
      <c r="T293" s="3"/>
      <c r="U293" s="3"/>
      <c r="V293" s="23"/>
      <c r="W293" s="24"/>
      <c r="X293" s="3"/>
      <c r="Y293" s="3"/>
      <c r="Z293" s="3"/>
      <c r="AA293" s="3"/>
      <c r="AB293" s="3"/>
      <c r="AC293" s="3"/>
      <c r="AD293" s="3"/>
      <c r="AE293" s="3"/>
      <c r="AF293" s="5"/>
      <c r="AG293" s="3"/>
      <c r="AH293" s="3"/>
      <c r="AI293" s="5"/>
      <c r="AJ293" s="3"/>
      <c r="AK293" s="3"/>
      <c r="AL293" s="5"/>
      <c r="AM293" s="3"/>
      <c r="AN293" s="5"/>
    </row>
    <row r="294" spans="1:40" ht="15.75" customHeight="1" x14ac:dyDescent="0.2">
      <c r="A294" s="3"/>
      <c r="B294" s="3"/>
      <c r="C294" s="3"/>
      <c r="D294" s="4"/>
      <c r="E294" s="3"/>
      <c r="F294" s="5"/>
      <c r="G294" s="5"/>
      <c r="H294" s="5"/>
      <c r="I294" s="5"/>
      <c r="J294" s="5"/>
      <c r="K294" s="5"/>
      <c r="L294" s="5"/>
      <c r="M294" s="5"/>
      <c r="N294" s="5"/>
      <c r="O294" s="5"/>
      <c r="P294" s="22"/>
      <c r="Q294" s="3"/>
      <c r="R294" s="5"/>
      <c r="S294" s="3"/>
      <c r="T294" s="3"/>
      <c r="U294" s="3"/>
      <c r="V294" s="23"/>
      <c r="W294" s="24"/>
      <c r="X294" s="3"/>
      <c r="Y294" s="3"/>
      <c r="Z294" s="3"/>
      <c r="AA294" s="3"/>
      <c r="AB294" s="3"/>
      <c r="AC294" s="3"/>
      <c r="AD294" s="3"/>
      <c r="AE294" s="3"/>
      <c r="AF294" s="5"/>
      <c r="AG294" s="3"/>
      <c r="AH294" s="3"/>
      <c r="AI294" s="5"/>
      <c r="AJ294" s="3"/>
      <c r="AK294" s="3"/>
      <c r="AL294" s="5"/>
      <c r="AM294" s="3"/>
      <c r="AN294" s="5"/>
    </row>
    <row r="295" spans="1:40" ht="15.75" customHeight="1" x14ac:dyDescent="0.2">
      <c r="A295" s="3"/>
      <c r="B295" s="3"/>
      <c r="C295" s="3"/>
      <c r="D295" s="4"/>
      <c r="E295" s="3"/>
      <c r="F295" s="5"/>
      <c r="G295" s="5"/>
      <c r="H295" s="5"/>
      <c r="I295" s="5"/>
      <c r="J295" s="5"/>
      <c r="K295" s="5"/>
      <c r="L295" s="5"/>
      <c r="M295" s="5"/>
      <c r="N295" s="5"/>
      <c r="O295" s="5"/>
      <c r="P295" s="22"/>
      <c r="Q295" s="3"/>
      <c r="R295" s="5"/>
      <c r="S295" s="3"/>
      <c r="T295" s="3"/>
      <c r="U295" s="3"/>
      <c r="V295" s="23"/>
      <c r="W295" s="24"/>
      <c r="X295" s="3"/>
      <c r="Y295" s="3"/>
      <c r="Z295" s="3"/>
      <c r="AA295" s="3"/>
      <c r="AB295" s="3"/>
      <c r="AC295" s="3"/>
      <c r="AD295" s="3"/>
      <c r="AE295" s="3"/>
      <c r="AF295" s="5"/>
      <c r="AG295" s="3"/>
      <c r="AH295" s="3"/>
      <c r="AI295" s="5"/>
      <c r="AJ295" s="3"/>
      <c r="AK295" s="3"/>
      <c r="AL295" s="5"/>
      <c r="AM295" s="3"/>
      <c r="AN295" s="5"/>
    </row>
    <row r="296" spans="1:40" ht="15.75" customHeight="1" x14ac:dyDescent="0.2">
      <c r="A296" s="3"/>
      <c r="B296" s="3"/>
      <c r="C296" s="3"/>
      <c r="D296" s="4"/>
      <c r="E296" s="3"/>
      <c r="F296" s="5"/>
      <c r="G296" s="5"/>
      <c r="H296" s="5"/>
      <c r="I296" s="5"/>
      <c r="J296" s="5"/>
      <c r="K296" s="5"/>
      <c r="L296" s="5"/>
      <c r="M296" s="5"/>
      <c r="N296" s="5"/>
      <c r="O296" s="5"/>
      <c r="P296" s="22"/>
      <c r="Q296" s="3"/>
      <c r="R296" s="5"/>
      <c r="S296" s="3"/>
      <c r="T296" s="3"/>
      <c r="U296" s="3"/>
      <c r="V296" s="23"/>
      <c r="W296" s="24"/>
      <c r="X296" s="3"/>
      <c r="Y296" s="3"/>
      <c r="Z296" s="3"/>
      <c r="AA296" s="3"/>
      <c r="AB296" s="3"/>
      <c r="AC296" s="3"/>
      <c r="AD296" s="3"/>
      <c r="AE296" s="3"/>
      <c r="AF296" s="5"/>
      <c r="AG296" s="3"/>
      <c r="AH296" s="3"/>
      <c r="AI296" s="5"/>
      <c r="AJ296" s="3"/>
      <c r="AK296" s="3"/>
      <c r="AL296" s="5"/>
      <c r="AM296" s="3"/>
      <c r="AN296" s="5"/>
    </row>
    <row r="297" spans="1:40" ht="15.75" customHeight="1" x14ac:dyDescent="0.2">
      <c r="A297" s="3"/>
      <c r="B297" s="3"/>
      <c r="C297" s="3"/>
      <c r="D297" s="4"/>
      <c r="E297" s="3"/>
      <c r="F297" s="5"/>
      <c r="G297" s="5"/>
      <c r="H297" s="5"/>
      <c r="I297" s="5"/>
      <c r="J297" s="5"/>
      <c r="K297" s="5"/>
      <c r="L297" s="5"/>
      <c r="M297" s="5"/>
      <c r="N297" s="5"/>
      <c r="O297" s="5"/>
      <c r="P297" s="22"/>
      <c r="Q297" s="3"/>
      <c r="R297" s="5"/>
      <c r="S297" s="3"/>
      <c r="T297" s="3"/>
      <c r="U297" s="3"/>
      <c r="V297" s="23"/>
      <c r="W297" s="24"/>
      <c r="X297" s="3"/>
      <c r="Y297" s="3"/>
      <c r="Z297" s="3"/>
      <c r="AA297" s="3"/>
      <c r="AB297" s="3"/>
      <c r="AC297" s="3"/>
      <c r="AD297" s="3"/>
      <c r="AE297" s="3"/>
      <c r="AF297" s="5"/>
      <c r="AG297" s="3"/>
      <c r="AH297" s="3"/>
      <c r="AI297" s="5"/>
      <c r="AJ297" s="3"/>
      <c r="AK297" s="3"/>
      <c r="AL297" s="5"/>
      <c r="AM297" s="3"/>
      <c r="AN297" s="5"/>
    </row>
    <row r="298" spans="1:40" ht="15.75" customHeight="1" x14ac:dyDescent="0.2">
      <c r="A298" s="3"/>
      <c r="B298" s="3"/>
      <c r="C298" s="3"/>
      <c r="D298" s="4"/>
      <c r="E298" s="3"/>
      <c r="F298" s="5"/>
      <c r="G298" s="5"/>
      <c r="H298" s="5"/>
      <c r="I298" s="5"/>
      <c r="J298" s="5"/>
      <c r="K298" s="5"/>
      <c r="L298" s="5"/>
      <c r="M298" s="5"/>
      <c r="N298" s="5"/>
      <c r="O298" s="5"/>
      <c r="P298" s="22"/>
      <c r="Q298" s="3"/>
      <c r="R298" s="5"/>
      <c r="S298" s="3"/>
      <c r="T298" s="3"/>
      <c r="U298" s="3"/>
      <c r="V298" s="23"/>
      <c r="W298" s="24"/>
      <c r="X298" s="3"/>
      <c r="Y298" s="3"/>
      <c r="Z298" s="3"/>
      <c r="AA298" s="3"/>
      <c r="AB298" s="3"/>
      <c r="AC298" s="3"/>
      <c r="AD298" s="3"/>
      <c r="AE298" s="3"/>
      <c r="AF298" s="5"/>
      <c r="AG298" s="3"/>
      <c r="AH298" s="3"/>
      <c r="AI298" s="5"/>
      <c r="AJ298" s="3"/>
      <c r="AK298" s="3"/>
      <c r="AL298" s="5"/>
      <c r="AM298" s="3"/>
      <c r="AN298" s="5"/>
    </row>
    <row r="299" spans="1:40" ht="15.75" customHeight="1" x14ac:dyDescent="0.2">
      <c r="A299" s="3"/>
      <c r="B299" s="3"/>
      <c r="C299" s="3"/>
      <c r="D299" s="4"/>
      <c r="E299" s="3"/>
      <c r="F299" s="5"/>
      <c r="G299" s="5"/>
      <c r="H299" s="5"/>
      <c r="I299" s="5"/>
      <c r="J299" s="5"/>
      <c r="K299" s="5"/>
      <c r="L299" s="5"/>
      <c r="M299" s="5"/>
      <c r="N299" s="5"/>
      <c r="O299" s="5"/>
      <c r="P299" s="22"/>
      <c r="Q299" s="3"/>
      <c r="R299" s="5"/>
      <c r="S299" s="3"/>
      <c r="T299" s="3"/>
      <c r="U299" s="3"/>
      <c r="V299" s="23"/>
      <c r="W299" s="24"/>
      <c r="X299" s="3"/>
      <c r="Y299" s="3"/>
      <c r="Z299" s="3"/>
      <c r="AA299" s="3"/>
      <c r="AB299" s="3"/>
      <c r="AC299" s="3"/>
      <c r="AD299" s="3"/>
      <c r="AE299" s="3"/>
      <c r="AF299" s="5"/>
      <c r="AG299" s="3"/>
      <c r="AH299" s="3"/>
      <c r="AI299" s="5"/>
      <c r="AJ299" s="3"/>
      <c r="AK299" s="3"/>
      <c r="AL299" s="5"/>
      <c r="AM299" s="3"/>
      <c r="AN299" s="5"/>
    </row>
    <row r="300" spans="1:40" ht="15.75" customHeight="1" x14ac:dyDescent="0.2">
      <c r="A300" s="3"/>
      <c r="B300" s="3"/>
      <c r="C300" s="3"/>
      <c r="D300" s="4"/>
      <c r="E300" s="3"/>
      <c r="F300" s="5"/>
      <c r="G300" s="5"/>
      <c r="H300" s="5"/>
      <c r="I300" s="5"/>
      <c r="J300" s="5"/>
      <c r="K300" s="5"/>
      <c r="L300" s="5"/>
      <c r="M300" s="5"/>
      <c r="N300" s="5"/>
      <c r="O300" s="5"/>
      <c r="P300" s="22"/>
      <c r="Q300" s="3"/>
      <c r="R300" s="5"/>
      <c r="S300" s="3"/>
      <c r="T300" s="3"/>
      <c r="U300" s="3"/>
      <c r="V300" s="23"/>
      <c r="W300" s="24"/>
      <c r="X300" s="3"/>
      <c r="Y300" s="3"/>
      <c r="Z300" s="3"/>
      <c r="AA300" s="3"/>
      <c r="AB300" s="3"/>
      <c r="AC300" s="3"/>
      <c r="AD300" s="3"/>
      <c r="AE300" s="3"/>
      <c r="AF300" s="5"/>
      <c r="AG300" s="3"/>
      <c r="AH300" s="3"/>
      <c r="AI300" s="5"/>
      <c r="AJ300" s="3"/>
      <c r="AK300" s="3"/>
      <c r="AL300" s="5"/>
      <c r="AM300" s="3"/>
      <c r="AN300" s="5"/>
    </row>
    <row r="301" spans="1:40" ht="15.75" customHeight="1" x14ac:dyDescent="0.2">
      <c r="A301" s="3"/>
      <c r="B301" s="3"/>
      <c r="C301" s="3"/>
      <c r="D301" s="4"/>
      <c r="E301" s="3"/>
      <c r="F301" s="5"/>
      <c r="G301" s="5"/>
      <c r="H301" s="5"/>
      <c r="I301" s="5"/>
      <c r="J301" s="5"/>
      <c r="K301" s="5"/>
      <c r="L301" s="5"/>
      <c r="M301" s="5"/>
      <c r="N301" s="5"/>
      <c r="O301" s="5"/>
      <c r="P301" s="22"/>
      <c r="Q301" s="3"/>
      <c r="R301" s="5"/>
      <c r="S301" s="3"/>
      <c r="T301" s="3"/>
      <c r="U301" s="3"/>
      <c r="V301" s="23"/>
      <c r="W301" s="24"/>
      <c r="X301" s="3"/>
      <c r="Y301" s="3"/>
      <c r="Z301" s="3"/>
      <c r="AA301" s="3"/>
      <c r="AB301" s="3"/>
      <c r="AC301" s="3"/>
      <c r="AD301" s="3"/>
      <c r="AE301" s="3"/>
      <c r="AF301" s="5"/>
      <c r="AG301" s="3"/>
      <c r="AH301" s="3"/>
      <c r="AI301" s="5"/>
      <c r="AJ301" s="3"/>
      <c r="AK301" s="3"/>
      <c r="AL301" s="5"/>
      <c r="AM301" s="3"/>
      <c r="AN301" s="5"/>
    </row>
    <row r="302" spans="1:40" ht="15.75" customHeight="1" x14ac:dyDescent="0.2">
      <c r="A302" s="3"/>
      <c r="B302" s="3"/>
      <c r="C302" s="3"/>
      <c r="D302" s="4"/>
      <c r="E302" s="3"/>
      <c r="F302" s="5"/>
      <c r="G302" s="5"/>
      <c r="H302" s="5"/>
      <c r="I302" s="5"/>
      <c r="J302" s="5"/>
      <c r="K302" s="5"/>
      <c r="L302" s="5"/>
      <c r="M302" s="5"/>
      <c r="N302" s="5"/>
      <c r="O302" s="5"/>
      <c r="P302" s="22"/>
      <c r="Q302" s="3"/>
      <c r="R302" s="5"/>
      <c r="S302" s="3"/>
      <c r="T302" s="3"/>
      <c r="U302" s="3"/>
      <c r="V302" s="23"/>
      <c r="W302" s="24"/>
      <c r="X302" s="3"/>
      <c r="Y302" s="3"/>
      <c r="Z302" s="3"/>
      <c r="AA302" s="3"/>
      <c r="AB302" s="3"/>
      <c r="AC302" s="3"/>
      <c r="AD302" s="3"/>
      <c r="AE302" s="3"/>
      <c r="AF302" s="5"/>
      <c r="AG302" s="3"/>
      <c r="AH302" s="3"/>
      <c r="AI302" s="5"/>
      <c r="AJ302" s="3"/>
      <c r="AK302" s="3"/>
      <c r="AL302" s="5"/>
      <c r="AM302" s="3"/>
      <c r="AN302" s="5"/>
    </row>
    <row r="303" spans="1:40" ht="15.75" customHeight="1" x14ac:dyDescent="0.2">
      <c r="A303" s="3"/>
      <c r="B303" s="3"/>
      <c r="C303" s="3"/>
      <c r="D303" s="4"/>
      <c r="E303" s="3"/>
      <c r="F303" s="5"/>
      <c r="G303" s="5"/>
      <c r="H303" s="5"/>
      <c r="I303" s="5"/>
      <c r="J303" s="5"/>
      <c r="K303" s="5"/>
      <c r="L303" s="5"/>
      <c r="M303" s="5"/>
      <c r="N303" s="5"/>
      <c r="O303" s="5"/>
      <c r="P303" s="22"/>
      <c r="Q303" s="3"/>
      <c r="R303" s="5"/>
      <c r="S303" s="3"/>
      <c r="T303" s="3"/>
      <c r="U303" s="3"/>
      <c r="V303" s="23"/>
      <c r="W303" s="24"/>
      <c r="X303" s="3"/>
      <c r="Y303" s="3"/>
      <c r="Z303" s="3"/>
      <c r="AA303" s="3"/>
      <c r="AB303" s="3"/>
      <c r="AC303" s="3"/>
      <c r="AD303" s="3"/>
      <c r="AE303" s="3"/>
      <c r="AF303" s="5"/>
      <c r="AG303" s="3"/>
      <c r="AH303" s="3"/>
      <c r="AI303" s="5"/>
      <c r="AJ303" s="3"/>
      <c r="AK303" s="3"/>
      <c r="AL303" s="5"/>
      <c r="AM303" s="3"/>
      <c r="AN303" s="5"/>
    </row>
    <row r="304" spans="1:40" ht="15.75" customHeight="1" x14ac:dyDescent="0.2">
      <c r="A304" s="3"/>
      <c r="B304" s="3"/>
      <c r="C304" s="3"/>
      <c r="D304" s="4"/>
      <c r="E304" s="3"/>
      <c r="F304" s="5"/>
      <c r="G304" s="5"/>
      <c r="H304" s="5"/>
      <c r="I304" s="5"/>
      <c r="J304" s="5"/>
      <c r="K304" s="5"/>
      <c r="L304" s="5"/>
      <c r="M304" s="5"/>
      <c r="N304" s="5"/>
      <c r="O304" s="5"/>
      <c r="P304" s="22"/>
      <c r="Q304" s="3"/>
      <c r="R304" s="5"/>
      <c r="S304" s="3"/>
      <c r="T304" s="3"/>
      <c r="U304" s="3"/>
      <c r="V304" s="23"/>
      <c r="W304" s="24"/>
      <c r="X304" s="3"/>
      <c r="Y304" s="3"/>
      <c r="Z304" s="3"/>
      <c r="AA304" s="3"/>
      <c r="AB304" s="3"/>
      <c r="AC304" s="3"/>
      <c r="AD304" s="3"/>
      <c r="AE304" s="3"/>
      <c r="AF304" s="5"/>
      <c r="AG304" s="3"/>
      <c r="AH304" s="3"/>
      <c r="AI304" s="5"/>
      <c r="AJ304" s="3"/>
      <c r="AK304" s="3"/>
      <c r="AL304" s="5"/>
      <c r="AM304" s="3"/>
      <c r="AN304" s="5"/>
    </row>
    <row r="305" spans="1:40" ht="15.75" customHeight="1" x14ac:dyDescent="0.2">
      <c r="A305" s="3"/>
      <c r="B305" s="3"/>
      <c r="C305" s="3"/>
      <c r="D305" s="4"/>
      <c r="E305" s="3"/>
      <c r="F305" s="5"/>
      <c r="G305" s="5"/>
      <c r="H305" s="5"/>
      <c r="I305" s="5"/>
      <c r="J305" s="5"/>
      <c r="K305" s="5"/>
      <c r="L305" s="5"/>
      <c r="M305" s="5"/>
      <c r="N305" s="5"/>
      <c r="O305" s="5"/>
      <c r="P305" s="22"/>
      <c r="Q305" s="3"/>
      <c r="R305" s="5"/>
      <c r="S305" s="3"/>
      <c r="T305" s="3"/>
      <c r="U305" s="3"/>
      <c r="V305" s="23"/>
      <c r="W305" s="24"/>
      <c r="X305" s="3"/>
      <c r="Y305" s="3"/>
      <c r="Z305" s="3"/>
      <c r="AA305" s="3"/>
      <c r="AB305" s="3"/>
      <c r="AC305" s="3"/>
      <c r="AD305" s="3"/>
      <c r="AE305" s="3"/>
      <c r="AF305" s="5"/>
      <c r="AG305" s="3"/>
      <c r="AH305" s="3"/>
      <c r="AI305" s="5"/>
      <c r="AJ305" s="3"/>
      <c r="AK305" s="3"/>
      <c r="AL305" s="5"/>
      <c r="AM305" s="3"/>
      <c r="AN305" s="5"/>
    </row>
    <row r="306" spans="1:40" ht="15.75" customHeight="1" x14ac:dyDescent="0.2">
      <c r="A306" s="3"/>
      <c r="B306" s="3"/>
      <c r="C306" s="3"/>
      <c r="D306" s="4"/>
      <c r="E306" s="3"/>
      <c r="F306" s="5"/>
      <c r="G306" s="5"/>
      <c r="H306" s="5"/>
      <c r="I306" s="5"/>
      <c r="J306" s="5"/>
      <c r="K306" s="5"/>
      <c r="L306" s="5"/>
      <c r="M306" s="5"/>
      <c r="N306" s="5"/>
      <c r="O306" s="5"/>
      <c r="P306" s="22"/>
      <c r="Q306" s="3"/>
      <c r="R306" s="5"/>
      <c r="S306" s="3"/>
      <c r="T306" s="3"/>
      <c r="U306" s="3"/>
      <c r="V306" s="23"/>
      <c r="W306" s="24"/>
      <c r="X306" s="3"/>
      <c r="Y306" s="3"/>
      <c r="Z306" s="3"/>
      <c r="AA306" s="3"/>
      <c r="AB306" s="3"/>
      <c r="AC306" s="3"/>
      <c r="AD306" s="3"/>
      <c r="AE306" s="3"/>
      <c r="AF306" s="5"/>
      <c r="AG306" s="3"/>
      <c r="AH306" s="3"/>
      <c r="AI306" s="5"/>
      <c r="AJ306" s="3"/>
      <c r="AK306" s="3"/>
      <c r="AL306" s="5"/>
      <c r="AM306" s="3"/>
      <c r="AN306" s="5"/>
    </row>
    <row r="307" spans="1:40" ht="15.75" customHeight="1" x14ac:dyDescent="0.2">
      <c r="A307" s="3"/>
      <c r="B307" s="3"/>
      <c r="C307" s="3"/>
      <c r="D307" s="4"/>
      <c r="E307" s="3"/>
      <c r="F307" s="5"/>
      <c r="G307" s="5"/>
      <c r="H307" s="5"/>
      <c r="I307" s="5"/>
      <c r="J307" s="5"/>
      <c r="K307" s="5"/>
      <c r="L307" s="5"/>
      <c r="M307" s="5"/>
      <c r="N307" s="5"/>
      <c r="O307" s="5"/>
      <c r="P307" s="22"/>
      <c r="Q307" s="3"/>
      <c r="R307" s="5"/>
      <c r="S307" s="3"/>
      <c r="T307" s="3"/>
      <c r="U307" s="3"/>
      <c r="V307" s="23"/>
      <c r="W307" s="24"/>
      <c r="X307" s="3"/>
      <c r="Y307" s="3"/>
      <c r="Z307" s="3"/>
      <c r="AA307" s="3"/>
      <c r="AB307" s="3"/>
      <c r="AC307" s="3"/>
      <c r="AD307" s="3"/>
      <c r="AE307" s="3"/>
      <c r="AF307" s="5"/>
      <c r="AG307" s="3"/>
      <c r="AH307" s="3"/>
      <c r="AI307" s="5"/>
      <c r="AJ307" s="3"/>
      <c r="AK307" s="3"/>
      <c r="AL307" s="5"/>
      <c r="AM307" s="3"/>
      <c r="AN307" s="5"/>
    </row>
    <row r="308" spans="1:40" ht="15.75" customHeight="1" x14ac:dyDescent="0.2">
      <c r="A308" s="3"/>
      <c r="B308" s="3"/>
      <c r="C308" s="3"/>
      <c r="D308" s="4"/>
      <c r="E308" s="3"/>
      <c r="F308" s="5"/>
      <c r="G308" s="5"/>
      <c r="H308" s="5"/>
      <c r="I308" s="5"/>
      <c r="J308" s="5"/>
      <c r="K308" s="5"/>
      <c r="L308" s="5"/>
      <c r="M308" s="5"/>
      <c r="N308" s="5"/>
      <c r="O308" s="5"/>
      <c r="P308" s="22"/>
      <c r="Q308" s="3"/>
      <c r="R308" s="5"/>
      <c r="S308" s="3"/>
      <c r="T308" s="3"/>
      <c r="U308" s="3"/>
      <c r="V308" s="23"/>
      <c r="W308" s="24"/>
      <c r="X308" s="3"/>
      <c r="Y308" s="3"/>
      <c r="Z308" s="3"/>
      <c r="AA308" s="3"/>
      <c r="AB308" s="3"/>
      <c r="AC308" s="3"/>
      <c r="AD308" s="3"/>
      <c r="AE308" s="3"/>
      <c r="AF308" s="5"/>
      <c r="AG308" s="3"/>
      <c r="AH308" s="3"/>
      <c r="AI308" s="5"/>
      <c r="AJ308" s="3"/>
      <c r="AK308" s="3"/>
      <c r="AL308" s="5"/>
      <c r="AM308" s="3"/>
      <c r="AN308" s="5"/>
    </row>
    <row r="309" spans="1:40" ht="15.75" customHeight="1" x14ac:dyDescent="0.2">
      <c r="A309" s="3"/>
      <c r="B309" s="3"/>
      <c r="C309" s="3"/>
      <c r="D309" s="4"/>
      <c r="E309" s="3"/>
      <c r="F309" s="5"/>
      <c r="G309" s="5"/>
      <c r="H309" s="5"/>
      <c r="I309" s="5"/>
      <c r="J309" s="5"/>
      <c r="K309" s="5"/>
      <c r="L309" s="5"/>
      <c r="M309" s="5"/>
      <c r="N309" s="5"/>
      <c r="O309" s="5"/>
      <c r="P309" s="22"/>
      <c r="Q309" s="3"/>
      <c r="R309" s="5"/>
      <c r="S309" s="3"/>
      <c r="T309" s="3"/>
      <c r="U309" s="3"/>
      <c r="V309" s="23"/>
      <c r="W309" s="24"/>
      <c r="X309" s="3"/>
      <c r="Y309" s="3"/>
      <c r="Z309" s="3"/>
      <c r="AA309" s="3"/>
      <c r="AB309" s="3"/>
      <c r="AC309" s="3"/>
      <c r="AD309" s="3"/>
      <c r="AE309" s="3"/>
      <c r="AF309" s="5"/>
      <c r="AG309" s="3"/>
      <c r="AH309" s="3"/>
      <c r="AI309" s="5"/>
      <c r="AJ309" s="3"/>
      <c r="AK309" s="3"/>
      <c r="AL309" s="5"/>
      <c r="AM309" s="3"/>
      <c r="AN309" s="5"/>
    </row>
    <row r="310" spans="1:40" ht="15.75" customHeight="1" x14ac:dyDescent="0.2">
      <c r="A310" s="3"/>
      <c r="B310" s="3"/>
      <c r="C310" s="3"/>
      <c r="D310" s="4"/>
      <c r="E310" s="3"/>
      <c r="F310" s="5"/>
      <c r="G310" s="5"/>
      <c r="H310" s="5"/>
      <c r="I310" s="5"/>
      <c r="J310" s="5"/>
      <c r="K310" s="5"/>
      <c r="L310" s="5"/>
      <c r="M310" s="5"/>
      <c r="N310" s="5"/>
      <c r="O310" s="5"/>
      <c r="P310" s="22"/>
      <c r="Q310" s="3"/>
      <c r="R310" s="5"/>
      <c r="S310" s="3"/>
      <c r="T310" s="3"/>
      <c r="U310" s="3"/>
      <c r="V310" s="23"/>
      <c r="W310" s="24"/>
      <c r="X310" s="3"/>
      <c r="Y310" s="3"/>
      <c r="Z310" s="3"/>
      <c r="AA310" s="3"/>
      <c r="AB310" s="3"/>
      <c r="AC310" s="3"/>
      <c r="AD310" s="3"/>
      <c r="AE310" s="3"/>
      <c r="AF310" s="5"/>
      <c r="AG310" s="3"/>
      <c r="AH310" s="3"/>
      <c r="AI310" s="5"/>
      <c r="AJ310" s="3"/>
      <c r="AK310" s="3"/>
      <c r="AL310" s="5"/>
      <c r="AM310" s="3"/>
      <c r="AN310" s="5"/>
    </row>
    <row r="311" spans="1:40" ht="15.75" customHeight="1" x14ac:dyDescent="0.2">
      <c r="A311" s="3"/>
      <c r="B311" s="3"/>
      <c r="C311" s="3"/>
      <c r="D311" s="4"/>
      <c r="E311" s="3"/>
      <c r="F311" s="5"/>
      <c r="G311" s="5"/>
      <c r="H311" s="5"/>
      <c r="I311" s="5"/>
      <c r="J311" s="5"/>
      <c r="K311" s="5"/>
      <c r="L311" s="5"/>
      <c r="M311" s="5"/>
      <c r="N311" s="5"/>
      <c r="O311" s="5"/>
      <c r="P311" s="22"/>
      <c r="Q311" s="3"/>
      <c r="R311" s="5"/>
      <c r="S311" s="3"/>
      <c r="T311" s="3"/>
      <c r="U311" s="3"/>
      <c r="V311" s="23"/>
      <c r="W311" s="24"/>
      <c r="X311" s="3"/>
      <c r="Y311" s="3"/>
      <c r="Z311" s="3"/>
      <c r="AA311" s="3"/>
      <c r="AB311" s="3"/>
      <c r="AC311" s="3"/>
      <c r="AD311" s="3"/>
      <c r="AE311" s="3"/>
      <c r="AF311" s="5"/>
      <c r="AG311" s="3"/>
      <c r="AH311" s="3"/>
      <c r="AI311" s="5"/>
      <c r="AJ311" s="3"/>
      <c r="AK311" s="3"/>
      <c r="AL311" s="5"/>
      <c r="AM311" s="3"/>
      <c r="AN311" s="5"/>
    </row>
    <row r="312" spans="1:40" ht="15.75" customHeight="1" x14ac:dyDescent="0.2">
      <c r="A312" s="3"/>
      <c r="B312" s="3"/>
      <c r="C312" s="3"/>
      <c r="D312" s="4"/>
      <c r="E312" s="3"/>
      <c r="F312" s="5"/>
      <c r="G312" s="5"/>
      <c r="H312" s="5"/>
      <c r="I312" s="5"/>
      <c r="J312" s="5"/>
      <c r="K312" s="5"/>
      <c r="L312" s="5"/>
      <c r="M312" s="5"/>
      <c r="N312" s="5"/>
      <c r="O312" s="5"/>
      <c r="P312" s="22"/>
      <c r="Q312" s="3"/>
      <c r="R312" s="5"/>
      <c r="S312" s="3"/>
      <c r="T312" s="3"/>
      <c r="U312" s="3"/>
      <c r="V312" s="23"/>
      <c r="W312" s="24"/>
      <c r="X312" s="3"/>
      <c r="Y312" s="3"/>
      <c r="Z312" s="3"/>
      <c r="AA312" s="3"/>
      <c r="AB312" s="3"/>
      <c r="AC312" s="3"/>
      <c r="AD312" s="3"/>
      <c r="AE312" s="3"/>
      <c r="AF312" s="5"/>
      <c r="AG312" s="3"/>
      <c r="AH312" s="3"/>
      <c r="AI312" s="5"/>
      <c r="AJ312" s="3"/>
      <c r="AK312" s="3"/>
      <c r="AL312" s="5"/>
      <c r="AM312" s="3"/>
      <c r="AN312" s="5"/>
    </row>
    <row r="313" spans="1:40" ht="15.75" customHeight="1" x14ac:dyDescent="0.2">
      <c r="A313" s="3"/>
      <c r="B313" s="3"/>
      <c r="C313" s="3"/>
      <c r="D313" s="4"/>
      <c r="E313" s="3"/>
      <c r="F313" s="5"/>
      <c r="G313" s="5"/>
      <c r="H313" s="5"/>
      <c r="I313" s="5"/>
      <c r="J313" s="5"/>
      <c r="K313" s="5"/>
      <c r="L313" s="5"/>
      <c r="M313" s="5"/>
      <c r="N313" s="5"/>
      <c r="O313" s="5"/>
      <c r="P313" s="22"/>
      <c r="Q313" s="3"/>
      <c r="R313" s="5"/>
      <c r="S313" s="3"/>
      <c r="T313" s="3"/>
      <c r="U313" s="3"/>
      <c r="V313" s="23"/>
      <c r="W313" s="24"/>
      <c r="X313" s="3"/>
      <c r="Y313" s="3"/>
      <c r="Z313" s="3"/>
      <c r="AA313" s="3"/>
      <c r="AB313" s="3"/>
      <c r="AC313" s="3"/>
      <c r="AD313" s="3"/>
      <c r="AE313" s="3"/>
      <c r="AF313" s="5"/>
      <c r="AG313" s="3"/>
      <c r="AH313" s="3"/>
      <c r="AI313" s="5"/>
      <c r="AJ313" s="3"/>
      <c r="AK313" s="3"/>
      <c r="AL313" s="5"/>
      <c r="AM313" s="3"/>
      <c r="AN313" s="5"/>
    </row>
    <row r="314" spans="1:40" ht="15.75" customHeight="1" x14ac:dyDescent="0.2">
      <c r="A314" s="3"/>
      <c r="B314" s="3"/>
      <c r="C314" s="3"/>
      <c r="D314" s="4"/>
      <c r="E314" s="3"/>
      <c r="F314" s="5"/>
      <c r="G314" s="5"/>
      <c r="H314" s="5"/>
      <c r="I314" s="5"/>
      <c r="J314" s="5"/>
      <c r="K314" s="5"/>
      <c r="L314" s="5"/>
      <c r="M314" s="5"/>
      <c r="N314" s="5"/>
      <c r="O314" s="5"/>
      <c r="P314" s="22"/>
      <c r="Q314" s="3"/>
      <c r="R314" s="5"/>
      <c r="S314" s="3"/>
      <c r="T314" s="3"/>
      <c r="U314" s="3"/>
      <c r="V314" s="23"/>
      <c r="W314" s="24"/>
      <c r="X314" s="3"/>
      <c r="Y314" s="3"/>
      <c r="Z314" s="3"/>
      <c r="AA314" s="3"/>
      <c r="AB314" s="3"/>
      <c r="AC314" s="3"/>
      <c r="AD314" s="3"/>
      <c r="AE314" s="3"/>
      <c r="AF314" s="5"/>
      <c r="AG314" s="3"/>
      <c r="AH314" s="3"/>
      <c r="AI314" s="5"/>
      <c r="AJ314" s="3"/>
      <c r="AK314" s="3"/>
      <c r="AL314" s="5"/>
      <c r="AM314" s="3"/>
      <c r="AN314" s="5"/>
    </row>
    <row r="315" spans="1:40" ht="15.75" customHeight="1" x14ac:dyDescent="0.2">
      <c r="A315" s="3"/>
      <c r="B315" s="3"/>
      <c r="C315" s="3"/>
      <c r="D315" s="4"/>
      <c r="E315" s="3"/>
      <c r="F315" s="5"/>
      <c r="G315" s="5"/>
      <c r="H315" s="5"/>
      <c r="I315" s="5"/>
      <c r="J315" s="5"/>
      <c r="K315" s="5"/>
      <c r="L315" s="5"/>
      <c r="M315" s="5"/>
      <c r="N315" s="5"/>
      <c r="O315" s="5"/>
      <c r="P315" s="22"/>
      <c r="Q315" s="3"/>
      <c r="R315" s="5"/>
      <c r="S315" s="3"/>
      <c r="T315" s="3"/>
      <c r="U315" s="3"/>
      <c r="V315" s="23"/>
      <c r="W315" s="24"/>
      <c r="X315" s="3"/>
      <c r="Y315" s="3"/>
      <c r="Z315" s="3"/>
      <c r="AA315" s="3"/>
      <c r="AB315" s="3"/>
      <c r="AC315" s="3"/>
      <c r="AD315" s="3"/>
      <c r="AE315" s="3"/>
      <c r="AF315" s="5"/>
      <c r="AG315" s="3"/>
      <c r="AH315" s="3"/>
      <c r="AI315" s="5"/>
      <c r="AJ315" s="3"/>
      <c r="AK315" s="3"/>
      <c r="AL315" s="5"/>
      <c r="AM315" s="3"/>
      <c r="AN315" s="5"/>
    </row>
    <row r="316" spans="1:40" ht="15.75" customHeight="1" x14ac:dyDescent="0.2">
      <c r="A316" s="3"/>
      <c r="B316" s="3"/>
      <c r="C316" s="3"/>
      <c r="D316" s="4"/>
      <c r="E316" s="3"/>
      <c r="F316" s="5"/>
      <c r="G316" s="5"/>
      <c r="H316" s="5"/>
      <c r="I316" s="5"/>
      <c r="J316" s="5"/>
      <c r="K316" s="5"/>
      <c r="L316" s="5"/>
      <c r="M316" s="5"/>
      <c r="N316" s="5"/>
      <c r="O316" s="5"/>
      <c r="P316" s="22"/>
      <c r="Q316" s="3"/>
      <c r="R316" s="5"/>
      <c r="S316" s="3"/>
      <c r="T316" s="3"/>
      <c r="U316" s="3"/>
      <c r="V316" s="23"/>
      <c r="W316" s="24"/>
      <c r="X316" s="3"/>
      <c r="Y316" s="3"/>
      <c r="Z316" s="3"/>
      <c r="AA316" s="3"/>
      <c r="AB316" s="3"/>
      <c r="AC316" s="3"/>
      <c r="AD316" s="3"/>
      <c r="AE316" s="3"/>
      <c r="AF316" s="5"/>
      <c r="AG316" s="3"/>
      <c r="AH316" s="3"/>
      <c r="AI316" s="5"/>
      <c r="AJ316" s="3"/>
      <c r="AK316" s="3"/>
      <c r="AL316" s="5"/>
      <c r="AM316" s="3"/>
      <c r="AN316" s="5"/>
    </row>
    <row r="317" spans="1:40" ht="15.75" customHeight="1" x14ac:dyDescent="0.2">
      <c r="A317" s="3"/>
      <c r="B317" s="3"/>
      <c r="C317" s="3"/>
      <c r="D317" s="4"/>
      <c r="E317" s="3"/>
      <c r="F317" s="5"/>
      <c r="G317" s="5"/>
      <c r="H317" s="5"/>
      <c r="I317" s="5"/>
      <c r="J317" s="5"/>
      <c r="K317" s="5"/>
      <c r="L317" s="5"/>
      <c r="M317" s="5"/>
      <c r="N317" s="5"/>
      <c r="O317" s="5"/>
      <c r="P317" s="22"/>
      <c r="Q317" s="3"/>
      <c r="R317" s="5"/>
      <c r="S317" s="3"/>
      <c r="T317" s="3"/>
      <c r="U317" s="3"/>
      <c r="V317" s="23"/>
      <c r="W317" s="24"/>
      <c r="X317" s="3"/>
      <c r="Y317" s="3"/>
      <c r="Z317" s="3"/>
      <c r="AA317" s="3"/>
      <c r="AB317" s="3"/>
      <c r="AC317" s="3"/>
      <c r="AD317" s="3"/>
      <c r="AE317" s="3"/>
      <c r="AF317" s="5"/>
      <c r="AG317" s="3"/>
      <c r="AH317" s="3"/>
      <c r="AI317" s="5"/>
      <c r="AJ317" s="3"/>
      <c r="AK317" s="3"/>
      <c r="AL317" s="5"/>
      <c r="AM317" s="3"/>
      <c r="AN317" s="5"/>
    </row>
    <row r="318" spans="1:40" ht="15.75" customHeight="1" x14ac:dyDescent="0.2">
      <c r="A318" s="3"/>
      <c r="B318" s="3"/>
      <c r="C318" s="3"/>
      <c r="D318" s="4"/>
      <c r="E318" s="3"/>
      <c r="F318" s="5"/>
      <c r="G318" s="5"/>
      <c r="H318" s="5"/>
      <c r="I318" s="5"/>
      <c r="J318" s="5"/>
      <c r="K318" s="5"/>
      <c r="L318" s="5"/>
      <c r="M318" s="5"/>
      <c r="N318" s="5"/>
      <c r="O318" s="5"/>
      <c r="P318" s="22"/>
      <c r="Q318" s="3"/>
      <c r="R318" s="5"/>
      <c r="S318" s="3"/>
      <c r="T318" s="3"/>
      <c r="U318" s="3"/>
      <c r="V318" s="23"/>
      <c r="W318" s="24"/>
      <c r="X318" s="3"/>
      <c r="Y318" s="3"/>
      <c r="Z318" s="3"/>
      <c r="AA318" s="3"/>
      <c r="AB318" s="3"/>
      <c r="AC318" s="3"/>
      <c r="AD318" s="3"/>
      <c r="AE318" s="3"/>
      <c r="AF318" s="5"/>
      <c r="AG318" s="3"/>
      <c r="AH318" s="3"/>
      <c r="AI318" s="5"/>
      <c r="AJ318" s="3"/>
      <c r="AK318" s="3"/>
      <c r="AL318" s="5"/>
      <c r="AM318" s="3"/>
      <c r="AN318" s="5"/>
    </row>
    <row r="319" spans="1:40" ht="15.75" customHeight="1" x14ac:dyDescent="0.2">
      <c r="A319" s="3"/>
      <c r="B319" s="3"/>
      <c r="C319" s="3"/>
      <c r="D319" s="4"/>
      <c r="E319" s="3"/>
      <c r="F319" s="5"/>
      <c r="G319" s="5"/>
      <c r="H319" s="5"/>
      <c r="I319" s="5"/>
      <c r="J319" s="5"/>
      <c r="K319" s="5"/>
      <c r="L319" s="5"/>
      <c r="M319" s="5"/>
      <c r="N319" s="5"/>
      <c r="O319" s="5"/>
      <c r="P319" s="22"/>
      <c r="Q319" s="3"/>
      <c r="R319" s="5"/>
      <c r="S319" s="3"/>
      <c r="T319" s="3"/>
      <c r="U319" s="3"/>
      <c r="V319" s="23"/>
      <c r="W319" s="24"/>
      <c r="X319" s="3"/>
      <c r="Y319" s="3"/>
      <c r="Z319" s="3"/>
      <c r="AA319" s="3"/>
      <c r="AB319" s="3"/>
      <c r="AC319" s="3"/>
      <c r="AD319" s="3"/>
      <c r="AE319" s="3"/>
      <c r="AF319" s="5"/>
      <c r="AG319" s="3"/>
      <c r="AH319" s="3"/>
      <c r="AI319" s="5"/>
      <c r="AJ319" s="3"/>
      <c r="AK319" s="3"/>
      <c r="AL319" s="5"/>
      <c r="AM319" s="3"/>
      <c r="AN319" s="5"/>
    </row>
    <row r="320" spans="1:40" ht="15.75" customHeight="1" x14ac:dyDescent="0.2">
      <c r="A320" s="3"/>
      <c r="B320" s="3"/>
      <c r="C320" s="3"/>
      <c r="D320" s="4"/>
      <c r="E320" s="3"/>
      <c r="F320" s="5"/>
      <c r="G320" s="5"/>
      <c r="H320" s="5"/>
      <c r="I320" s="5"/>
      <c r="J320" s="5"/>
      <c r="K320" s="5"/>
      <c r="L320" s="5"/>
      <c r="M320" s="5"/>
      <c r="N320" s="5"/>
      <c r="O320" s="5"/>
      <c r="P320" s="22"/>
      <c r="Q320" s="3"/>
      <c r="R320" s="5"/>
      <c r="S320" s="3"/>
      <c r="T320" s="3"/>
      <c r="U320" s="3"/>
      <c r="V320" s="23"/>
      <c r="W320" s="24"/>
      <c r="X320" s="3"/>
      <c r="Y320" s="3"/>
      <c r="Z320" s="3"/>
      <c r="AA320" s="3"/>
      <c r="AB320" s="3"/>
      <c r="AC320" s="3"/>
      <c r="AD320" s="3"/>
      <c r="AE320" s="3"/>
      <c r="AF320" s="5"/>
      <c r="AG320" s="3"/>
      <c r="AH320" s="3"/>
      <c r="AI320" s="5"/>
      <c r="AJ320" s="3"/>
      <c r="AK320" s="3"/>
      <c r="AL320" s="5"/>
      <c r="AM320" s="3"/>
      <c r="AN320" s="5"/>
    </row>
    <row r="321" spans="1:40" ht="15.75" customHeight="1" x14ac:dyDescent="0.2">
      <c r="A321" s="3"/>
      <c r="B321" s="3"/>
      <c r="C321" s="3"/>
      <c r="D321" s="4"/>
      <c r="E321" s="3"/>
      <c r="F321" s="5"/>
      <c r="G321" s="5"/>
      <c r="H321" s="5"/>
      <c r="I321" s="5"/>
      <c r="J321" s="5"/>
      <c r="K321" s="5"/>
      <c r="L321" s="5"/>
      <c r="M321" s="5"/>
      <c r="N321" s="5"/>
      <c r="O321" s="5"/>
      <c r="P321" s="22"/>
      <c r="Q321" s="3"/>
      <c r="R321" s="5"/>
      <c r="S321" s="3"/>
      <c r="T321" s="3"/>
      <c r="U321" s="3"/>
      <c r="V321" s="23"/>
      <c r="W321" s="24"/>
      <c r="X321" s="3"/>
      <c r="Y321" s="3"/>
      <c r="Z321" s="3"/>
      <c r="AA321" s="3"/>
      <c r="AB321" s="3"/>
      <c r="AC321" s="3"/>
      <c r="AD321" s="3"/>
      <c r="AE321" s="3"/>
      <c r="AF321" s="5"/>
      <c r="AG321" s="3"/>
      <c r="AH321" s="3"/>
      <c r="AI321" s="5"/>
      <c r="AJ321" s="3"/>
      <c r="AK321" s="3"/>
      <c r="AL321" s="5"/>
      <c r="AM321" s="3"/>
      <c r="AN321" s="5"/>
    </row>
    <row r="322" spans="1:40" ht="15.75" customHeight="1" x14ac:dyDescent="0.2">
      <c r="A322" s="3"/>
      <c r="B322" s="3"/>
      <c r="C322" s="3"/>
      <c r="D322" s="4"/>
      <c r="E322" s="3"/>
      <c r="F322" s="5"/>
      <c r="G322" s="5"/>
      <c r="H322" s="5"/>
      <c r="I322" s="5"/>
      <c r="J322" s="5"/>
      <c r="K322" s="5"/>
      <c r="L322" s="5"/>
      <c r="M322" s="5"/>
      <c r="N322" s="5"/>
      <c r="O322" s="5"/>
      <c r="P322" s="22"/>
      <c r="Q322" s="3"/>
      <c r="R322" s="5"/>
      <c r="S322" s="3"/>
      <c r="T322" s="3"/>
      <c r="U322" s="3"/>
      <c r="V322" s="23"/>
      <c r="W322" s="24"/>
      <c r="X322" s="3"/>
      <c r="Y322" s="3"/>
      <c r="Z322" s="3"/>
      <c r="AA322" s="3"/>
      <c r="AB322" s="3"/>
      <c r="AC322" s="3"/>
      <c r="AD322" s="3"/>
      <c r="AE322" s="3"/>
      <c r="AF322" s="5"/>
      <c r="AG322" s="3"/>
      <c r="AH322" s="3"/>
      <c r="AI322" s="5"/>
      <c r="AJ322" s="3"/>
      <c r="AK322" s="3"/>
      <c r="AL322" s="5"/>
      <c r="AM322" s="3"/>
      <c r="AN322" s="5"/>
    </row>
    <row r="323" spans="1:40" ht="15.75" customHeight="1" x14ac:dyDescent="0.2">
      <c r="A323" s="3"/>
      <c r="B323" s="3"/>
      <c r="C323" s="3"/>
      <c r="D323" s="4"/>
      <c r="E323" s="3"/>
      <c r="F323" s="5"/>
      <c r="G323" s="5"/>
      <c r="H323" s="5"/>
      <c r="I323" s="5"/>
      <c r="J323" s="5"/>
      <c r="K323" s="5"/>
      <c r="L323" s="5"/>
      <c r="M323" s="5"/>
      <c r="N323" s="5"/>
      <c r="O323" s="5"/>
      <c r="P323" s="22"/>
      <c r="Q323" s="3"/>
      <c r="R323" s="5"/>
      <c r="S323" s="3"/>
      <c r="T323" s="3"/>
      <c r="U323" s="3"/>
      <c r="V323" s="23"/>
      <c r="W323" s="24"/>
      <c r="X323" s="3"/>
      <c r="Y323" s="3"/>
      <c r="Z323" s="3"/>
      <c r="AA323" s="3"/>
      <c r="AB323" s="3"/>
      <c r="AC323" s="3"/>
      <c r="AD323" s="3"/>
      <c r="AE323" s="3"/>
      <c r="AF323" s="5"/>
      <c r="AG323" s="3"/>
      <c r="AH323" s="3"/>
      <c r="AI323" s="5"/>
      <c r="AJ323" s="3"/>
      <c r="AK323" s="3"/>
      <c r="AL323" s="5"/>
      <c r="AM323" s="3"/>
      <c r="AN323" s="5"/>
    </row>
    <row r="324" spans="1:40" ht="15.75" customHeight="1" x14ac:dyDescent="0.2">
      <c r="A324" s="3"/>
      <c r="B324" s="3"/>
      <c r="C324" s="3"/>
      <c r="D324" s="4"/>
      <c r="E324" s="3"/>
      <c r="F324" s="5"/>
      <c r="G324" s="5"/>
      <c r="H324" s="5"/>
      <c r="I324" s="5"/>
      <c r="J324" s="5"/>
      <c r="K324" s="5"/>
      <c r="L324" s="5"/>
      <c r="M324" s="5"/>
      <c r="N324" s="5"/>
      <c r="O324" s="5"/>
      <c r="P324" s="22"/>
      <c r="Q324" s="3"/>
      <c r="R324" s="5"/>
      <c r="S324" s="3"/>
      <c r="T324" s="3"/>
      <c r="U324" s="3"/>
      <c r="V324" s="23"/>
      <c r="W324" s="24"/>
      <c r="X324" s="3"/>
      <c r="Y324" s="3"/>
      <c r="Z324" s="3"/>
      <c r="AA324" s="3"/>
      <c r="AB324" s="3"/>
      <c r="AC324" s="3"/>
      <c r="AD324" s="3"/>
      <c r="AE324" s="3"/>
      <c r="AF324" s="5"/>
      <c r="AG324" s="3"/>
      <c r="AH324" s="3"/>
      <c r="AI324" s="5"/>
      <c r="AJ324" s="3"/>
      <c r="AK324" s="3"/>
      <c r="AL324" s="5"/>
      <c r="AM324" s="3"/>
      <c r="AN324" s="5"/>
    </row>
    <row r="325" spans="1:40" ht="15.75" customHeight="1" x14ac:dyDescent="0.2">
      <c r="A325" s="3"/>
      <c r="B325" s="3"/>
      <c r="C325" s="3"/>
      <c r="D325" s="4"/>
      <c r="E325" s="3"/>
      <c r="F325" s="5"/>
      <c r="G325" s="5"/>
      <c r="H325" s="5"/>
      <c r="I325" s="5"/>
      <c r="J325" s="5"/>
      <c r="K325" s="5"/>
      <c r="L325" s="5"/>
      <c r="M325" s="5"/>
      <c r="N325" s="5"/>
      <c r="O325" s="5"/>
      <c r="P325" s="22"/>
      <c r="Q325" s="3"/>
      <c r="R325" s="5"/>
      <c r="S325" s="3"/>
      <c r="T325" s="3"/>
      <c r="U325" s="3"/>
      <c r="V325" s="23"/>
      <c r="W325" s="24"/>
      <c r="X325" s="3"/>
      <c r="Y325" s="3"/>
      <c r="Z325" s="3"/>
      <c r="AA325" s="3"/>
      <c r="AB325" s="3"/>
      <c r="AC325" s="3"/>
      <c r="AD325" s="3"/>
      <c r="AE325" s="3"/>
      <c r="AF325" s="5"/>
      <c r="AG325" s="3"/>
      <c r="AH325" s="3"/>
      <c r="AI325" s="5"/>
      <c r="AJ325" s="3"/>
      <c r="AK325" s="3"/>
      <c r="AL325" s="5"/>
      <c r="AM325" s="3"/>
      <c r="AN325" s="5"/>
    </row>
    <row r="326" spans="1:40" ht="15.75" customHeight="1" x14ac:dyDescent="0.2">
      <c r="A326" s="3"/>
      <c r="B326" s="3"/>
      <c r="C326" s="3"/>
      <c r="D326" s="4"/>
      <c r="E326" s="3"/>
      <c r="F326" s="5"/>
      <c r="G326" s="5"/>
      <c r="H326" s="5"/>
      <c r="I326" s="5"/>
      <c r="J326" s="5"/>
      <c r="K326" s="5"/>
      <c r="L326" s="5"/>
      <c r="M326" s="5"/>
      <c r="N326" s="5"/>
      <c r="O326" s="5"/>
      <c r="P326" s="22"/>
      <c r="Q326" s="3"/>
      <c r="R326" s="5"/>
      <c r="S326" s="3"/>
      <c r="T326" s="3"/>
      <c r="U326" s="3"/>
      <c r="V326" s="23"/>
      <c r="W326" s="24"/>
      <c r="X326" s="3"/>
      <c r="Y326" s="3"/>
      <c r="Z326" s="3"/>
      <c r="AA326" s="3"/>
      <c r="AB326" s="3"/>
      <c r="AC326" s="3"/>
      <c r="AD326" s="3"/>
      <c r="AE326" s="3"/>
      <c r="AF326" s="5"/>
      <c r="AG326" s="3"/>
      <c r="AH326" s="3"/>
      <c r="AI326" s="5"/>
      <c r="AJ326" s="3"/>
      <c r="AK326" s="3"/>
      <c r="AL326" s="5"/>
      <c r="AM326" s="3"/>
      <c r="AN326" s="5"/>
    </row>
    <row r="327" spans="1:40" ht="15.75" customHeight="1" x14ac:dyDescent="0.2">
      <c r="A327" s="3"/>
      <c r="B327" s="3"/>
      <c r="C327" s="3"/>
      <c r="D327" s="4"/>
      <c r="E327" s="3"/>
      <c r="F327" s="5"/>
      <c r="G327" s="5"/>
      <c r="H327" s="5"/>
      <c r="I327" s="5"/>
      <c r="J327" s="5"/>
      <c r="K327" s="5"/>
      <c r="L327" s="5"/>
      <c r="M327" s="5"/>
      <c r="N327" s="5"/>
      <c r="O327" s="5"/>
      <c r="P327" s="22"/>
      <c r="Q327" s="3"/>
      <c r="R327" s="5"/>
      <c r="S327" s="3"/>
      <c r="T327" s="3"/>
      <c r="U327" s="3"/>
      <c r="V327" s="23"/>
      <c r="W327" s="24"/>
      <c r="X327" s="3"/>
      <c r="Y327" s="3"/>
      <c r="Z327" s="3"/>
      <c r="AA327" s="3"/>
      <c r="AB327" s="3"/>
      <c r="AC327" s="3"/>
      <c r="AD327" s="3"/>
      <c r="AE327" s="3"/>
      <c r="AF327" s="5"/>
      <c r="AG327" s="3"/>
      <c r="AH327" s="3"/>
      <c r="AI327" s="5"/>
      <c r="AJ327" s="3"/>
      <c r="AK327" s="3"/>
      <c r="AL327" s="5"/>
      <c r="AM327" s="3"/>
      <c r="AN327" s="5"/>
    </row>
    <row r="328" spans="1:40" ht="15.75" customHeight="1" x14ac:dyDescent="0.2">
      <c r="A328" s="3"/>
      <c r="B328" s="3"/>
      <c r="C328" s="3"/>
      <c r="D328" s="4"/>
      <c r="E328" s="3"/>
      <c r="F328" s="5"/>
      <c r="G328" s="5"/>
      <c r="H328" s="5"/>
      <c r="I328" s="5"/>
      <c r="J328" s="5"/>
      <c r="K328" s="5"/>
      <c r="L328" s="5"/>
      <c r="M328" s="5"/>
      <c r="N328" s="5"/>
      <c r="O328" s="5"/>
      <c r="P328" s="22"/>
      <c r="Q328" s="3"/>
      <c r="R328" s="5"/>
      <c r="S328" s="3"/>
      <c r="T328" s="3"/>
      <c r="U328" s="3"/>
      <c r="V328" s="23"/>
      <c r="W328" s="24"/>
      <c r="X328" s="3"/>
      <c r="Y328" s="3"/>
      <c r="Z328" s="3"/>
      <c r="AA328" s="3"/>
      <c r="AB328" s="3"/>
      <c r="AC328" s="3"/>
      <c r="AD328" s="3"/>
      <c r="AE328" s="3"/>
      <c r="AF328" s="5"/>
      <c r="AG328" s="3"/>
      <c r="AH328" s="3"/>
      <c r="AI328" s="5"/>
      <c r="AJ328" s="3"/>
      <c r="AK328" s="3"/>
      <c r="AL328" s="5"/>
      <c r="AM328" s="3"/>
      <c r="AN328" s="5"/>
    </row>
    <row r="329" spans="1:40" ht="15.75" customHeight="1" x14ac:dyDescent="0.2">
      <c r="A329" s="3"/>
      <c r="B329" s="3"/>
      <c r="C329" s="3"/>
      <c r="D329" s="4"/>
      <c r="E329" s="3"/>
      <c r="F329" s="5"/>
      <c r="G329" s="5"/>
      <c r="H329" s="5"/>
      <c r="I329" s="5"/>
      <c r="J329" s="5"/>
      <c r="K329" s="5"/>
      <c r="L329" s="5"/>
      <c r="M329" s="5"/>
      <c r="N329" s="5"/>
      <c r="O329" s="5"/>
      <c r="P329" s="22"/>
      <c r="Q329" s="3"/>
      <c r="R329" s="5"/>
      <c r="S329" s="3"/>
      <c r="T329" s="3"/>
      <c r="U329" s="3"/>
      <c r="V329" s="23"/>
      <c r="W329" s="24"/>
      <c r="X329" s="3"/>
      <c r="Y329" s="3"/>
      <c r="Z329" s="3"/>
      <c r="AA329" s="3"/>
      <c r="AB329" s="3"/>
      <c r="AC329" s="3"/>
      <c r="AD329" s="3"/>
      <c r="AE329" s="3"/>
      <c r="AF329" s="5"/>
      <c r="AG329" s="3"/>
      <c r="AH329" s="3"/>
      <c r="AI329" s="5"/>
      <c r="AJ329" s="3"/>
      <c r="AK329" s="3"/>
      <c r="AL329" s="5"/>
      <c r="AM329" s="3"/>
      <c r="AN329" s="5"/>
    </row>
    <row r="330" spans="1:40" ht="15.75" customHeight="1" x14ac:dyDescent="0.2">
      <c r="A330" s="3"/>
      <c r="B330" s="3"/>
      <c r="C330" s="3"/>
      <c r="D330" s="4"/>
      <c r="E330" s="3"/>
      <c r="F330" s="5"/>
      <c r="G330" s="5"/>
      <c r="H330" s="5"/>
      <c r="I330" s="5"/>
      <c r="J330" s="5"/>
      <c r="K330" s="5"/>
      <c r="L330" s="5"/>
      <c r="M330" s="5"/>
      <c r="N330" s="5"/>
      <c r="O330" s="5"/>
      <c r="P330" s="22"/>
      <c r="Q330" s="3"/>
      <c r="R330" s="5"/>
      <c r="S330" s="3"/>
      <c r="T330" s="3"/>
      <c r="U330" s="3"/>
      <c r="V330" s="23"/>
      <c r="W330" s="24"/>
      <c r="X330" s="3"/>
      <c r="Y330" s="3"/>
      <c r="Z330" s="3"/>
      <c r="AA330" s="3"/>
      <c r="AB330" s="3"/>
      <c r="AC330" s="3"/>
      <c r="AD330" s="3"/>
      <c r="AE330" s="3"/>
      <c r="AF330" s="5"/>
      <c r="AG330" s="3"/>
      <c r="AH330" s="3"/>
      <c r="AI330" s="5"/>
      <c r="AJ330" s="3"/>
      <c r="AK330" s="3"/>
      <c r="AL330" s="5"/>
      <c r="AM330" s="3"/>
      <c r="AN330" s="5"/>
    </row>
    <row r="331" spans="1:40" ht="15.75" customHeight="1" x14ac:dyDescent="0.2">
      <c r="A331" s="3"/>
      <c r="B331" s="3"/>
      <c r="C331" s="3"/>
      <c r="D331" s="4"/>
      <c r="E331" s="3"/>
      <c r="F331" s="5"/>
      <c r="G331" s="5"/>
      <c r="H331" s="5"/>
      <c r="I331" s="5"/>
      <c r="J331" s="5"/>
      <c r="K331" s="5"/>
      <c r="L331" s="5"/>
      <c r="M331" s="5"/>
      <c r="N331" s="5"/>
      <c r="O331" s="5"/>
      <c r="P331" s="22"/>
      <c r="Q331" s="3"/>
      <c r="R331" s="5"/>
      <c r="S331" s="3"/>
      <c r="T331" s="3"/>
      <c r="U331" s="3"/>
      <c r="V331" s="23"/>
      <c r="W331" s="24"/>
      <c r="X331" s="3"/>
      <c r="Y331" s="3"/>
      <c r="Z331" s="3"/>
      <c r="AA331" s="3"/>
      <c r="AB331" s="3"/>
      <c r="AC331" s="3"/>
      <c r="AD331" s="3"/>
      <c r="AE331" s="3"/>
      <c r="AF331" s="5"/>
      <c r="AG331" s="3"/>
      <c r="AH331" s="3"/>
      <c r="AI331" s="5"/>
      <c r="AJ331" s="3"/>
      <c r="AK331" s="3"/>
      <c r="AL331" s="5"/>
      <c r="AM331" s="3"/>
      <c r="AN331" s="5"/>
    </row>
    <row r="332" spans="1:40" ht="15.75" customHeight="1" x14ac:dyDescent="0.2">
      <c r="A332" s="3"/>
      <c r="B332" s="3"/>
      <c r="C332" s="3"/>
      <c r="D332" s="4"/>
      <c r="E332" s="3"/>
      <c r="F332" s="5"/>
      <c r="G332" s="5"/>
      <c r="H332" s="5"/>
      <c r="I332" s="5"/>
      <c r="J332" s="5"/>
      <c r="K332" s="5"/>
      <c r="L332" s="5"/>
      <c r="M332" s="5"/>
      <c r="N332" s="5"/>
      <c r="O332" s="5"/>
      <c r="P332" s="22"/>
      <c r="Q332" s="3"/>
      <c r="R332" s="5"/>
      <c r="S332" s="3"/>
      <c r="T332" s="3"/>
      <c r="U332" s="3"/>
      <c r="V332" s="23"/>
      <c r="W332" s="24"/>
      <c r="X332" s="3"/>
      <c r="Y332" s="3"/>
      <c r="Z332" s="3"/>
      <c r="AA332" s="3"/>
      <c r="AB332" s="3"/>
      <c r="AC332" s="3"/>
      <c r="AD332" s="3"/>
      <c r="AE332" s="3"/>
      <c r="AF332" s="5"/>
      <c r="AG332" s="3"/>
      <c r="AH332" s="3"/>
      <c r="AI332" s="5"/>
      <c r="AJ332" s="3"/>
      <c r="AK332" s="3"/>
      <c r="AL332" s="5"/>
      <c r="AM332" s="3"/>
      <c r="AN332" s="5"/>
    </row>
    <row r="333" spans="1:40" ht="15.75" customHeight="1" x14ac:dyDescent="0.2">
      <c r="A333" s="3"/>
      <c r="B333" s="3"/>
      <c r="C333" s="3"/>
      <c r="D333" s="4"/>
      <c r="E333" s="3"/>
      <c r="F333" s="5"/>
      <c r="G333" s="5"/>
      <c r="H333" s="5"/>
      <c r="I333" s="5"/>
      <c r="J333" s="5"/>
      <c r="K333" s="5"/>
      <c r="L333" s="5"/>
      <c r="M333" s="5"/>
      <c r="N333" s="5"/>
      <c r="O333" s="5"/>
      <c r="P333" s="22"/>
      <c r="Q333" s="3"/>
      <c r="R333" s="5"/>
      <c r="S333" s="3"/>
      <c r="T333" s="3"/>
      <c r="U333" s="3"/>
      <c r="V333" s="23"/>
      <c r="W333" s="24"/>
      <c r="X333" s="3"/>
      <c r="Y333" s="3"/>
      <c r="Z333" s="3"/>
      <c r="AA333" s="3"/>
      <c r="AB333" s="3"/>
      <c r="AC333" s="3"/>
      <c r="AD333" s="3"/>
      <c r="AE333" s="3"/>
      <c r="AF333" s="5"/>
      <c r="AG333" s="3"/>
      <c r="AH333" s="3"/>
      <c r="AI333" s="5"/>
      <c r="AJ333" s="3"/>
      <c r="AK333" s="3"/>
      <c r="AL333" s="5"/>
      <c r="AM333" s="3"/>
      <c r="AN333" s="5"/>
    </row>
    <row r="334" spans="1:40" ht="15.75" customHeight="1" x14ac:dyDescent="0.2">
      <c r="A334" s="3"/>
      <c r="B334" s="3"/>
      <c r="C334" s="3"/>
      <c r="D334" s="4"/>
      <c r="E334" s="3"/>
      <c r="F334" s="5"/>
      <c r="G334" s="5"/>
      <c r="H334" s="5"/>
      <c r="I334" s="5"/>
      <c r="J334" s="5"/>
      <c r="K334" s="5"/>
      <c r="L334" s="5"/>
      <c r="M334" s="5"/>
      <c r="N334" s="5"/>
      <c r="O334" s="5"/>
      <c r="P334" s="22"/>
      <c r="Q334" s="3"/>
      <c r="R334" s="5"/>
      <c r="S334" s="3"/>
      <c r="T334" s="3"/>
      <c r="U334" s="3"/>
      <c r="V334" s="23"/>
      <c r="W334" s="24"/>
      <c r="X334" s="3"/>
      <c r="Y334" s="3"/>
      <c r="Z334" s="3"/>
      <c r="AA334" s="3"/>
      <c r="AB334" s="3"/>
      <c r="AC334" s="3"/>
      <c r="AD334" s="3"/>
      <c r="AE334" s="3"/>
      <c r="AF334" s="5"/>
      <c r="AG334" s="3"/>
      <c r="AH334" s="3"/>
      <c r="AI334" s="5"/>
      <c r="AJ334" s="3"/>
      <c r="AK334" s="3"/>
      <c r="AL334" s="5"/>
      <c r="AM334" s="3"/>
      <c r="AN334" s="5"/>
    </row>
    <row r="335" spans="1:40" ht="15.75" customHeight="1" x14ac:dyDescent="0.2">
      <c r="A335" s="3"/>
      <c r="B335" s="3"/>
      <c r="C335" s="3"/>
      <c r="D335" s="4"/>
      <c r="E335" s="3"/>
      <c r="F335" s="5"/>
      <c r="G335" s="5"/>
      <c r="H335" s="5"/>
      <c r="I335" s="5"/>
      <c r="J335" s="5"/>
      <c r="K335" s="5"/>
      <c r="L335" s="5"/>
      <c r="M335" s="5"/>
      <c r="N335" s="5"/>
      <c r="O335" s="5"/>
      <c r="P335" s="22"/>
      <c r="Q335" s="3"/>
      <c r="R335" s="5"/>
      <c r="S335" s="3"/>
      <c r="T335" s="3"/>
      <c r="U335" s="3"/>
      <c r="V335" s="23"/>
      <c r="W335" s="24"/>
      <c r="X335" s="3"/>
      <c r="Y335" s="3"/>
      <c r="Z335" s="3"/>
      <c r="AA335" s="3"/>
      <c r="AB335" s="3"/>
      <c r="AC335" s="3"/>
      <c r="AD335" s="3"/>
      <c r="AE335" s="3"/>
      <c r="AF335" s="5"/>
      <c r="AG335" s="3"/>
      <c r="AH335" s="3"/>
      <c r="AI335" s="5"/>
      <c r="AJ335" s="3"/>
      <c r="AK335" s="3"/>
      <c r="AL335" s="5"/>
      <c r="AM335" s="3"/>
      <c r="AN335" s="5"/>
    </row>
    <row r="336" spans="1:40" ht="15.75" customHeight="1" x14ac:dyDescent="0.2">
      <c r="A336" s="3"/>
      <c r="B336" s="3"/>
      <c r="C336" s="3"/>
      <c r="D336" s="4"/>
      <c r="E336" s="3"/>
      <c r="F336" s="5"/>
      <c r="G336" s="5"/>
      <c r="H336" s="5"/>
      <c r="I336" s="5"/>
      <c r="J336" s="5"/>
      <c r="K336" s="5"/>
      <c r="L336" s="5"/>
      <c r="M336" s="5"/>
      <c r="N336" s="5"/>
      <c r="O336" s="5"/>
      <c r="P336" s="22"/>
      <c r="Q336" s="3"/>
      <c r="R336" s="5"/>
      <c r="S336" s="3"/>
      <c r="T336" s="3"/>
      <c r="U336" s="3"/>
      <c r="V336" s="23"/>
      <c r="W336" s="24"/>
      <c r="X336" s="3"/>
      <c r="Y336" s="3"/>
      <c r="Z336" s="3"/>
      <c r="AA336" s="3"/>
      <c r="AB336" s="3"/>
      <c r="AC336" s="3"/>
      <c r="AD336" s="3"/>
      <c r="AE336" s="3"/>
      <c r="AF336" s="5"/>
      <c r="AG336" s="3"/>
      <c r="AH336" s="3"/>
      <c r="AI336" s="5"/>
      <c r="AJ336" s="3"/>
      <c r="AK336" s="3"/>
      <c r="AL336" s="5"/>
      <c r="AM336" s="3"/>
      <c r="AN336" s="5"/>
    </row>
    <row r="337" spans="1:40" ht="15.75" customHeight="1" x14ac:dyDescent="0.2">
      <c r="A337" s="3"/>
      <c r="B337" s="3"/>
      <c r="C337" s="3"/>
      <c r="D337" s="4"/>
      <c r="E337" s="3"/>
      <c r="F337" s="5"/>
      <c r="G337" s="5"/>
      <c r="H337" s="5"/>
      <c r="I337" s="5"/>
      <c r="J337" s="5"/>
      <c r="K337" s="5"/>
      <c r="L337" s="5"/>
      <c r="M337" s="5"/>
      <c r="N337" s="5"/>
      <c r="O337" s="5"/>
      <c r="P337" s="22"/>
      <c r="Q337" s="3"/>
      <c r="R337" s="5"/>
      <c r="S337" s="3"/>
      <c r="T337" s="3"/>
      <c r="U337" s="3"/>
      <c r="V337" s="23"/>
      <c r="W337" s="24"/>
      <c r="X337" s="3"/>
      <c r="Y337" s="3"/>
      <c r="Z337" s="3"/>
      <c r="AA337" s="3"/>
      <c r="AB337" s="3"/>
      <c r="AC337" s="3"/>
      <c r="AD337" s="3"/>
      <c r="AE337" s="3"/>
      <c r="AF337" s="5"/>
      <c r="AG337" s="3"/>
      <c r="AH337" s="3"/>
      <c r="AI337" s="5"/>
      <c r="AJ337" s="3"/>
      <c r="AK337" s="3"/>
      <c r="AL337" s="5"/>
      <c r="AM337" s="3"/>
      <c r="AN337" s="5"/>
    </row>
    <row r="338" spans="1:40" ht="15.75" customHeight="1" x14ac:dyDescent="0.2">
      <c r="A338" s="3"/>
      <c r="B338" s="3"/>
      <c r="C338" s="3"/>
      <c r="D338" s="4"/>
      <c r="E338" s="3"/>
      <c r="F338" s="5"/>
      <c r="G338" s="5"/>
      <c r="H338" s="5"/>
      <c r="I338" s="5"/>
      <c r="J338" s="5"/>
      <c r="K338" s="5"/>
      <c r="L338" s="5"/>
      <c r="M338" s="5"/>
      <c r="N338" s="5"/>
      <c r="O338" s="5"/>
      <c r="P338" s="22"/>
      <c r="Q338" s="3"/>
      <c r="R338" s="5"/>
      <c r="S338" s="3"/>
      <c r="T338" s="3"/>
      <c r="U338" s="3"/>
      <c r="V338" s="23"/>
      <c r="W338" s="24"/>
      <c r="X338" s="3"/>
      <c r="Y338" s="3"/>
      <c r="Z338" s="3"/>
      <c r="AA338" s="3"/>
      <c r="AB338" s="3"/>
      <c r="AC338" s="3"/>
      <c r="AD338" s="3"/>
      <c r="AE338" s="3"/>
      <c r="AF338" s="5"/>
      <c r="AG338" s="3"/>
      <c r="AH338" s="3"/>
      <c r="AI338" s="5"/>
      <c r="AJ338" s="3"/>
      <c r="AK338" s="3"/>
      <c r="AL338" s="5"/>
      <c r="AM338" s="3"/>
      <c r="AN338" s="5"/>
    </row>
    <row r="339" spans="1:40" ht="15.75" customHeight="1" x14ac:dyDescent="0.2">
      <c r="A339" s="3"/>
      <c r="B339" s="3"/>
      <c r="C339" s="3"/>
      <c r="D339" s="4"/>
      <c r="E339" s="3"/>
      <c r="F339" s="5"/>
      <c r="G339" s="5"/>
      <c r="H339" s="5"/>
      <c r="I339" s="5"/>
      <c r="J339" s="5"/>
      <c r="K339" s="5"/>
      <c r="L339" s="5"/>
      <c r="M339" s="5"/>
      <c r="N339" s="5"/>
      <c r="O339" s="5"/>
      <c r="P339" s="22"/>
      <c r="Q339" s="3"/>
      <c r="R339" s="5"/>
      <c r="S339" s="3"/>
      <c r="T339" s="3"/>
      <c r="U339" s="3"/>
      <c r="V339" s="23"/>
      <c r="W339" s="24"/>
      <c r="X339" s="3"/>
      <c r="Y339" s="3"/>
      <c r="Z339" s="3"/>
      <c r="AA339" s="3"/>
      <c r="AB339" s="3"/>
      <c r="AC339" s="3"/>
      <c r="AD339" s="3"/>
      <c r="AE339" s="3"/>
      <c r="AF339" s="5"/>
      <c r="AG339" s="3"/>
      <c r="AH339" s="3"/>
      <c r="AI339" s="5"/>
      <c r="AJ339" s="3"/>
      <c r="AK339" s="3"/>
      <c r="AL339" s="5"/>
      <c r="AM339" s="3"/>
      <c r="AN339" s="5"/>
    </row>
    <row r="340" spans="1:40" ht="15.75" customHeight="1" x14ac:dyDescent="0.2">
      <c r="A340" s="3"/>
      <c r="B340" s="3"/>
      <c r="C340" s="3"/>
      <c r="D340" s="4"/>
      <c r="E340" s="3"/>
      <c r="F340" s="5"/>
      <c r="G340" s="5"/>
      <c r="H340" s="5"/>
      <c r="I340" s="5"/>
      <c r="J340" s="5"/>
      <c r="K340" s="5"/>
      <c r="L340" s="5"/>
      <c r="M340" s="5"/>
      <c r="N340" s="5"/>
      <c r="O340" s="5"/>
      <c r="P340" s="22"/>
      <c r="Q340" s="3"/>
      <c r="R340" s="5"/>
      <c r="S340" s="3"/>
      <c r="T340" s="3"/>
      <c r="U340" s="3"/>
      <c r="V340" s="23"/>
      <c r="W340" s="24"/>
      <c r="X340" s="3"/>
      <c r="Y340" s="3"/>
      <c r="Z340" s="3"/>
      <c r="AA340" s="3"/>
      <c r="AB340" s="3"/>
      <c r="AC340" s="3"/>
      <c r="AD340" s="3"/>
      <c r="AE340" s="3"/>
      <c r="AF340" s="5"/>
      <c r="AG340" s="3"/>
      <c r="AH340" s="3"/>
      <c r="AI340" s="5"/>
      <c r="AJ340" s="3"/>
      <c r="AK340" s="3"/>
      <c r="AL340" s="5"/>
      <c r="AM340" s="3"/>
      <c r="AN340" s="5"/>
    </row>
    <row r="341" spans="1:40" ht="15.75" customHeight="1" x14ac:dyDescent="0.2">
      <c r="A341" s="3"/>
      <c r="B341" s="3"/>
      <c r="C341" s="3"/>
      <c r="D341" s="4"/>
      <c r="E341" s="3"/>
      <c r="F341" s="5"/>
      <c r="G341" s="5"/>
      <c r="H341" s="5"/>
      <c r="I341" s="5"/>
      <c r="J341" s="5"/>
      <c r="K341" s="5"/>
      <c r="L341" s="5"/>
      <c r="M341" s="5"/>
      <c r="N341" s="5"/>
      <c r="O341" s="5"/>
      <c r="P341" s="22"/>
      <c r="Q341" s="3"/>
      <c r="R341" s="5"/>
      <c r="S341" s="3"/>
      <c r="T341" s="3"/>
      <c r="U341" s="3"/>
      <c r="V341" s="23"/>
      <c r="W341" s="24"/>
      <c r="X341" s="3"/>
      <c r="Y341" s="3"/>
      <c r="Z341" s="3"/>
      <c r="AA341" s="3"/>
      <c r="AB341" s="3"/>
      <c r="AC341" s="3"/>
      <c r="AD341" s="3"/>
      <c r="AE341" s="3"/>
      <c r="AF341" s="5"/>
      <c r="AG341" s="3"/>
      <c r="AH341" s="3"/>
      <c r="AI341" s="5"/>
      <c r="AJ341" s="3"/>
      <c r="AK341" s="3"/>
      <c r="AL341" s="5"/>
      <c r="AM341" s="3"/>
      <c r="AN341" s="5"/>
    </row>
    <row r="342" spans="1:40" ht="15.75" customHeight="1" x14ac:dyDescent="0.2"/>
    <row r="343" spans="1:40" ht="15.75" customHeight="1" x14ac:dyDescent="0.2"/>
    <row r="344" spans="1:40" ht="15.75" customHeight="1" x14ac:dyDescent="0.2"/>
    <row r="345" spans="1:40" ht="15.75" customHeight="1" x14ac:dyDescent="0.2"/>
    <row r="346" spans="1:40" ht="15.75" customHeight="1" x14ac:dyDescent="0.2"/>
    <row r="347" spans="1:40" ht="15.75" customHeight="1" x14ac:dyDescent="0.2"/>
    <row r="348" spans="1:40" ht="15.75" customHeight="1" x14ac:dyDescent="0.2"/>
    <row r="349" spans="1:40" ht="15.75" customHeight="1" x14ac:dyDescent="0.2"/>
    <row r="350" spans="1:40" ht="15.75" customHeight="1" x14ac:dyDescent="0.2"/>
    <row r="351" spans="1:40" ht="15.75" customHeight="1" x14ac:dyDescent="0.2"/>
    <row r="352" spans="1:40" ht="15.75" customHeight="1" x14ac:dyDescent="0.2">
      <c r="P352" s="24"/>
      <c r="W352" s="24"/>
    </row>
    <row r="353" spans="16:23" ht="15.75" customHeight="1" x14ac:dyDescent="0.2">
      <c r="P353" s="24"/>
      <c r="W353" s="24"/>
    </row>
    <row r="354" spans="16:23" ht="15.75" customHeight="1" x14ac:dyDescent="0.2">
      <c r="P354" s="24"/>
      <c r="W354" s="24"/>
    </row>
    <row r="355" spans="16:23" ht="15.75" customHeight="1" x14ac:dyDescent="0.2">
      <c r="P355" s="24"/>
      <c r="W355" s="24"/>
    </row>
    <row r="356" spans="16:23" ht="15.75" customHeight="1" x14ac:dyDescent="0.2">
      <c r="P356" s="24"/>
      <c r="W356" s="24"/>
    </row>
    <row r="357" spans="16:23" ht="15.75" customHeight="1" x14ac:dyDescent="0.2">
      <c r="P357" s="24"/>
      <c r="W357" s="24"/>
    </row>
    <row r="358" spans="16:23" ht="15.75" customHeight="1" x14ac:dyDescent="0.2">
      <c r="P358" s="24"/>
      <c r="W358" s="24"/>
    </row>
    <row r="359" spans="16:23" ht="15.75" customHeight="1" x14ac:dyDescent="0.2">
      <c r="P359" s="24"/>
      <c r="W359" s="24"/>
    </row>
    <row r="360" spans="16:23" ht="15.75" customHeight="1" x14ac:dyDescent="0.2">
      <c r="P360" s="24"/>
      <c r="W360" s="24"/>
    </row>
    <row r="361" spans="16:23" ht="15.75" customHeight="1" x14ac:dyDescent="0.2">
      <c r="P361" s="24"/>
      <c r="W361" s="24"/>
    </row>
    <row r="362" spans="16:23" ht="15.75" customHeight="1" x14ac:dyDescent="0.2">
      <c r="P362" s="24"/>
      <c r="W362" s="24"/>
    </row>
    <row r="363" spans="16:23" ht="15.75" customHeight="1" x14ac:dyDescent="0.2">
      <c r="P363" s="24"/>
      <c r="W363" s="24"/>
    </row>
    <row r="364" spans="16:23" ht="15.75" customHeight="1" x14ac:dyDescent="0.2">
      <c r="P364" s="24"/>
      <c r="W364" s="24"/>
    </row>
    <row r="365" spans="16:23" ht="15.75" customHeight="1" x14ac:dyDescent="0.2">
      <c r="P365" s="24"/>
      <c r="W365" s="24"/>
    </row>
    <row r="366" spans="16:23" ht="15.75" customHeight="1" x14ac:dyDescent="0.2">
      <c r="P366" s="24"/>
      <c r="W366" s="24"/>
    </row>
    <row r="367" spans="16:23" ht="15.75" customHeight="1" x14ac:dyDescent="0.2">
      <c r="P367" s="24"/>
      <c r="W367" s="24"/>
    </row>
    <row r="368" spans="16:23" ht="15.75" customHeight="1" x14ac:dyDescent="0.2">
      <c r="P368" s="24"/>
      <c r="W368" s="24"/>
    </row>
    <row r="369" spans="16:23" ht="15.75" customHeight="1" x14ac:dyDescent="0.2">
      <c r="P369" s="24"/>
      <c r="W369" s="24"/>
    </row>
    <row r="370" spans="16:23" ht="15.75" customHeight="1" x14ac:dyDescent="0.2">
      <c r="P370" s="24"/>
      <c r="W370" s="24"/>
    </row>
    <row r="371" spans="16:23" ht="15.75" customHeight="1" x14ac:dyDescent="0.2">
      <c r="P371" s="24"/>
      <c r="W371" s="24"/>
    </row>
    <row r="372" spans="16:23" ht="15.75" customHeight="1" x14ac:dyDescent="0.2">
      <c r="P372" s="24"/>
      <c r="W372" s="24"/>
    </row>
    <row r="373" spans="16:23" ht="15.75" customHeight="1" x14ac:dyDescent="0.2">
      <c r="P373" s="24"/>
      <c r="W373" s="24"/>
    </row>
    <row r="374" spans="16:23" ht="15.75" customHeight="1" x14ac:dyDescent="0.2">
      <c r="P374" s="24"/>
      <c r="W374" s="24"/>
    </row>
    <row r="375" spans="16:23" ht="15.75" customHeight="1" x14ac:dyDescent="0.2">
      <c r="P375" s="24"/>
      <c r="W375" s="24"/>
    </row>
    <row r="376" spans="16:23" ht="15.75" customHeight="1" x14ac:dyDescent="0.2">
      <c r="P376" s="24"/>
      <c r="W376" s="24"/>
    </row>
    <row r="377" spans="16:23" ht="15.75" customHeight="1" x14ac:dyDescent="0.2">
      <c r="P377" s="24"/>
      <c r="W377" s="24"/>
    </row>
    <row r="378" spans="16:23" ht="15.75" customHeight="1" x14ac:dyDescent="0.2">
      <c r="P378" s="24"/>
      <c r="W378" s="24"/>
    </row>
    <row r="379" spans="16:23" ht="15.75" customHeight="1" x14ac:dyDescent="0.2">
      <c r="P379" s="24"/>
      <c r="W379" s="24"/>
    </row>
    <row r="380" spans="16:23" ht="15.75" customHeight="1" x14ac:dyDescent="0.2">
      <c r="P380" s="24"/>
      <c r="W380" s="24"/>
    </row>
    <row r="381" spans="16:23" ht="15.75" customHeight="1" x14ac:dyDescent="0.2">
      <c r="P381" s="24"/>
      <c r="W381" s="24"/>
    </row>
    <row r="382" spans="16:23" ht="15.75" customHeight="1" x14ac:dyDescent="0.2">
      <c r="P382" s="24"/>
      <c r="W382" s="24"/>
    </row>
    <row r="383" spans="16:23" ht="15.75" customHeight="1" x14ac:dyDescent="0.2">
      <c r="P383" s="24"/>
      <c r="W383" s="24"/>
    </row>
    <row r="384" spans="16:23" ht="15.75" customHeight="1" x14ac:dyDescent="0.2">
      <c r="P384" s="24"/>
      <c r="W384" s="24"/>
    </row>
    <row r="385" spans="16:23" ht="15.75" customHeight="1" x14ac:dyDescent="0.2">
      <c r="P385" s="24"/>
      <c r="W385" s="24"/>
    </row>
    <row r="386" spans="16:23" ht="15.75" customHeight="1" x14ac:dyDescent="0.2">
      <c r="P386" s="24"/>
      <c r="W386" s="24"/>
    </row>
    <row r="387" spans="16:23" ht="15.75" customHeight="1" x14ac:dyDescent="0.2">
      <c r="P387" s="24"/>
      <c r="W387" s="24"/>
    </row>
    <row r="388" spans="16:23" ht="15.75" customHeight="1" x14ac:dyDescent="0.2">
      <c r="P388" s="24"/>
      <c r="W388" s="24"/>
    </row>
    <row r="389" spans="16:23" ht="15.75" customHeight="1" x14ac:dyDescent="0.2">
      <c r="P389" s="24"/>
      <c r="W389" s="24"/>
    </row>
    <row r="390" spans="16:23" ht="15.75" customHeight="1" x14ac:dyDescent="0.2">
      <c r="P390" s="24"/>
      <c r="W390" s="24"/>
    </row>
    <row r="391" spans="16:23" ht="15.75" customHeight="1" x14ac:dyDescent="0.2">
      <c r="P391" s="24"/>
      <c r="W391" s="24"/>
    </row>
    <row r="392" spans="16:23" ht="15.75" customHeight="1" x14ac:dyDescent="0.2">
      <c r="P392" s="24"/>
      <c r="W392" s="24"/>
    </row>
    <row r="393" spans="16:23" ht="15.75" customHeight="1" x14ac:dyDescent="0.2">
      <c r="P393" s="24"/>
      <c r="W393" s="24"/>
    </row>
    <row r="394" spans="16:23" ht="15.75" customHeight="1" x14ac:dyDescent="0.2">
      <c r="P394" s="24"/>
      <c r="W394" s="24"/>
    </row>
    <row r="395" spans="16:23" ht="15.75" customHeight="1" x14ac:dyDescent="0.2">
      <c r="P395" s="24"/>
      <c r="W395" s="24"/>
    </row>
    <row r="396" spans="16:23" ht="15.75" customHeight="1" x14ac:dyDescent="0.2">
      <c r="P396" s="24"/>
      <c r="W396" s="24"/>
    </row>
    <row r="397" spans="16:23" ht="15.75" customHeight="1" x14ac:dyDescent="0.2">
      <c r="P397" s="24"/>
      <c r="W397" s="24"/>
    </row>
    <row r="398" spans="16:23" ht="15.75" customHeight="1" x14ac:dyDescent="0.2">
      <c r="P398" s="24"/>
      <c r="W398" s="24"/>
    </row>
    <row r="399" spans="16:23" ht="15.75" customHeight="1" x14ac:dyDescent="0.2">
      <c r="P399" s="24"/>
      <c r="W399" s="24"/>
    </row>
    <row r="400" spans="16:23" ht="15.75" customHeight="1" x14ac:dyDescent="0.2">
      <c r="P400" s="24"/>
      <c r="W400" s="24"/>
    </row>
    <row r="401" spans="16:23" ht="15.75" customHeight="1" x14ac:dyDescent="0.2">
      <c r="P401" s="24"/>
      <c r="W401" s="24"/>
    </row>
    <row r="402" spans="16:23" ht="15.75" customHeight="1" x14ac:dyDescent="0.2">
      <c r="P402" s="24"/>
      <c r="W402" s="24"/>
    </row>
    <row r="403" spans="16:23" ht="15.75" customHeight="1" x14ac:dyDescent="0.2">
      <c r="P403" s="24"/>
      <c r="W403" s="24"/>
    </row>
    <row r="404" spans="16:23" ht="15.75" customHeight="1" x14ac:dyDescent="0.2">
      <c r="P404" s="24"/>
      <c r="W404" s="24"/>
    </row>
    <row r="405" spans="16:23" ht="15.75" customHeight="1" x14ac:dyDescent="0.2">
      <c r="P405" s="24"/>
      <c r="W405" s="24"/>
    </row>
    <row r="406" spans="16:23" ht="15.75" customHeight="1" x14ac:dyDescent="0.2">
      <c r="P406" s="24"/>
      <c r="W406" s="24"/>
    </row>
    <row r="407" spans="16:23" ht="15.75" customHeight="1" x14ac:dyDescent="0.2">
      <c r="P407" s="24"/>
      <c r="W407" s="24"/>
    </row>
    <row r="408" spans="16:23" ht="15.75" customHeight="1" x14ac:dyDescent="0.2">
      <c r="P408" s="24"/>
      <c r="W408" s="24"/>
    </row>
    <row r="409" spans="16:23" ht="15.75" customHeight="1" x14ac:dyDescent="0.2">
      <c r="P409" s="24"/>
      <c r="W409" s="24"/>
    </row>
    <row r="410" spans="16:23" ht="15.75" customHeight="1" x14ac:dyDescent="0.2">
      <c r="P410" s="24"/>
      <c r="W410" s="24"/>
    </row>
    <row r="411" spans="16:23" ht="15.75" customHeight="1" x14ac:dyDescent="0.2">
      <c r="P411" s="24"/>
      <c r="W411" s="24"/>
    </row>
    <row r="412" spans="16:23" ht="15.75" customHeight="1" x14ac:dyDescent="0.2">
      <c r="P412" s="24"/>
      <c r="W412" s="24"/>
    </row>
    <row r="413" spans="16:23" ht="15.75" customHeight="1" x14ac:dyDescent="0.2">
      <c r="P413" s="24"/>
      <c r="W413" s="24"/>
    </row>
    <row r="414" spans="16:23" ht="15.75" customHeight="1" x14ac:dyDescent="0.2">
      <c r="P414" s="24"/>
      <c r="W414" s="24"/>
    </row>
    <row r="415" spans="16:23" ht="15.75" customHeight="1" x14ac:dyDescent="0.2">
      <c r="P415" s="24"/>
      <c r="W415" s="24"/>
    </row>
    <row r="416" spans="16:23" ht="15.75" customHeight="1" x14ac:dyDescent="0.2">
      <c r="P416" s="24"/>
      <c r="W416" s="24"/>
    </row>
    <row r="417" spans="16:23" ht="15.75" customHeight="1" x14ac:dyDescent="0.2">
      <c r="P417" s="24"/>
      <c r="W417" s="24"/>
    </row>
    <row r="418" spans="16:23" ht="15.75" customHeight="1" x14ac:dyDescent="0.2">
      <c r="P418" s="24"/>
      <c r="W418" s="24"/>
    </row>
    <row r="419" spans="16:23" ht="15.75" customHeight="1" x14ac:dyDescent="0.2">
      <c r="P419" s="24"/>
      <c r="W419" s="24"/>
    </row>
    <row r="420" spans="16:23" ht="15.75" customHeight="1" x14ac:dyDescent="0.2">
      <c r="P420" s="24"/>
      <c r="W420" s="24"/>
    </row>
    <row r="421" spans="16:23" ht="15.75" customHeight="1" x14ac:dyDescent="0.2">
      <c r="P421" s="24"/>
      <c r="W421" s="24"/>
    </row>
    <row r="422" spans="16:23" ht="15.75" customHeight="1" x14ac:dyDescent="0.2">
      <c r="P422" s="24"/>
      <c r="W422" s="24"/>
    </row>
    <row r="423" spans="16:23" ht="15.75" customHeight="1" x14ac:dyDescent="0.2">
      <c r="P423" s="24"/>
      <c r="W423" s="24"/>
    </row>
    <row r="424" spans="16:23" ht="15.75" customHeight="1" x14ac:dyDescent="0.2">
      <c r="P424" s="24"/>
      <c r="W424" s="24"/>
    </row>
    <row r="425" spans="16:23" ht="15.75" customHeight="1" x14ac:dyDescent="0.2">
      <c r="P425" s="24"/>
      <c r="W425" s="24"/>
    </row>
    <row r="426" spans="16:23" ht="15.75" customHeight="1" x14ac:dyDescent="0.2">
      <c r="P426" s="24"/>
      <c r="W426" s="24"/>
    </row>
    <row r="427" spans="16:23" ht="15.75" customHeight="1" x14ac:dyDescent="0.2">
      <c r="P427" s="24"/>
      <c r="W427" s="24"/>
    </row>
    <row r="428" spans="16:23" ht="15.75" customHeight="1" x14ac:dyDescent="0.2">
      <c r="P428" s="24"/>
      <c r="W428" s="24"/>
    </row>
    <row r="429" spans="16:23" ht="15.75" customHeight="1" x14ac:dyDescent="0.2">
      <c r="P429" s="24"/>
      <c r="W429" s="24"/>
    </row>
    <row r="430" spans="16:23" ht="15.75" customHeight="1" x14ac:dyDescent="0.2">
      <c r="P430" s="24"/>
      <c r="W430" s="24"/>
    </row>
    <row r="431" spans="16:23" ht="15.75" customHeight="1" x14ac:dyDescent="0.2">
      <c r="P431" s="24"/>
      <c r="W431" s="24"/>
    </row>
    <row r="432" spans="16:23" ht="15.75" customHeight="1" x14ac:dyDescent="0.2">
      <c r="P432" s="24"/>
      <c r="W432" s="24"/>
    </row>
    <row r="433" spans="16:23" ht="15.75" customHeight="1" x14ac:dyDescent="0.2">
      <c r="P433" s="24"/>
      <c r="W433" s="24"/>
    </row>
    <row r="434" spans="16:23" ht="15.75" customHeight="1" x14ac:dyDescent="0.2">
      <c r="P434" s="24"/>
      <c r="W434" s="24"/>
    </row>
    <row r="435" spans="16:23" ht="15.75" customHeight="1" x14ac:dyDescent="0.2">
      <c r="P435" s="24"/>
      <c r="W435" s="24"/>
    </row>
    <row r="436" spans="16:23" ht="15.75" customHeight="1" x14ac:dyDescent="0.2">
      <c r="P436" s="24"/>
      <c r="W436" s="24"/>
    </row>
    <row r="437" spans="16:23" ht="15.75" customHeight="1" x14ac:dyDescent="0.2">
      <c r="P437" s="24"/>
      <c r="W437" s="24"/>
    </row>
    <row r="438" spans="16:23" ht="15.75" customHeight="1" x14ac:dyDescent="0.2">
      <c r="P438" s="24"/>
      <c r="W438" s="24"/>
    </row>
    <row r="439" spans="16:23" ht="15.75" customHeight="1" x14ac:dyDescent="0.2">
      <c r="P439" s="24"/>
      <c r="W439" s="24"/>
    </row>
    <row r="440" spans="16:23" ht="15.75" customHeight="1" x14ac:dyDescent="0.2">
      <c r="P440" s="24"/>
      <c r="W440" s="24"/>
    </row>
    <row r="441" spans="16:23" ht="15.75" customHeight="1" x14ac:dyDescent="0.2">
      <c r="P441" s="24"/>
      <c r="W441" s="24"/>
    </row>
    <row r="442" spans="16:23" ht="15.75" customHeight="1" x14ac:dyDescent="0.2">
      <c r="P442" s="24"/>
      <c r="W442" s="24"/>
    </row>
    <row r="443" spans="16:23" ht="15.75" customHeight="1" x14ac:dyDescent="0.2">
      <c r="P443" s="24"/>
      <c r="W443" s="24"/>
    </row>
    <row r="444" spans="16:23" ht="15.75" customHeight="1" x14ac:dyDescent="0.2">
      <c r="P444" s="24"/>
      <c r="W444" s="24"/>
    </row>
    <row r="445" spans="16:23" ht="15.75" customHeight="1" x14ac:dyDescent="0.2">
      <c r="P445" s="24"/>
      <c r="W445" s="24"/>
    </row>
    <row r="446" spans="16:23" ht="15.75" customHeight="1" x14ac:dyDescent="0.2">
      <c r="P446" s="24"/>
      <c r="W446" s="24"/>
    </row>
    <row r="447" spans="16:23" ht="15.75" customHeight="1" x14ac:dyDescent="0.2">
      <c r="P447" s="24"/>
      <c r="W447" s="24"/>
    </row>
    <row r="448" spans="16:23" ht="15.75" customHeight="1" x14ac:dyDescent="0.2">
      <c r="P448" s="24"/>
      <c r="W448" s="24"/>
    </row>
    <row r="449" spans="16:23" ht="15.75" customHeight="1" x14ac:dyDescent="0.2">
      <c r="P449" s="24"/>
      <c r="W449" s="24"/>
    </row>
    <row r="450" spans="16:23" ht="15.75" customHeight="1" x14ac:dyDescent="0.2">
      <c r="P450" s="24"/>
      <c r="W450" s="24"/>
    </row>
    <row r="451" spans="16:23" ht="15.75" customHeight="1" x14ac:dyDescent="0.2">
      <c r="P451" s="24"/>
      <c r="W451" s="24"/>
    </row>
    <row r="452" spans="16:23" ht="15.75" customHeight="1" x14ac:dyDescent="0.2">
      <c r="P452" s="24"/>
      <c r="W452" s="24"/>
    </row>
    <row r="453" spans="16:23" ht="15.75" customHeight="1" x14ac:dyDescent="0.2">
      <c r="P453" s="24"/>
      <c r="W453" s="24"/>
    </row>
    <row r="454" spans="16:23" ht="15.75" customHeight="1" x14ac:dyDescent="0.2">
      <c r="P454" s="24"/>
      <c r="W454" s="24"/>
    </row>
    <row r="455" spans="16:23" ht="15.75" customHeight="1" x14ac:dyDescent="0.2">
      <c r="P455" s="24"/>
      <c r="W455" s="24"/>
    </row>
    <row r="456" spans="16:23" ht="15.75" customHeight="1" x14ac:dyDescent="0.2">
      <c r="P456" s="24"/>
      <c r="W456" s="24"/>
    </row>
    <row r="457" spans="16:23" ht="15.75" customHeight="1" x14ac:dyDescent="0.2">
      <c r="P457" s="24"/>
      <c r="W457" s="24"/>
    </row>
    <row r="458" spans="16:23" ht="15.75" customHeight="1" x14ac:dyDescent="0.2">
      <c r="P458" s="24"/>
      <c r="W458" s="24"/>
    </row>
    <row r="459" spans="16:23" ht="15.75" customHeight="1" x14ac:dyDescent="0.2">
      <c r="P459" s="24"/>
      <c r="W459" s="24"/>
    </row>
    <row r="460" spans="16:23" ht="15.75" customHeight="1" x14ac:dyDescent="0.2">
      <c r="P460" s="24"/>
      <c r="W460" s="24"/>
    </row>
    <row r="461" spans="16:23" ht="15.75" customHeight="1" x14ac:dyDescent="0.2">
      <c r="P461" s="24"/>
      <c r="W461" s="24"/>
    </row>
    <row r="462" spans="16:23" ht="15.75" customHeight="1" x14ac:dyDescent="0.2">
      <c r="P462" s="24"/>
      <c r="W462" s="24"/>
    </row>
    <row r="463" spans="16:23" ht="15.75" customHeight="1" x14ac:dyDescent="0.2">
      <c r="P463" s="24"/>
      <c r="W463" s="24"/>
    </row>
    <row r="464" spans="16:23" ht="15.75" customHeight="1" x14ac:dyDescent="0.2">
      <c r="P464" s="24"/>
      <c r="W464" s="24"/>
    </row>
    <row r="465" spans="16:23" ht="15.75" customHeight="1" x14ac:dyDescent="0.2">
      <c r="P465" s="24"/>
      <c r="W465" s="24"/>
    </row>
    <row r="466" spans="16:23" ht="15.75" customHeight="1" x14ac:dyDescent="0.2">
      <c r="P466" s="24"/>
      <c r="W466" s="24"/>
    </row>
    <row r="467" spans="16:23" ht="15.75" customHeight="1" x14ac:dyDescent="0.2">
      <c r="P467" s="24"/>
      <c r="W467" s="24"/>
    </row>
    <row r="468" spans="16:23" ht="15.75" customHeight="1" x14ac:dyDescent="0.2">
      <c r="P468" s="24"/>
      <c r="W468" s="24"/>
    </row>
    <row r="469" spans="16:23" ht="15.75" customHeight="1" x14ac:dyDescent="0.2">
      <c r="P469" s="24"/>
      <c r="W469" s="24"/>
    </row>
    <row r="470" spans="16:23" ht="15.75" customHeight="1" x14ac:dyDescent="0.2">
      <c r="P470" s="24"/>
      <c r="W470" s="24"/>
    </row>
    <row r="471" spans="16:23" ht="15.75" customHeight="1" x14ac:dyDescent="0.2">
      <c r="P471" s="24"/>
      <c r="W471" s="24"/>
    </row>
    <row r="472" spans="16:23" ht="15.75" customHeight="1" x14ac:dyDescent="0.2">
      <c r="P472" s="24"/>
      <c r="W472" s="24"/>
    </row>
    <row r="473" spans="16:23" ht="15.75" customHeight="1" x14ac:dyDescent="0.2">
      <c r="P473" s="24"/>
      <c r="W473" s="24"/>
    </row>
    <row r="474" spans="16:23" ht="15.75" customHeight="1" x14ac:dyDescent="0.2">
      <c r="P474" s="24"/>
      <c r="W474" s="24"/>
    </row>
    <row r="475" spans="16:23" ht="15.75" customHeight="1" x14ac:dyDescent="0.2">
      <c r="P475" s="24"/>
      <c r="W475" s="24"/>
    </row>
    <row r="476" spans="16:23" ht="15.75" customHeight="1" x14ac:dyDescent="0.2">
      <c r="P476" s="24"/>
      <c r="W476" s="24"/>
    </row>
    <row r="477" spans="16:23" ht="15.75" customHeight="1" x14ac:dyDescent="0.2">
      <c r="P477" s="24"/>
      <c r="W477" s="24"/>
    </row>
    <row r="478" spans="16:23" ht="15.75" customHeight="1" x14ac:dyDescent="0.2">
      <c r="P478" s="24"/>
      <c r="W478" s="24"/>
    </row>
    <row r="479" spans="16:23" ht="15.75" customHeight="1" x14ac:dyDescent="0.2">
      <c r="P479" s="24"/>
      <c r="W479" s="24"/>
    </row>
    <row r="480" spans="16:23" ht="15.75" customHeight="1" x14ac:dyDescent="0.2">
      <c r="P480" s="24"/>
      <c r="W480" s="24"/>
    </row>
    <row r="481" spans="16:23" ht="15.75" customHeight="1" x14ac:dyDescent="0.2">
      <c r="P481" s="24"/>
      <c r="W481" s="24"/>
    </row>
    <row r="482" spans="16:23" ht="15.75" customHeight="1" x14ac:dyDescent="0.2">
      <c r="P482" s="24"/>
      <c r="W482" s="24"/>
    </row>
    <row r="483" spans="16:23" ht="15.75" customHeight="1" x14ac:dyDescent="0.2">
      <c r="P483" s="24"/>
      <c r="W483" s="24"/>
    </row>
    <row r="484" spans="16:23" ht="15.75" customHeight="1" x14ac:dyDescent="0.2">
      <c r="P484" s="24"/>
      <c r="W484" s="24"/>
    </row>
    <row r="485" spans="16:23" ht="15.75" customHeight="1" x14ac:dyDescent="0.2">
      <c r="P485" s="24"/>
      <c r="W485" s="24"/>
    </row>
    <row r="486" spans="16:23" ht="15.75" customHeight="1" x14ac:dyDescent="0.2">
      <c r="P486" s="24"/>
      <c r="W486" s="24"/>
    </row>
    <row r="487" spans="16:23" ht="15.75" customHeight="1" x14ac:dyDescent="0.2">
      <c r="P487" s="24"/>
      <c r="W487" s="24"/>
    </row>
    <row r="488" spans="16:23" ht="15.75" customHeight="1" x14ac:dyDescent="0.2">
      <c r="P488" s="24"/>
      <c r="W488" s="24"/>
    </row>
    <row r="489" spans="16:23" ht="15.75" customHeight="1" x14ac:dyDescent="0.2">
      <c r="P489" s="24"/>
      <c r="W489" s="24"/>
    </row>
    <row r="490" spans="16:23" ht="15.75" customHeight="1" x14ac:dyDescent="0.2">
      <c r="P490" s="24"/>
      <c r="W490" s="24"/>
    </row>
    <row r="491" spans="16:23" ht="15.75" customHeight="1" x14ac:dyDescent="0.2">
      <c r="P491" s="24"/>
      <c r="W491" s="24"/>
    </row>
    <row r="492" spans="16:23" ht="15.75" customHeight="1" x14ac:dyDescent="0.2">
      <c r="P492" s="24"/>
      <c r="W492" s="24"/>
    </row>
    <row r="493" spans="16:23" ht="15.75" customHeight="1" x14ac:dyDescent="0.2">
      <c r="P493" s="24"/>
      <c r="W493" s="24"/>
    </row>
    <row r="494" spans="16:23" ht="15.75" customHeight="1" x14ac:dyDescent="0.2">
      <c r="P494" s="24"/>
      <c r="W494" s="24"/>
    </row>
    <row r="495" spans="16:23" ht="15.75" customHeight="1" x14ac:dyDescent="0.2">
      <c r="P495" s="24"/>
      <c r="W495" s="24"/>
    </row>
    <row r="496" spans="16:23" ht="15.75" customHeight="1" x14ac:dyDescent="0.2">
      <c r="P496" s="24"/>
      <c r="W496" s="24"/>
    </row>
    <row r="497" spans="16:23" ht="15.75" customHeight="1" x14ac:dyDescent="0.2">
      <c r="P497" s="24"/>
      <c r="W497" s="24"/>
    </row>
    <row r="498" spans="16:23" ht="15.75" customHeight="1" x14ac:dyDescent="0.2">
      <c r="P498" s="24"/>
      <c r="W498" s="24"/>
    </row>
    <row r="499" spans="16:23" ht="15.75" customHeight="1" x14ac:dyDescent="0.2">
      <c r="P499" s="24"/>
      <c r="W499" s="24"/>
    </row>
    <row r="500" spans="16:23" ht="15.75" customHeight="1" x14ac:dyDescent="0.2">
      <c r="P500" s="24"/>
      <c r="W500" s="24"/>
    </row>
    <row r="501" spans="16:23" ht="15.75" customHeight="1" x14ac:dyDescent="0.2">
      <c r="P501" s="24"/>
      <c r="W501" s="24"/>
    </row>
    <row r="502" spans="16:23" ht="15.75" customHeight="1" x14ac:dyDescent="0.2">
      <c r="P502" s="24"/>
      <c r="W502" s="24"/>
    </row>
    <row r="503" spans="16:23" ht="15.75" customHeight="1" x14ac:dyDescent="0.2">
      <c r="P503" s="24"/>
      <c r="W503" s="24"/>
    </row>
    <row r="504" spans="16:23" ht="15.75" customHeight="1" x14ac:dyDescent="0.2">
      <c r="P504" s="24"/>
      <c r="W504" s="24"/>
    </row>
    <row r="505" spans="16:23" ht="15.75" customHeight="1" x14ac:dyDescent="0.2">
      <c r="P505" s="24"/>
      <c r="W505" s="24"/>
    </row>
    <row r="506" spans="16:23" ht="15.75" customHeight="1" x14ac:dyDescent="0.2">
      <c r="P506" s="24"/>
      <c r="W506" s="24"/>
    </row>
    <row r="507" spans="16:23" ht="15.75" customHeight="1" x14ac:dyDescent="0.2">
      <c r="P507" s="24"/>
      <c r="W507" s="24"/>
    </row>
    <row r="508" spans="16:23" ht="15.75" customHeight="1" x14ac:dyDescent="0.2">
      <c r="P508" s="24"/>
      <c r="W508" s="24"/>
    </row>
    <row r="509" spans="16:23" ht="15.75" customHeight="1" x14ac:dyDescent="0.2">
      <c r="P509" s="24"/>
      <c r="W509" s="24"/>
    </row>
    <row r="510" spans="16:23" ht="15.75" customHeight="1" x14ac:dyDescent="0.2">
      <c r="P510" s="24"/>
      <c r="W510" s="24"/>
    </row>
    <row r="511" spans="16:23" ht="15.75" customHeight="1" x14ac:dyDescent="0.2">
      <c r="P511" s="24"/>
      <c r="W511" s="24"/>
    </row>
    <row r="512" spans="16:23" ht="15.75" customHeight="1" x14ac:dyDescent="0.2">
      <c r="P512" s="24"/>
      <c r="W512" s="24"/>
    </row>
    <row r="513" spans="16:23" ht="15.75" customHeight="1" x14ac:dyDescent="0.2">
      <c r="P513" s="24"/>
      <c r="W513" s="24"/>
    </row>
    <row r="514" spans="16:23" ht="15.75" customHeight="1" x14ac:dyDescent="0.2">
      <c r="P514" s="24"/>
      <c r="W514" s="24"/>
    </row>
    <row r="515" spans="16:23" ht="15.75" customHeight="1" x14ac:dyDescent="0.2">
      <c r="P515" s="24"/>
      <c r="W515" s="24"/>
    </row>
    <row r="516" spans="16:23" ht="15.75" customHeight="1" x14ac:dyDescent="0.2">
      <c r="P516" s="24"/>
      <c r="W516" s="24"/>
    </row>
    <row r="517" spans="16:23" ht="15.75" customHeight="1" x14ac:dyDescent="0.2">
      <c r="P517" s="24"/>
      <c r="W517" s="24"/>
    </row>
    <row r="518" spans="16:23" ht="15.75" customHeight="1" x14ac:dyDescent="0.2">
      <c r="P518" s="24"/>
      <c r="W518" s="24"/>
    </row>
    <row r="519" spans="16:23" ht="15.75" customHeight="1" x14ac:dyDescent="0.2">
      <c r="P519" s="24"/>
      <c r="W519" s="24"/>
    </row>
    <row r="520" spans="16:23" ht="15.75" customHeight="1" x14ac:dyDescent="0.2">
      <c r="P520" s="24"/>
      <c r="W520" s="24"/>
    </row>
    <row r="521" spans="16:23" ht="15.75" customHeight="1" x14ac:dyDescent="0.2">
      <c r="P521" s="24"/>
      <c r="W521" s="24"/>
    </row>
    <row r="522" spans="16:23" ht="15.75" customHeight="1" x14ac:dyDescent="0.2">
      <c r="P522" s="24"/>
      <c r="W522" s="24"/>
    </row>
    <row r="523" spans="16:23" ht="15.75" customHeight="1" x14ac:dyDescent="0.2">
      <c r="P523" s="24"/>
      <c r="W523" s="24"/>
    </row>
    <row r="524" spans="16:23" ht="15.75" customHeight="1" x14ac:dyDescent="0.2">
      <c r="P524" s="24"/>
      <c r="W524" s="24"/>
    </row>
    <row r="525" spans="16:23" ht="15.75" customHeight="1" x14ac:dyDescent="0.2">
      <c r="P525" s="24"/>
      <c r="W525" s="24"/>
    </row>
    <row r="526" spans="16:23" ht="15.75" customHeight="1" x14ac:dyDescent="0.2">
      <c r="P526" s="24"/>
      <c r="W526" s="24"/>
    </row>
    <row r="527" spans="16:23" ht="15.75" customHeight="1" x14ac:dyDescent="0.2">
      <c r="P527" s="24"/>
      <c r="W527" s="24"/>
    </row>
    <row r="528" spans="16:23" ht="15.75" customHeight="1" x14ac:dyDescent="0.2">
      <c r="P528" s="24"/>
      <c r="W528" s="24"/>
    </row>
    <row r="529" spans="16:23" ht="15.75" customHeight="1" x14ac:dyDescent="0.2">
      <c r="P529" s="24"/>
      <c r="W529" s="24"/>
    </row>
    <row r="530" spans="16:23" ht="15.75" customHeight="1" x14ac:dyDescent="0.2">
      <c r="P530" s="24"/>
      <c r="W530" s="24"/>
    </row>
    <row r="531" spans="16:23" ht="15.75" customHeight="1" x14ac:dyDescent="0.2">
      <c r="P531" s="24"/>
      <c r="W531" s="24"/>
    </row>
    <row r="532" spans="16:23" ht="15.75" customHeight="1" x14ac:dyDescent="0.2">
      <c r="P532" s="24"/>
      <c r="W532" s="24"/>
    </row>
    <row r="533" spans="16:23" ht="15.75" customHeight="1" x14ac:dyDescent="0.2">
      <c r="P533" s="24"/>
      <c r="W533" s="24"/>
    </row>
    <row r="534" spans="16:23" ht="15.75" customHeight="1" x14ac:dyDescent="0.2">
      <c r="P534" s="24"/>
      <c r="W534" s="24"/>
    </row>
    <row r="535" spans="16:23" ht="15.75" customHeight="1" x14ac:dyDescent="0.2">
      <c r="P535" s="24"/>
      <c r="W535" s="24"/>
    </row>
    <row r="536" spans="16:23" ht="15.75" customHeight="1" x14ac:dyDescent="0.2">
      <c r="P536" s="24"/>
      <c r="W536" s="24"/>
    </row>
    <row r="537" spans="16:23" ht="15.75" customHeight="1" x14ac:dyDescent="0.2">
      <c r="P537" s="24"/>
      <c r="W537" s="24"/>
    </row>
    <row r="538" spans="16:23" ht="15.75" customHeight="1" x14ac:dyDescent="0.2">
      <c r="P538" s="24"/>
      <c r="W538" s="24"/>
    </row>
    <row r="539" spans="16:23" ht="15.75" customHeight="1" x14ac:dyDescent="0.2">
      <c r="P539" s="24"/>
      <c r="W539" s="24"/>
    </row>
    <row r="540" spans="16:23" ht="15.75" customHeight="1" x14ac:dyDescent="0.2">
      <c r="P540" s="24"/>
      <c r="W540" s="24"/>
    </row>
    <row r="541" spans="16:23" ht="15.75" customHeight="1" x14ac:dyDescent="0.2">
      <c r="P541" s="24"/>
      <c r="W541" s="24"/>
    </row>
    <row r="542" spans="16:23" ht="15.75" customHeight="1" x14ac:dyDescent="0.2">
      <c r="P542" s="24"/>
      <c r="W542" s="24"/>
    </row>
    <row r="543" spans="16:23" ht="15.75" customHeight="1" x14ac:dyDescent="0.2">
      <c r="P543" s="24"/>
      <c r="W543" s="24"/>
    </row>
    <row r="544" spans="16:23" ht="15.75" customHeight="1" x14ac:dyDescent="0.2">
      <c r="P544" s="24"/>
      <c r="W544" s="24"/>
    </row>
    <row r="545" spans="16:23" ht="15.75" customHeight="1" x14ac:dyDescent="0.2">
      <c r="P545" s="24"/>
      <c r="W545" s="24"/>
    </row>
    <row r="546" spans="16:23" ht="15.75" customHeight="1" x14ac:dyDescent="0.2">
      <c r="P546" s="24"/>
      <c r="W546" s="24"/>
    </row>
    <row r="547" spans="16:23" ht="15.75" customHeight="1" x14ac:dyDescent="0.2">
      <c r="P547" s="24"/>
      <c r="W547" s="24"/>
    </row>
    <row r="548" spans="16:23" ht="15.75" customHeight="1" x14ac:dyDescent="0.2">
      <c r="P548" s="24"/>
      <c r="W548" s="24"/>
    </row>
    <row r="549" spans="16:23" ht="15.75" customHeight="1" x14ac:dyDescent="0.2">
      <c r="P549" s="24"/>
      <c r="W549" s="24"/>
    </row>
    <row r="550" spans="16:23" ht="15.75" customHeight="1" x14ac:dyDescent="0.2">
      <c r="P550" s="24"/>
      <c r="W550" s="24"/>
    </row>
    <row r="551" spans="16:23" ht="15.75" customHeight="1" x14ac:dyDescent="0.2">
      <c r="P551" s="24"/>
      <c r="W551" s="24"/>
    </row>
    <row r="552" spans="16:23" ht="15.75" customHeight="1" x14ac:dyDescent="0.2">
      <c r="P552" s="24"/>
      <c r="W552" s="24"/>
    </row>
    <row r="553" spans="16:23" ht="15.75" customHeight="1" x14ac:dyDescent="0.2">
      <c r="P553" s="24"/>
      <c r="W553" s="24"/>
    </row>
    <row r="554" spans="16:23" ht="15.75" customHeight="1" x14ac:dyDescent="0.2">
      <c r="P554" s="24"/>
      <c r="W554" s="24"/>
    </row>
    <row r="555" spans="16:23" ht="15.75" customHeight="1" x14ac:dyDescent="0.2">
      <c r="P555" s="24"/>
      <c r="W555" s="24"/>
    </row>
    <row r="556" spans="16:23" ht="15.75" customHeight="1" x14ac:dyDescent="0.2">
      <c r="P556" s="24"/>
      <c r="W556" s="24"/>
    </row>
    <row r="557" spans="16:23" ht="15.75" customHeight="1" x14ac:dyDescent="0.2">
      <c r="P557" s="24"/>
      <c r="W557" s="24"/>
    </row>
    <row r="558" spans="16:23" ht="15.75" customHeight="1" x14ac:dyDescent="0.2">
      <c r="P558" s="24"/>
      <c r="W558" s="24"/>
    </row>
    <row r="559" spans="16:23" ht="15.75" customHeight="1" x14ac:dyDescent="0.2">
      <c r="P559" s="24"/>
      <c r="W559" s="24"/>
    </row>
    <row r="560" spans="16:23" ht="15.75" customHeight="1" x14ac:dyDescent="0.2">
      <c r="P560" s="24"/>
      <c r="W560" s="24"/>
    </row>
    <row r="561" spans="16:23" ht="15.75" customHeight="1" x14ac:dyDescent="0.2">
      <c r="P561" s="24"/>
      <c r="W561" s="24"/>
    </row>
    <row r="562" spans="16:23" ht="15.75" customHeight="1" x14ac:dyDescent="0.2">
      <c r="P562" s="24"/>
      <c r="W562" s="24"/>
    </row>
    <row r="563" spans="16:23" ht="15.75" customHeight="1" x14ac:dyDescent="0.2">
      <c r="P563" s="24"/>
      <c r="W563" s="24"/>
    </row>
    <row r="564" spans="16:23" ht="15.75" customHeight="1" x14ac:dyDescent="0.2">
      <c r="P564" s="24"/>
      <c r="W564" s="24"/>
    </row>
    <row r="565" spans="16:23" ht="15.75" customHeight="1" x14ac:dyDescent="0.2">
      <c r="P565" s="24"/>
      <c r="W565" s="24"/>
    </row>
    <row r="566" spans="16:23" ht="15.75" customHeight="1" x14ac:dyDescent="0.2">
      <c r="P566" s="24"/>
      <c r="W566" s="24"/>
    </row>
    <row r="567" spans="16:23" ht="15.75" customHeight="1" x14ac:dyDescent="0.2">
      <c r="P567" s="24"/>
      <c r="W567" s="24"/>
    </row>
    <row r="568" spans="16:23" ht="15.75" customHeight="1" x14ac:dyDescent="0.2">
      <c r="P568" s="24"/>
      <c r="W568" s="24"/>
    </row>
    <row r="569" spans="16:23" ht="15.75" customHeight="1" x14ac:dyDescent="0.2">
      <c r="P569" s="24"/>
      <c r="W569" s="24"/>
    </row>
    <row r="570" spans="16:23" ht="15.75" customHeight="1" x14ac:dyDescent="0.2">
      <c r="P570" s="24"/>
      <c r="W570" s="24"/>
    </row>
    <row r="571" spans="16:23" ht="15.75" customHeight="1" x14ac:dyDescent="0.2">
      <c r="P571" s="24"/>
      <c r="W571" s="24"/>
    </row>
    <row r="572" spans="16:23" ht="15.75" customHeight="1" x14ac:dyDescent="0.2">
      <c r="P572" s="24"/>
      <c r="W572" s="24"/>
    </row>
    <row r="573" spans="16:23" ht="15.75" customHeight="1" x14ac:dyDescent="0.2">
      <c r="P573" s="24"/>
      <c r="W573" s="24"/>
    </row>
    <row r="574" spans="16:23" ht="15.75" customHeight="1" x14ac:dyDescent="0.2">
      <c r="P574" s="24"/>
      <c r="W574" s="24"/>
    </row>
    <row r="575" spans="16:23" ht="15.75" customHeight="1" x14ac:dyDescent="0.2">
      <c r="P575" s="24"/>
      <c r="W575" s="24"/>
    </row>
    <row r="576" spans="16:23" ht="15.75" customHeight="1" x14ac:dyDescent="0.2">
      <c r="P576" s="24"/>
      <c r="W576" s="24"/>
    </row>
    <row r="577" spans="16:23" ht="15.75" customHeight="1" x14ac:dyDescent="0.2">
      <c r="P577" s="24"/>
      <c r="W577" s="24"/>
    </row>
    <row r="578" spans="16:23" ht="15.75" customHeight="1" x14ac:dyDescent="0.2">
      <c r="P578" s="24"/>
      <c r="W578" s="24"/>
    </row>
    <row r="579" spans="16:23" ht="15.75" customHeight="1" x14ac:dyDescent="0.2">
      <c r="P579" s="24"/>
      <c r="W579" s="24"/>
    </row>
    <row r="580" spans="16:23" ht="15.75" customHeight="1" x14ac:dyDescent="0.2">
      <c r="P580" s="24"/>
      <c r="W580" s="24"/>
    </row>
    <row r="581" spans="16:23" ht="15.75" customHeight="1" x14ac:dyDescent="0.2">
      <c r="P581" s="24"/>
      <c r="W581" s="24"/>
    </row>
    <row r="582" spans="16:23" ht="15.75" customHeight="1" x14ac:dyDescent="0.2">
      <c r="P582" s="24"/>
      <c r="W582" s="24"/>
    </row>
    <row r="583" spans="16:23" ht="15.75" customHeight="1" x14ac:dyDescent="0.2">
      <c r="P583" s="24"/>
      <c r="W583" s="24"/>
    </row>
    <row r="584" spans="16:23" ht="15.75" customHeight="1" x14ac:dyDescent="0.2">
      <c r="P584" s="24"/>
      <c r="W584" s="24"/>
    </row>
    <row r="585" spans="16:23" ht="15.75" customHeight="1" x14ac:dyDescent="0.2">
      <c r="P585" s="24"/>
      <c r="W585" s="24"/>
    </row>
    <row r="586" spans="16:23" ht="15.75" customHeight="1" x14ac:dyDescent="0.2">
      <c r="P586" s="24"/>
      <c r="W586" s="24"/>
    </row>
    <row r="587" spans="16:23" ht="15.75" customHeight="1" x14ac:dyDescent="0.2">
      <c r="P587" s="24"/>
      <c r="W587" s="24"/>
    </row>
    <row r="588" spans="16:23" ht="15.75" customHeight="1" x14ac:dyDescent="0.2">
      <c r="P588" s="24"/>
      <c r="W588" s="24"/>
    </row>
    <row r="589" spans="16:23" ht="15.75" customHeight="1" x14ac:dyDescent="0.2">
      <c r="P589" s="24"/>
      <c r="W589" s="24"/>
    </row>
    <row r="590" spans="16:23" ht="15.75" customHeight="1" x14ac:dyDescent="0.2">
      <c r="P590" s="24"/>
      <c r="W590" s="24"/>
    </row>
    <row r="591" spans="16:23" ht="15.75" customHeight="1" x14ac:dyDescent="0.2">
      <c r="P591" s="24"/>
      <c r="W591" s="24"/>
    </row>
    <row r="592" spans="16:23" ht="15.75" customHeight="1" x14ac:dyDescent="0.2">
      <c r="P592" s="24"/>
      <c r="W592" s="24"/>
    </row>
    <row r="593" spans="16:23" ht="15.75" customHeight="1" x14ac:dyDescent="0.2">
      <c r="P593" s="24"/>
      <c r="W593" s="24"/>
    </row>
    <row r="594" spans="16:23" ht="15.75" customHeight="1" x14ac:dyDescent="0.2">
      <c r="P594" s="24"/>
      <c r="W594" s="24"/>
    </row>
    <row r="595" spans="16:23" ht="15.75" customHeight="1" x14ac:dyDescent="0.2">
      <c r="P595" s="24"/>
      <c r="W595" s="24"/>
    </row>
    <row r="596" spans="16:23" ht="15.75" customHeight="1" x14ac:dyDescent="0.2">
      <c r="P596" s="24"/>
      <c r="W596" s="24"/>
    </row>
    <row r="597" spans="16:23" ht="15.75" customHeight="1" x14ac:dyDescent="0.2">
      <c r="P597" s="24"/>
      <c r="W597" s="24"/>
    </row>
    <row r="598" spans="16:23" ht="15.75" customHeight="1" x14ac:dyDescent="0.2">
      <c r="P598" s="24"/>
      <c r="W598" s="24"/>
    </row>
    <row r="599" spans="16:23" ht="15.75" customHeight="1" x14ac:dyDescent="0.2">
      <c r="P599" s="24"/>
      <c r="W599" s="24"/>
    </row>
    <row r="600" spans="16:23" ht="15.75" customHeight="1" x14ac:dyDescent="0.2">
      <c r="P600" s="24"/>
      <c r="W600" s="24"/>
    </row>
    <row r="601" spans="16:23" ht="15.75" customHeight="1" x14ac:dyDescent="0.2">
      <c r="P601" s="24"/>
      <c r="W601" s="24"/>
    </row>
    <row r="602" spans="16:23" ht="15.75" customHeight="1" x14ac:dyDescent="0.2">
      <c r="P602" s="24"/>
      <c r="W602" s="24"/>
    </row>
    <row r="603" spans="16:23" ht="15.75" customHeight="1" x14ac:dyDescent="0.2">
      <c r="P603" s="24"/>
      <c r="W603" s="24"/>
    </row>
    <row r="604" spans="16:23" ht="15.75" customHeight="1" x14ac:dyDescent="0.2">
      <c r="P604" s="24"/>
      <c r="W604" s="24"/>
    </row>
    <row r="605" spans="16:23" ht="15.75" customHeight="1" x14ac:dyDescent="0.2">
      <c r="P605" s="24"/>
      <c r="W605" s="24"/>
    </row>
    <row r="606" spans="16:23" ht="15.75" customHeight="1" x14ac:dyDescent="0.2">
      <c r="P606" s="24"/>
      <c r="W606" s="24"/>
    </row>
    <row r="607" spans="16:23" ht="15.75" customHeight="1" x14ac:dyDescent="0.2">
      <c r="P607" s="24"/>
      <c r="W607" s="24"/>
    </row>
    <row r="608" spans="16:23" ht="15.75" customHeight="1" x14ac:dyDescent="0.2">
      <c r="P608" s="24"/>
      <c r="W608" s="24"/>
    </row>
    <row r="609" spans="16:23" ht="15.75" customHeight="1" x14ac:dyDescent="0.2">
      <c r="P609" s="24"/>
      <c r="W609" s="24"/>
    </row>
    <row r="610" spans="16:23" ht="15.75" customHeight="1" x14ac:dyDescent="0.2">
      <c r="P610" s="24"/>
      <c r="W610" s="24"/>
    </row>
    <row r="611" spans="16:23" ht="15.75" customHeight="1" x14ac:dyDescent="0.2">
      <c r="P611" s="24"/>
      <c r="W611" s="24"/>
    </row>
    <row r="612" spans="16:23" ht="15.75" customHeight="1" x14ac:dyDescent="0.2">
      <c r="P612" s="24"/>
      <c r="W612" s="24"/>
    </row>
    <row r="613" spans="16:23" ht="15.75" customHeight="1" x14ac:dyDescent="0.2">
      <c r="P613" s="24"/>
      <c r="W613" s="24"/>
    </row>
    <row r="614" spans="16:23" ht="15.75" customHeight="1" x14ac:dyDescent="0.2">
      <c r="P614" s="24"/>
      <c r="W614" s="24"/>
    </row>
    <row r="615" spans="16:23" ht="15.75" customHeight="1" x14ac:dyDescent="0.2">
      <c r="P615" s="24"/>
      <c r="W615" s="24"/>
    </row>
    <row r="616" spans="16:23" ht="15.75" customHeight="1" x14ac:dyDescent="0.2">
      <c r="P616" s="24"/>
      <c r="W616" s="24"/>
    </row>
    <row r="617" spans="16:23" ht="15.75" customHeight="1" x14ac:dyDescent="0.2">
      <c r="P617" s="24"/>
      <c r="W617" s="24"/>
    </row>
    <row r="618" spans="16:23" ht="15.75" customHeight="1" x14ac:dyDescent="0.2">
      <c r="P618" s="24"/>
      <c r="W618" s="24"/>
    </row>
    <row r="619" spans="16:23" ht="15.75" customHeight="1" x14ac:dyDescent="0.2">
      <c r="P619" s="24"/>
      <c r="W619" s="24"/>
    </row>
    <row r="620" spans="16:23" ht="15.75" customHeight="1" x14ac:dyDescent="0.2">
      <c r="P620" s="24"/>
      <c r="W620" s="24"/>
    </row>
    <row r="621" spans="16:23" ht="15.75" customHeight="1" x14ac:dyDescent="0.2">
      <c r="P621" s="24"/>
      <c r="W621" s="24"/>
    </row>
    <row r="622" spans="16:23" ht="15.75" customHeight="1" x14ac:dyDescent="0.2">
      <c r="P622" s="24"/>
      <c r="W622" s="24"/>
    </row>
    <row r="623" spans="16:23" ht="15.75" customHeight="1" x14ac:dyDescent="0.2">
      <c r="P623" s="24"/>
      <c r="W623" s="24"/>
    </row>
    <row r="624" spans="16:23" ht="15.75" customHeight="1" x14ac:dyDescent="0.2">
      <c r="P624" s="24"/>
      <c r="W624" s="24"/>
    </row>
    <row r="625" spans="16:23" ht="15.75" customHeight="1" x14ac:dyDescent="0.2">
      <c r="P625" s="24"/>
      <c r="W625" s="24"/>
    </row>
    <row r="626" spans="16:23" ht="15.75" customHeight="1" x14ac:dyDescent="0.2">
      <c r="P626" s="24"/>
      <c r="W626" s="24"/>
    </row>
    <row r="627" spans="16:23" ht="15.75" customHeight="1" x14ac:dyDescent="0.2">
      <c r="P627" s="24"/>
      <c r="W627" s="24"/>
    </row>
    <row r="628" spans="16:23" ht="15.75" customHeight="1" x14ac:dyDescent="0.2">
      <c r="P628" s="24"/>
      <c r="W628" s="24"/>
    </row>
    <row r="629" spans="16:23" ht="15.75" customHeight="1" x14ac:dyDescent="0.2">
      <c r="P629" s="24"/>
      <c r="W629" s="24"/>
    </row>
    <row r="630" spans="16:23" ht="15.75" customHeight="1" x14ac:dyDescent="0.2">
      <c r="P630" s="24"/>
      <c r="W630" s="24"/>
    </row>
    <row r="631" spans="16:23" ht="15.75" customHeight="1" x14ac:dyDescent="0.2">
      <c r="P631" s="24"/>
      <c r="W631" s="24"/>
    </row>
    <row r="632" spans="16:23" ht="15.75" customHeight="1" x14ac:dyDescent="0.2">
      <c r="P632" s="24"/>
      <c r="W632" s="24"/>
    </row>
    <row r="633" spans="16:23" ht="15.75" customHeight="1" x14ac:dyDescent="0.2">
      <c r="P633" s="24"/>
      <c r="W633" s="24"/>
    </row>
    <row r="634" spans="16:23" ht="15.75" customHeight="1" x14ac:dyDescent="0.2">
      <c r="P634" s="24"/>
      <c r="W634" s="24"/>
    </row>
    <row r="635" spans="16:23" ht="15.75" customHeight="1" x14ac:dyDescent="0.2">
      <c r="P635" s="24"/>
      <c r="W635" s="24"/>
    </row>
    <row r="636" spans="16:23" ht="15.75" customHeight="1" x14ac:dyDescent="0.2">
      <c r="P636" s="24"/>
      <c r="W636" s="24"/>
    </row>
    <row r="637" spans="16:23" ht="15.75" customHeight="1" x14ac:dyDescent="0.2">
      <c r="P637" s="24"/>
      <c r="W637" s="24"/>
    </row>
    <row r="638" spans="16:23" ht="15.75" customHeight="1" x14ac:dyDescent="0.2">
      <c r="P638" s="24"/>
      <c r="W638" s="24"/>
    </row>
    <row r="639" spans="16:23" ht="15.75" customHeight="1" x14ac:dyDescent="0.2">
      <c r="P639" s="24"/>
      <c r="W639" s="24"/>
    </row>
    <row r="640" spans="16:23" ht="15.75" customHeight="1" x14ac:dyDescent="0.2">
      <c r="P640" s="24"/>
      <c r="W640" s="24"/>
    </row>
    <row r="641" spans="16:23" ht="15.75" customHeight="1" x14ac:dyDescent="0.2">
      <c r="P641" s="24"/>
      <c r="W641" s="24"/>
    </row>
    <row r="642" spans="16:23" ht="15.75" customHeight="1" x14ac:dyDescent="0.2">
      <c r="P642" s="24"/>
      <c r="W642" s="24"/>
    </row>
    <row r="643" spans="16:23" ht="15.75" customHeight="1" x14ac:dyDescent="0.2">
      <c r="P643" s="24"/>
      <c r="W643" s="24"/>
    </row>
    <row r="644" spans="16:23" ht="15.75" customHeight="1" x14ac:dyDescent="0.2">
      <c r="P644" s="24"/>
      <c r="W644" s="24"/>
    </row>
    <row r="645" spans="16:23" ht="15.75" customHeight="1" x14ac:dyDescent="0.2">
      <c r="P645" s="24"/>
      <c r="W645" s="24"/>
    </row>
    <row r="646" spans="16:23" ht="15.75" customHeight="1" x14ac:dyDescent="0.2">
      <c r="P646" s="24"/>
      <c r="W646" s="24"/>
    </row>
    <row r="647" spans="16:23" ht="15.75" customHeight="1" x14ac:dyDescent="0.2">
      <c r="P647" s="24"/>
      <c r="W647" s="24"/>
    </row>
    <row r="648" spans="16:23" ht="15.75" customHeight="1" x14ac:dyDescent="0.2">
      <c r="P648" s="24"/>
      <c r="W648" s="24"/>
    </row>
    <row r="649" spans="16:23" ht="15.75" customHeight="1" x14ac:dyDescent="0.2">
      <c r="P649" s="24"/>
      <c r="W649" s="24"/>
    </row>
    <row r="650" spans="16:23" ht="15.75" customHeight="1" x14ac:dyDescent="0.2">
      <c r="P650" s="24"/>
      <c r="W650" s="24"/>
    </row>
    <row r="651" spans="16:23" ht="15.75" customHeight="1" x14ac:dyDescent="0.2">
      <c r="P651" s="24"/>
      <c r="W651" s="24"/>
    </row>
    <row r="652" spans="16:23" ht="15.75" customHeight="1" x14ac:dyDescent="0.2">
      <c r="P652" s="24"/>
      <c r="W652" s="24"/>
    </row>
    <row r="653" spans="16:23" ht="15.75" customHeight="1" x14ac:dyDescent="0.2">
      <c r="P653" s="24"/>
      <c r="W653" s="24"/>
    </row>
    <row r="654" spans="16:23" ht="15.75" customHeight="1" x14ac:dyDescent="0.2">
      <c r="P654" s="24"/>
      <c r="W654" s="24"/>
    </row>
    <row r="655" spans="16:23" ht="15.75" customHeight="1" x14ac:dyDescent="0.2">
      <c r="P655" s="24"/>
      <c r="W655" s="24"/>
    </row>
    <row r="656" spans="16:23" ht="15.75" customHeight="1" x14ac:dyDescent="0.2">
      <c r="P656" s="24"/>
      <c r="W656" s="24"/>
    </row>
    <row r="657" spans="16:23" ht="15.75" customHeight="1" x14ac:dyDescent="0.2">
      <c r="P657" s="24"/>
      <c r="W657" s="24"/>
    </row>
    <row r="658" spans="16:23" ht="15.75" customHeight="1" x14ac:dyDescent="0.2">
      <c r="P658" s="24"/>
      <c r="W658" s="24"/>
    </row>
    <row r="659" spans="16:23" ht="15.75" customHeight="1" x14ac:dyDescent="0.2">
      <c r="P659" s="24"/>
      <c r="W659" s="24"/>
    </row>
    <row r="660" spans="16:23" ht="15.75" customHeight="1" x14ac:dyDescent="0.2">
      <c r="P660" s="24"/>
      <c r="W660" s="24"/>
    </row>
    <row r="661" spans="16:23" ht="15.75" customHeight="1" x14ac:dyDescent="0.2">
      <c r="P661" s="24"/>
      <c r="W661" s="24"/>
    </row>
    <row r="662" spans="16:23" ht="15.75" customHeight="1" x14ac:dyDescent="0.2">
      <c r="P662" s="24"/>
      <c r="W662" s="24"/>
    </row>
    <row r="663" spans="16:23" ht="15.75" customHeight="1" x14ac:dyDescent="0.2">
      <c r="P663" s="24"/>
      <c r="W663" s="24"/>
    </row>
    <row r="664" spans="16:23" ht="15.75" customHeight="1" x14ac:dyDescent="0.2">
      <c r="P664" s="24"/>
      <c r="W664" s="24"/>
    </row>
    <row r="665" spans="16:23" ht="15.75" customHeight="1" x14ac:dyDescent="0.2">
      <c r="P665" s="24"/>
      <c r="W665" s="24"/>
    </row>
    <row r="666" spans="16:23" ht="15.75" customHeight="1" x14ac:dyDescent="0.2">
      <c r="P666" s="24"/>
      <c r="W666" s="24"/>
    </row>
    <row r="667" spans="16:23" ht="15.75" customHeight="1" x14ac:dyDescent="0.2">
      <c r="P667" s="24"/>
      <c r="W667" s="24"/>
    </row>
    <row r="668" spans="16:23" ht="15.75" customHeight="1" x14ac:dyDescent="0.2">
      <c r="P668" s="24"/>
      <c r="W668" s="24"/>
    </row>
    <row r="669" spans="16:23" ht="15.75" customHeight="1" x14ac:dyDescent="0.2">
      <c r="P669" s="24"/>
      <c r="W669" s="24"/>
    </row>
    <row r="670" spans="16:23" ht="15.75" customHeight="1" x14ac:dyDescent="0.2">
      <c r="P670" s="24"/>
      <c r="W670" s="24"/>
    </row>
    <row r="671" spans="16:23" ht="15.75" customHeight="1" x14ac:dyDescent="0.2">
      <c r="P671" s="24"/>
      <c r="W671" s="24"/>
    </row>
    <row r="672" spans="16:23" ht="15.75" customHeight="1" x14ac:dyDescent="0.2">
      <c r="P672" s="24"/>
      <c r="W672" s="24"/>
    </row>
    <row r="673" spans="16:23" ht="15.75" customHeight="1" x14ac:dyDescent="0.2">
      <c r="P673" s="24"/>
      <c r="W673" s="24"/>
    </row>
    <row r="674" spans="16:23" ht="15.75" customHeight="1" x14ac:dyDescent="0.2">
      <c r="P674" s="24"/>
      <c r="W674" s="24"/>
    </row>
    <row r="675" spans="16:23" ht="15.75" customHeight="1" x14ac:dyDescent="0.2">
      <c r="P675" s="24"/>
      <c r="W675" s="24"/>
    </row>
    <row r="676" spans="16:23" ht="15.75" customHeight="1" x14ac:dyDescent="0.2">
      <c r="P676" s="24"/>
      <c r="W676" s="24"/>
    </row>
    <row r="677" spans="16:23" ht="15.75" customHeight="1" x14ac:dyDescent="0.2">
      <c r="P677" s="24"/>
      <c r="W677" s="24"/>
    </row>
    <row r="678" spans="16:23" ht="15.75" customHeight="1" x14ac:dyDescent="0.2">
      <c r="P678" s="24"/>
      <c r="W678" s="24"/>
    </row>
    <row r="679" spans="16:23" ht="15.75" customHeight="1" x14ac:dyDescent="0.2">
      <c r="P679" s="24"/>
      <c r="W679" s="24"/>
    </row>
    <row r="680" spans="16:23" ht="15.75" customHeight="1" x14ac:dyDescent="0.2">
      <c r="P680" s="24"/>
      <c r="W680" s="24"/>
    </row>
    <row r="681" spans="16:23" ht="15.75" customHeight="1" x14ac:dyDescent="0.2">
      <c r="P681" s="24"/>
      <c r="W681" s="24"/>
    </row>
    <row r="682" spans="16:23" ht="15.75" customHeight="1" x14ac:dyDescent="0.2">
      <c r="P682" s="24"/>
      <c r="W682" s="24"/>
    </row>
    <row r="683" spans="16:23" ht="15.75" customHeight="1" x14ac:dyDescent="0.2">
      <c r="P683" s="24"/>
      <c r="W683" s="24"/>
    </row>
    <row r="684" spans="16:23" ht="15.75" customHeight="1" x14ac:dyDescent="0.2">
      <c r="P684" s="24"/>
      <c r="W684" s="24"/>
    </row>
    <row r="685" spans="16:23" ht="15.75" customHeight="1" x14ac:dyDescent="0.2">
      <c r="P685" s="24"/>
      <c r="W685" s="24"/>
    </row>
    <row r="686" spans="16:23" ht="15.75" customHeight="1" x14ac:dyDescent="0.2">
      <c r="P686" s="24"/>
      <c r="W686" s="24"/>
    </row>
    <row r="687" spans="16:23" ht="15.75" customHeight="1" x14ac:dyDescent="0.2">
      <c r="P687" s="24"/>
      <c r="W687" s="24"/>
    </row>
    <row r="688" spans="16:23" ht="15.75" customHeight="1" x14ac:dyDescent="0.2">
      <c r="P688" s="24"/>
      <c r="W688" s="24"/>
    </row>
    <row r="689" spans="16:23" ht="15.75" customHeight="1" x14ac:dyDescent="0.2">
      <c r="P689" s="24"/>
      <c r="W689" s="24"/>
    </row>
    <row r="690" spans="16:23" ht="15.75" customHeight="1" x14ac:dyDescent="0.2">
      <c r="P690" s="24"/>
      <c r="W690" s="24"/>
    </row>
    <row r="691" spans="16:23" ht="15.75" customHeight="1" x14ac:dyDescent="0.2">
      <c r="P691" s="24"/>
      <c r="W691" s="24"/>
    </row>
    <row r="692" spans="16:23" ht="15.75" customHeight="1" x14ac:dyDescent="0.2">
      <c r="P692" s="24"/>
      <c r="W692" s="24"/>
    </row>
    <row r="693" spans="16:23" ht="15.75" customHeight="1" x14ac:dyDescent="0.2">
      <c r="P693" s="24"/>
      <c r="W693" s="24"/>
    </row>
    <row r="694" spans="16:23" ht="15.75" customHeight="1" x14ac:dyDescent="0.2">
      <c r="P694" s="24"/>
      <c r="W694" s="24"/>
    </row>
    <row r="695" spans="16:23" ht="15.75" customHeight="1" x14ac:dyDescent="0.2">
      <c r="P695" s="24"/>
      <c r="W695" s="24"/>
    </row>
    <row r="696" spans="16:23" ht="15.75" customHeight="1" x14ac:dyDescent="0.2">
      <c r="P696" s="24"/>
      <c r="W696" s="24"/>
    </row>
    <row r="697" spans="16:23" ht="15.75" customHeight="1" x14ac:dyDescent="0.2">
      <c r="P697" s="24"/>
      <c r="W697" s="24"/>
    </row>
    <row r="698" spans="16:23" ht="15.75" customHeight="1" x14ac:dyDescent="0.2">
      <c r="P698" s="24"/>
      <c r="W698" s="24"/>
    </row>
    <row r="699" spans="16:23" ht="15.75" customHeight="1" x14ac:dyDescent="0.2">
      <c r="P699" s="24"/>
      <c r="W699" s="24"/>
    </row>
    <row r="700" spans="16:23" ht="15.75" customHeight="1" x14ac:dyDescent="0.2">
      <c r="P700" s="24"/>
      <c r="W700" s="24"/>
    </row>
    <row r="701" spans="16:23" ht="15.75" customHeight="1" x14ac:dyDescent="0.2">
      <c r="P701" s="24"/>
      <c r="W701" s="24"/>
    </row>
    <row r="702" spans="16:23" ht="15.75" customHeight="1" x14ac:dyDescent="0.2">
      <c r="P702" s="24"/>
      <c r="W702" s="24"/>
    </row>
    <row r="703" spans="16:23" ht="15.75" customHeight="1" x14ac:dyDescent="0.2">
      <c r="P703" s="24"/>
      <c r="W703" s="24"/>
    </row>
    <row r="704" spans="16:23" ht="15.75" customHeight="1" x14ac:dyDescent="0.2">
      <c r="P704" s="24"/>
      <c r="W704" s="24"/>
    </row>
    <row r="705" spans="16:23" ht="15.75" customHeight="1" x14ac:dyDescent="0.2">
      <c r="P705" s="24"/>
      <c r="W705" s="24"/>
    </row>
    <row r="706" spans="16:23" ht="15.75" customHeight="1" x14ac:dyDescent="0.2">
      <c r="P706" s="24"/>
      <c r="W706" s="24"/>
    </row>
    <row r="707" spans="16:23" ht="15.75" customHeight="1" x14ac:dyDescent="0.2">
      <c r="P707" s="24"/>
      <c r="W707" s="24"/>
    </row>
    <row r="708" spans="16:23" ht="15.75" customHeight="1" x14ac:dyDescent="0.2">
      <c r="P708" s="24"/>
      <c r="W708" s="24"/>
    </row>
    <row r="709" spans="16:23" ht="15.75" customHeight="1" x14ac:dyDescent="0.2">
      <c r="P709" s="24"/>
      <c r="W709" s="24"/>
    </row>
    <row r="710" spans="16:23" ht="15.75" customHeight="1" x14ac:dyDescent="0.2">
      <c r="P710" s="24"/>
      <c r="W710" s="24"/>
    </row>
    <row r="711" spans="16:23" ht="15.75" customHeight="1" x14ac:dyDescent="0.2">
      <c r="P711" s="24"/>
      <c r="W711" s="24"/>
    </row>
    <row r="712" spans="16:23" ht="15.75" customHeight="1" x14ac:dyDescent="0.2">
      <c r="P712" s="24"/>
      <c r="W712" s="24"/>
    </row>
    <row r="713" spans="16:23" ht="15.75" customHeight="1" x14ac:dyDescent="0.2">
      <c r="P713" s="24"/>
      <c r="W713" s="24"/>
    </row>
    <row r="714" spans="16:23" ht="15.75" customHeight="1" x14ac:dyDescent="0.2">
      <c r="P714" s="24"/>
      <c r="W714" s="24"/>
    </row>
    <row r="715" spans="16:23" ht="15.75" customHeight="1" x14ac:dyDescent="0.2">
      <c r="P715" s="24"/>
      <c r="W715" s="24"/>
    </row>
    <row r="716" spans="16:23" ht="15.75" customHeight="1" x14ac:dyDescent="0.2">
      <c r="P716" s="24"/>
      <c r="W716" s="24"/>
    </row>
    <row r="717" spans="16:23" ht="15.75" customHeight="1" x14ac:dyDescent="0.2">
      <c r="P717" s="24"/>
      <c r="W717" s="24"/>
    </row>
    <row r="718" spans="16:23" ht="15.75" customHeight="1" x14ac:dyDescent="0.2">
      <c r="P718" s="24"/>
      <c r="W718" s="24"/>
    </row>
    <row r="719" spans="16:23" ht="15.75" customHeight="1" x14ac:dyDescent="0.2">
      <c r="P719" s="24"/>
      <c r="W719" s="24"/>
    </row>
    <row r="720" spans="16:23" ht="15.75" customHeight="1" x14ac:dyDescent="0.2">
      <c r="P720" s="24"/>
      <c r="W720" s="24"/>
    </row>
    <row r="721" spans="16:23" ht="15.75" customHeight="1" x14ac:dyDescent="0.2">
      <c r="P721" s="24"/>
      <c r="W721" s="24"/>
    </row>
    <row r="722" spans="16:23" ht="15.75" customHeight="1" x14ac:dyDescent="0.2">
      <c r="P722" s="24"/>
      <c r="W722" s="24"/>
    </row>
    <row r="723" spans="16:23" ht="15.75" customHeight="1" x14ac:dyDescent="0.2">
      <c r="P723" s="24"/>
      <c r="W723" s="24"/>
    </row>
    <row r="724" spans="16:23" ht="15.75" customHeight="1" x14ac:dyDescent="0.2">
      <c r="P724" s="24"/>
      <c r="W724" s="24"/>
    </row>
    <row r="725" spans="16:23" ht="15.75" customHeight="1" x14ac:dyDescent="0.2">
      <c r="P725" s="24"/>
      <c r="W725" s="24"/>
    </row>
    <row r="726" spans="16:23" ht="15.75" customHeight="1" x14ac:dyDescent="0.2">
      <c r="P726" s="24"/>
      <c r="W726" s="24"/>
    </row>
    <row r="727" spans="16:23" ht="15.75" customHeight="1" x14ac:dyDescent="0.2">
      <c r="P727" s="24"/>
      <c r="W727" s="24"/>
    </row>
    <row r="728" spans="16:23" ht="15.75" customHeight="1" x14ac:dyDescent="0.2">
      <c r="P728" s="24"/>
      <c r="W728" s="24"/>
    </row>
    <row r="729" spans="16:23" ht="15.75" customHeight="1" x14ac:dyDescent="0.2">
      <c r="P729" s="24"/>
      <c r="W729" s="24"/>
    </row>
    <row r="730" spans="16:23" ht="15.75" customHeight="1" x14ac:dyDescent="0.2">
      <c r="P730" s="24"/>
      <c r="W730" s="24"/>
    </row>
    <row r="731" spans="16:23" ht="15.75" customHeight="1" x14ac:dyDescent="0.2">
      <c r="P731" s="24"/>
      <c r="W731" s="24"/>
    </row>
    <row r="732" spans="16:23" ht="15.75" customHeight="1" x14ac:dyDescent="0.2">
      <c r="P732" s="24"/>
      <c r="W732" s="24"/>
    </row>
    <row r="733" spans="16:23" ht="15.75" customHeight="1" x14ac:dyDescent="0.2">
      <c r="P733" s="24"/>
      <c r="W733" s="24"/>
    </row>
    <row r="734" spans="16:23" ht="15.75" customHeight="1" x14ac:dyDescent="0.2">
      <c r="P734" s="24"/>
      <c r="W734" s="24"/>
    </row>
    <row r="735" spans="16:23" ht="15.75" customHeight="1" x14ac:dyDescent="0.2">
      <c r="P735" s="24"/>
      <c r="W735" s="24"/>
    </row>
    <row r="736" spans="16:23" ht="15.75" customHeight="1" x14ac:dyDescent="0.2">
      <c r="P736" s="24"/>
      <c r="W736" s="24"/>
    </row>
    <row r="737" spans="16:23" ht="15.75" customHeight="1" x14ac:dyDescent="0.2">
      <c r="P737" s="24"/>
      <c r="W737" s="24"/>
    </row>
    <row r="738" spans="16:23" ht="15.75" customHeight="1" x14ac:dyDescent="0.2">
      <c r="P738" s="24"/>
      <c r="W738" s="24"/>
    </row>
    <row r="739" spans="16:23" ht="15.75" customHeight="1" x14ac:dyDescent="0.2">
      <c r="P739" s="24"/>
      <c r="W739" s="24"/>
    </row>
    <row r="740" spans="16:23" ht="15.75" customHeight="1" x14ac:dyDescent="0.2">
      <c r="P740" s="24"/>
      <c r="W740" s="24"/>
    </row>
    <row r="741" spans="16:23" ht="15.75" customHeight="1" x14ac:dyDescent="0.2">
      <c r="P741" s="24"/>
      <c r="W741" s="24"/>
    </row>
    <row r="742" spans="16:23" ht="15.75" customHeight="1" x14ac:dyDescent="0.2">
      <c r="P742" s="24"/>
      <c r="W742" s="24"/>
    </row>
    <row r="743" spans="16:23" ht="15.75" customHeight="1" x14ac:dyDescent="0.2">
      <c r="P743" s="24"/>
      <c r="W743" s="24"/>
    </row>
    <row r="744" spans="16:23" ht="15.75" customHeight="1" x14ac:dyDescent="0.2">
      <c r="P744" s="24"/>
      <c r="W744" s="24"/>
    </row>
    <row r="745" spans="16:23" ht="15.75" customHeight="1" x14ac:dyDescent="0.2">
      <c r="P745" s="24"/>
      <c r="W745" s="24"/>
    </row>
    <row r="746" spans="16:23" ht="15.75" customHeight="1" x14ac:dyDescent="0.2">
      <c r="P746" s="24"/>
      <c r="W746" s="24"/>
    </row>
    <row r="747" spans="16:23" ht="15.75" customHeight="1" x14ac:dyDescent="0.2">
      <c r="P747" s="24"/>
      <c r="W747" s="24"/>
    </row>
    <row r="748" spans="16:23" ht="15.75" customHeight="1" x14ac:dyDescent="0.2">
      <c r="P748" s="24"/>
      <c r="W748" s="24"/>
    </row>
    <row r="749" spans="16:23" ht="15.75" customHeight="1" x14ac:dyDescent="0.2">
      <c r="P749" s="24"/>
      <c r="W749" s="24"/>
    </row>
    <row r="750" spans="16:23" ht="15.75" customHeight="1" x14ac:dyDescent="0.2">
      <c r="P750" s="24"/>
      <c r="W750" s="24"/>
    </row>
    <row r="751" spans="16:23" ht="15.75" customHeight="1" x14ac:dyDescent="0.2">
      <c r="P751" s="24"/>
      <c r="W751" s="24"/>
    </row>
    <row r="752" spans="16:23" ht="15.75" customHeight="1" x14ac:dyDescent="0.2">
      <c r="P752" s="24"/>
      <c r="W752" s="24"/>
    </row>
    <row r="753" spans="16:23" ht="15.75" customHeight="1" x14ac:dyDescent="0.2">
      <c r="P753" s="24"/>
      <c r="W753" s="24"/>
    </row>
    <row r="754" spans="16:23" ht="15.75" customHeight="1" x14ac:dyDescent="0.2">
      <c r="P754" s="24"/>
      <c r="W754" s="24"/>
    </row>
    <row r="755" spans="16:23" ht="15.75" customHeight="1" x14ac:dyDescent="0.2">
      <c r="P755" s="24"/>
      <c r="W755" s="24"/>
    </row>
    <row r="756" spans="16:23" ht="15.75" customHeight="1" x14ac:dyDescent="0.2">
      <c r="P756" s="24"/>
      <c r="W756" s="24"/>
    </row>
    <row r="757" spans="16:23" ht="15.75" customHeight="1" x14ac:dyDescent="0.2">
      <c r="P757" s="24"/>
      <c r="W757" s="24"/>
    </row>
    <row r="758" spans="16:23" ht="15.75" customHeight="1" x14ac:dyDescent="0.2">
      <c r="P758" s="24"/>
      <c r="W758" s="24"/>
    </row>
    <row r="759" spans="16:23" ht="15.75" customHeight="1" x14ac:dyDescent="0.2">
      <c r="P759" s="24"/>
      <c r="W759" s="24"/>
    </row>
    <row r="760" spans="16:23" ht="15.75" customHeight="1" x14ac:dyDescent="0.2">
      <c r="P760" s="24"/>
      <c r="W760" s="24"/>
    </row>
    <row r="761" spans="16:23" ht="15.75" customHeight="1" x14ac:dyDescent="0.2">
      <c r="P761" s="24"/>
      <c r="W761" s="24"/>
    </row>
    <row r="762" spans="16:23" ht="15.75" customHeight="1" x14ac:dyDescent="0.2">
      <c r="P762" s="24"/>
      <c r="W762" s="24"/>
    </row>
    <row r="763" spans="16:23" ht="15.75" customHeight="1" x14ac:dyDescent="0.2">
      <c r="P763" s="24"/>
      <c r="W763" s="24"/>
    </row>
    <row r="764" spans="16:23" ht="15.75" customHeight="1" x14ac:dyDescent="0.2">
      <c r="P764" s="24"/>
      <c r="W764" s="24"/>
    </row>
    <row r="765" spans="16:23" ht="15.75" customHeight="1" x14ac:dyDescent="0.2">
      <c r="P765" s="24"/>
      <c r="W765" s="24"/>
    </row>
    <row r="766" spans="16:23" ht="15.75" customHeight="1" x14ac:dyDescent="0.2">
      <c r="P766" s="24"/>
      <c r="W766" s="24"/>
    </row>
    <row r="767" spans="16:23" ht="15.75" customHeight="1" x14ac:dyDescent="0.2">
      <c r="P767" s="24"/>
      <c r="W767" s="24"/>
    </row>
    <row r="768" spans="16:23" ht="15.75" customHeight="1" x14ac:dyDescent="0.2">
      <c r="P768" s="24"/>
      <c r="W768" s="24"/>
    </row>
    <row r="769" spans="16:23" ht="15.75" customHeight="1" x14ac:dyDescent="0.2">
      <c r="P769" s="24"/>
      <c r="W769" s="24"/>
    </row>
    <row r="770" spans="16:23" ht="15.75" customHeight="1" x14ac:dyDescent="0.2">
      <c r="P770" s="24"/>
      <c r="W770" s="24"/>
    </row>
    <row r="771" spans="16:23" ht="15.75" customHeight="1" x14ac:dyDescent="0.2">
      <c r="P771" s="24"/>
      <c r="W771" s="24"/>
    </row>
    <row r="772" spans="16:23" ht="15.75" customHeight="1" x14ac:dyDescent="0.2">
      <c r="P772" s="24"/>
      <c r="W772" s="24"/>
    </row>
    <row r="773" spans="16:23" ht="15.75" customHeight="1" x14ac:dyDescent="0.2">
      <c r="P773" s="24"/>
      <c r="W773" s="24"/>
    </row>
    <row r="774" spans="16:23" ht="15.75" customHeight="1" x14ac:dyDescent="0.2">
      <c r="P774" s="24"/>
      <c r="W774" s="24"/>
    </row>
    <row r="775" spans="16:23" ht="15.75" customHeight="1" x14ac:dyDescent="0.2">
      <c r="P775" s="24"/>
      <c r="W775" s="24"/>
    </row>
    <row r="776" spans="16:23" ht="15.75" customHeight="1" x14ac:dyDescent="0.2">
      <c r="P776" s="24"/>
      <c r="W776" s="24"/>
    </row>
    <row r="777" spans="16:23" ht="15.75" customHeight="1" x14ac:dyDescent="0.2">
      <c r="P777" s="24"/>
      <c r="W777" s="24"/>
    </row>
    <row r="778" spans="16:23" ht="15.75" customHeight="1" x14ac:dyDescent="0.2">
      <c r="P778" s="24"/>
      <c r="W778" s="24"/>
    </row>
    <row r="779" spans="16:23" ht="15.75" customHeight="1" x14ac:dyDescent="0.2">
      <c r="P779" s="24"/>
      <c r="W779" s="24"/>
    </row>
    <row r="780" spans="16:23" ht="15.75" customHeight="1" x14ac:dyDescent="0.2">
      <c r="P780" s="24"/>
      <c r="W780" s="24"/>
    </row>
    <row r="781" spans="16:23" ht="15.75" customHeight="1" x14ac:dyDescent="0.2">
      <c r="P781" s="24"/>
      <c r="W781" s="24"/>
    </row>
    <row r="782" spans="16:23" ht="15.75" customHeight="1" x14ac:dyDescent="0.2">
      <c r="P782" s="24"/>
      <c r="W782" s="24"/>
    </row>
    <row r="783" spans="16:23" ht="15.75" customHeight="1" x14ac:dyDescent="0.2">
      <c r="P783" s="24"/>
      <c r="W783" s="24"/>
    </row>
    <row r="784" spans="16:23" ht="15.75" customHeight="1" x14ac:dyDescent="0.2">
      <c r="P784" s="24"/>
      <c r="W784" s="24"/>
    </row>
    <row r="785" spans="16:23" ht="15.75" customHeight="1" x14ac:dyDescent="0.2">
      <c r="P785" s="24"/>
      <c r="W785" s="24"/>
    </row>
    <row r="786" spans="16:23" ht="15.75" customHeight="1" x14ac:dyDescent="0.2">
      <c r="P786" s="24"/>
      <c r="W786" s="24"/>
    </row>
    <row r="787" spans="16:23" ht="15.75" customHeight="1" x14ac:dyDescent="0.2">
      <c r="P787" s="24"/>
      <c r="W787" s="24"/>
    </row>
    <row r="788" spans="16:23" ht="15.75" customHeight="1" x14ac:dyDescent="0.2">
      <c r="P788" s="24"/>
      <c r="W788" s="24"/>
    </row>
    <row r="789" spans="16:23" ht="15.75" customHeight="1" x14ac:dyDescent="0.2">
      <c r="P789" s="24"/>
      <c r="W789" s="24"/>
    </row>
    <row r="790" spans="16:23" ht="15.75" customHeight="1" x14ac:dyDescent="0.2">
      <c r="P790" s="24"/>
      <c r="W790" s="24"/>
    </row>
    <row r="791" spans="16:23" ht="15.75" customHeight="1" x14ac:dyDescent="0.2">
      <c r="P791" s="24"/>
      <c r="W791" s="24"/>
    </row>
    <row r="792" spans="16:23" ht="15.75" customHeight="1" x14ac:dyDescent="0.2">
      <c r="P792" s="24"/>
      <c r="W792" s="24"/>
    </row>
    <row r="793" spans="16:23" ht="15.75" customHeight="1" x14ac:dyDescent="0.2">
      <c r="P793" s="24"/>
      <c r="W793" s="24"/>
    </row>
    <row r="794" spans="16:23" ht="15.75" customHeight="1" x14ac:dyDescent="0.2">
      <c r="P794" s="24"/>
      <c r="W794" s="24"/>
    </row>
    <row r="795" spans="16:23" ht="15.75" customHeight="1" x14ac:dyDescent="0.2">
      <c r="P795" s="24"/>
      <c r="W795" s="24"/>
    </row>
    <row r="796" spans="16:23" ht="15.75" customHeight="1" x14ac:dyDescent="0.2">
      <c r="P796" s="24"/>
      <c r="W796" s="24"/>
    </row>
    <row r="797" spans="16:23" ht="15.75" customHeight="1" x14ac:dyDescent="0.2">
      <c r="P797" s="24"/>
      <c r="W797" s="24"/>
    </row>
    <row r="798" spans="16:23" ht="15.75" customHeight="1" x14ac:dyDescent="0.2">
      <c r="P798" s="24"/>
      <c r="W798" s="24"/>
    </row>
    <row r="799" spans="16:23" ht="15.75" customHeight="1" x14ac:dyDescent="0.2">
      <c r="P799" s="24"/>
      <c r="W799" s="24"/>
    </row>
    <row r="800" spans="16:23" ht="15.75" customHeight="1" x14ac:dyDescent="0.2">
      <c r="P800" s="24"/>
      <c r="W800" s="24"/>
    </row>
    <row r="801" spans="16:23" ht="15.75" customHeight="1" x14ac:dyDescent="0.2">
      <c r="P801" s="24"/>
      <c r="W801" s="24"/>
    </row>
    <row r="802" spans="16:23" ht="15.75" customHeight="1" x14ac:dyDescent="0.2">
      <c r="P802" s="24"/>
      <c r="W802" s="24"/>
    </row>
    <row r="803" spans="16:23" ht="15.75" customHeight="1" x14ac:dyDescent="0.2">
      <c r="P803" s="24"/>
      <c r="W803" s="24"/>
    </row>
    <row r="804" spans="16:23" ht="15.75" customHeight="1" x14ac:dyDescent="0.2">
      <c r="P804" s="24"/>
      <c r="W804" s="24"/>
    </row>
    <row r="805" spans="16:23" ht="15.75" customHeight="1" x14ac:dyDescent="0.2">
      <c r="P805" s="24"/>
      <c r="W805" s="24"/>
    </row>
    <row r="806" spans="16:23" ht="15.75" customHeight="1" x14ac:dyDescent="0.2">
      <c r="P806" s="24"/>
      <c r="W806" s="24"/>
    </row>
    <row r="807" spans="16:23" ht="15.75" customHeight="1" x14ac:dyDescent="0.2">
      <c r="P807" s="24"/>
      <c r="W807" s="24"/>
    </row>
    <row r="808" spans="16:23" ht="15.75" customHeight="1" x14ac:dyDescent="0.2">
      <c r="P808" s="24"/>
      <c r="W808" s="24"/>
    </row>
    <row r="809" spans="16:23" ht="15.75" customHeight="1" x14ac:dyDescent="0.2">
      <c r="P809" s="24"/>
      <c r="W809" s="24"/>
    </row>
    <row r="810" spans="16:23" ht="15.75" customHeight="1" x14ac:dyDescent="0.2">
      <c r="P810" s="24"/>
      <c r="W810" s="24"/>
    </row>
    <row r="811" spans="16:23" ht="15.75" customHeight="1" x14ac:dyDescent="0.2">
      <c r="P811" s="24"/>
      <c r="W811" s="24"/>
    </row>
    <row r="812" spans="16:23" ht="15.75" customHeight="1" x14ac:dyDescent="0.2">
      <c r="P812" s="24"/>
      <c r="W812" s="24"/>
    </row>
    <row r="813" spans="16:23" ht="15.75" customHeight="1" x14ac:dyDescent="0.2">
      <c r="P813" s="24"/>
      <c r="W813" s="24"/>
    </row>
    <row r="814" spans="16:23" ht="15.75" customHeight="1" x14ac:dyDescent="0.2">
      <c r="P814" s="24"/>
      <c r="W814" s="24"/>
    </row>
    <row r="815" spans="16:23" ht="15.75" customHeight="1" x14ac:dyDescent="0.2">
      <c r="P815" s="24"/>
      <c r="W815" s="24"/>
    </row>
    <row r="816" spans="16:23" ht="15.75" customHeight="1" x14ac:dyDescent="0.2">
      <c r="P816" s="24"/>
      <c r="W816" s="24"/>
    </row>
    <row r="817" spans="16:23" ht="15.75" customHeight="1" x14ac:dyDescent="0.2">
      <c r="P817" s="24"/>
      <c r="W817" s="24"/>
    </row>
    <row r="818" spans="16:23" ht="15.75" customHeight="1" x14ac:dyDescent="0.2">
      <c r="P818" s="24"/>
      <c r="W818" s="24"/>
    </row>
    <row r="819" spans="16:23" ht="15.75" customHeight="1" x14ac:dyDescent="0.2">
      <c r="P819" s="24"/>
      <c r="W819" s="24"/>
    </row>
    <row r="820" spans="16:23" ht="15.75" customHeight="1" x14ac:dyDescent="0.2">
      <c r="P820" s="24"/>
      <c r="W820" s="24"/>
    </row>
    <row r="821" spans="16:23" ht="15.75" customHeight="1" x14ac:dyDescent="0.2">
      <c r="P821" s="24"/>
      <c r="W821" s="24"/>
    </row>
    <row r="822" spans="16:23" ht="15.75" customHeight="1" x14ac:dyDescent="0.2">
      <c r="P822" s="24"/>
      <c r="W822" s="24"/>
    </row>
    <row r="823" spans="16:23" ht="15.75" customHeight="1" x14ac:dyDescent="0.2">
      <c r="P823" s="24"/>
      <c r="W823" s="24"/>
    </row>
    <row r="824" spans="16:23" ht="15.75" customHeight="1" x14ac:dyDescent="0.2">
      <c r="P824" s="24"/>
      <c r="W824" s="24"/>
    </row>
    <row r="825" spans="16:23" ht="15.75" customHeight="1" x14ac:dyDescent="0.2">
      <c r="P825" s="24"/>
      <c r="W825" s="24"/>
    </row>
    <row r="826" spans="16:23" ht="15.75" customHeight="1" x14ac:dyDescent="0.2">
      <c r="P826" s="24"/>
      <c r="W826" s="24"/>
    </row>
    <row r="827" spans="16:23" ht="15.75" customHeight="1" x14ac:dyDescent="0.2">
      <c r="P827" s="24"/>
      <c r="W827" s="24"/>
    </row>
    <row r="828" spans="16:23" ht="15.75" customHeight="1" x14ac:dyDescent="0.2">
      <c r="P828" s="24"/>
      <c r="W828" s="24"/>
    </row>
    <row r="829" spans="16:23" ht="15.75" customHeight="1" x14ac:dyDescent="0.2">
      <c r="P829" s="24"/>
      <c r="W829" s="24"/>
    </row>
    <row r="830" spans="16:23" ht="15.75" customHeight="1" x14ac:dyDescent="0.2">
      <c r="P830" s="24"/>
      <c r="W830" s="24"/>
    </row>
    <row r="831" spans="16:23" ht="15.75" customHeight="1" x14ac:dyDescent="0.2">
      <c r="P831" s="24"/>
      <c r="W831" s="24"/>
    </row>
    <row r="832" spans="16:23" ht="15.75" customHeight="1" x14ac:dyDescent="0.2">
      <c r="P832" s="24"/>
      <c r="W832" s="24"/>
    </row>
    <row r="833" spans="16:23" ht="15.75" customHeight="1" x14ac:dyDescent="0.2">
      <c r="P833" s="24"/>
      <c r="W833" s="24"/>
    </row>
    <row r="834" spans="16:23" ht="15.75" customHeight="1" x14ac:dyDescent="0.2">
      <c r="P834" s="24"/>
      <c r="W834" s="24"/>
    </row>
    <row r="835" spans="16:23" ht="15.75" customHeight="1" x14ac:dyDescent="0.2">
      <c r="P835" s="24"/>
      <c r="W835" s="24"/>
    </row>
    <row r="836" spans="16:23" ht="15.75" customHeight="1" x14ac:dyDescent="0.2">
      <c r="P836" s="24"/>
      <c r="W836" s="24"/>
    </row>
    <row r="837" spans="16:23" ht="15.75" customHeight="1" x14ac:dyDescent="0.2">
      <c r="P837" s="24"/>
      <c r="W837" s="24"/>
    </row>
    <row r="838" spans="16:23" ht="15.75" customHeight="1" x14ac:dyDescent="0.2">
      <c r="P838" s="24"/>
      <c r="W838" s="24"/>
    </row>
    <row r="839" spans="16:23" ht="15.75" customHeight="1" x14ac:dyDescent="0.2">
      <c r="P839" s="24"/>
      <c r="W839" s="24"/>
    </row>
    <row r="840" spans="16:23" ht="15.75" customHeight="1" x14ac:dyDescent="0.2">
      <c r="P840" s="24"/>
      <c r="W840" s="24"/>
    </row>
    <row r="841" spans="16:23" ht="15.75" customHeight="1" x14ac:dyDescent="0.2">
      <c r="P841" s="24"/>
      <c r="W841" s="24"/>
    </row>
    <row r="842" spans="16:23" ht="15.75" customHeight="1" x14ac:dyDescent="0.2">
      <c r="P842" s="24"/>
      <c r="W842" s="24"/>
    </row>
    <row r="843" spans="16:23" ht="15.75" customHeight="1" x14ac:dyDescent="0.2">
      <c r="P843" s="24"/>
      <c r="W843" s="24"/>
    </row>
    <row r="844" spans="16:23" ht="15.75" customHeight="1" x14ac:dyDescent="0.2">
      <c r="P844" s="24"/>
      <c r="W844" s="24"/>
    </row>
    <row r="845" spans="16:23" ht="15.75" customHeight="1" x14ac:dyDescent="0.2">
      <c r="P845" s="24"/>
      <c r="W845" s="24"/>
    </row>
    <row r="846" spans="16:23" ht="15.75" customHeight="1" x14ac:dyDescent="0.2">
      <c r="P846" s="24"/>
      <c r="W846" s="24"/>
    </row>
    <row r="847" spans="16:23" ht="15.75" customHeight="1" x14ac:dyDescent="0.2">
      <c r="P847" s="24"/>
      <c r="W847" s="24"/>
    </row>
    <row r="848" spans="16:23" ht="15.75" customHeight="1" x14ac:dyDescent="0.2">
      <c r="P848" s="24"/>
      <c r="W848" s="24"/>
    </row>
    <row r="849" spans="16:23" ht="15.75" customHeight="1" x14ac:dyDescent="0.2">
      <c r="P849" s="24"/>
      <c r="W849" s="24"/>
    </row>
    <row r="850" spans="16:23" ht="15.75" customHeight="1" x14ac:dyDescent="0.2">
      <c r="P850" s="24"/>
      <c r="W850" s="24"/>
    </row>
    <row r="851" spans="16:23" ht="15.75" customHeight="1" x14ac:dyDescent="0.2">
      <c r="P851" s="24"/>
      <c r="W851" s="24"/>
    </row>
    <row r="852" spans="16:23" ht="15.75" customHeight="1" x14ac:dyDescent="0.2">
      <c r="P852" s="24"/>
      <c r="W852" s="24"/>
    </row>
    <row r="853" spans="16:23" ht="15.75" customHeight="1" x14ac:dyDescent="0.2">
      <c r="P853" s="24"/>
      <c r="W853" s="24"/>
    </row>
    <row r="854" spans="16:23" ht="15.75" customHeight="1" x14ac:dyDescent="0.2">
      <c r="P854" s="24"/>
      <c r="W854" s="24"/>
    </row>
    <row r="855" spans="16:23" ht="15.75" customHeight="1" x14ac:dyDescent="0.2">
      <c r="P855" s="24"/>
      <c r="W855" s="24"/>
    </row>
    <row r="856" spans="16:23" ht="15.75" customHeight="1" x14ac:dyDescent="0.2">
      <c r="P856" s="24"/>
      <c r="W856" s="24"/>
    </row>
    <row r="857" spans="16:23" ht="15.75" customHeight="1" x14ac:dyDescent="0.2">
      <c r="P857" s="24"/>
      <c r="W857" s="24"/>
    </row>
    <row r="858" spans="16:23" ht="15.75" customHeight="1" x14ac:dyDescent="0.2">
      <c r="P858" s="24"/>
      <c r="W858" s="24"/>
    </row>
    <row r="859" spans="16:23" ht="15.75" customHeight="1" x14ac:dyDescent="0.2">
      <c r="P859" s="24"/>
      <c r="W859" s="24"/>
    </row>
    <row r="860" spans="16:23" ht="15.75" customHeight="1" x14ac:dyDescent="0.2">
      <c r="P860" s="24"/>
      <c r="W860" s="24"/>
    </row>
    <row r="861" spans="16:23" ht="15.75" customHeight="1" x14ac:dyDescent="0.2">
      <c r="P861" s="24"/>
      <c r="W861" s="24"/>
    </row>
    <row r="862" spans="16:23" ht="15.75" customHeight="1" x14ac:dyDescent="0.2">
      <c r="P862" s="24"/>
      <c r="W862" s="24"/>
    </row>
    <row r="863" spans="16:23" ht="15.75" customHeight="1" x14ac:dyDescent="0.2">
      <c r="P863" s="24"/>
      <c r="W863" s="24"/>
    </row>
    <row r="864" spans="16:23" ht="15.75" customHeight="1" x14ac:dyDescent="0.2">
      <c r="P864" s="24"/>
      <c r="W864" s="24"/>
    </row>
    <row r="865" spans="16:23" ht="15.75" customHeight="1" x14ac:dyDescent="0.2">
      <c r="P865" s="24"/>
      <c r="W865" s="24"/>
    </row>
    <row r="866" spans="16:23" ht="15.75" customHeight="1" x14ac:dyDescent="0.2">
      <c r="P866" s="24"/>
      <c r="W866" s="24"/>
    </row>
    <row r="867" spans="16:23" ht="15.75" customHeight="1" x14ac:dyDescent="0.2">
      <c r="P867" s="24"/>
      <c r="W867" s="24"/>
    </row>
    <row r="868" spans="16:23" ht="15.75" customHeight="1" x14ac:dyDescent="0.2">
      <c r="P868" s="24"/>
      <c r="W868" s="24"/>
    </row>
    <row r="869" spans="16:23" ht="15.75" customHeight="1" x14ac:dyDescent="0.2">
      <c r="P869" s="24"/>
      <c r="W869" s="24"/>
    </row>
    <row r="870" spans="16:23" ht="15.75" customHeight="1" x14ac:dyDescent="0.2">
      <c r="P870" s="24"/>
      <c r="W870" s="24"/>
    </row>
    <row r="871" spans="16:23" ht="15.75" customHeight="1" x14ac:dyDescent="0.2">
      <c r="P871" s="24"/>
      <c r="W871" s="24"/>
    </row>
    <row r="872" spans="16:23" ht="15.75" customHeight="1" x14ac:dyDescent="0.2">
      <c r="P872" s="24"/>
      <c r="W872" s="24"/>
    </row>
    <row r="873" spans="16:23" ht="15.75" customHeight="1" x14ac:dyDescent="0.2">
      <c r="P873" s="24"/>
      <c r="W873" s="24"/>
    </row>
    <row r="874" spans="16:23" ht="15.75" customHeight="1" x14ac:dyDescent="0.2">
      <c r="P874" s="24"/>
      <c r="W874" s="24"/>
    </row>
    <row r="875" spans="16:23" ht="15.75" customHeight="1" x14ac:dyDescent="0.2">
      <c r="P875" s="24"/>
      <c r="W875" s="24"/>
    </row>
    <row r="876" spans="16:23" ht="15.75" customHeight="1" x14ac:dyDescent="0.2">
      <c r="P876" s="24"/>
      <c r="W876" s="24"/>
    </row>
    <row r="877" spans="16:23" ht="15.75" customHeight="1" x14ac:dyDescent="0.2">
      <c r="P877" s="24"/>
      <c r="W877" s="24"/>
    </row>
    <row r="878" spans="16:23" ht="15.75" customHeight="1" x14ac:dyDescent="0.2">
      <c r="P878" s="24"/>
      <c r="W878" s="24"/>
    </row>
    <row r="879" spans="16:23" ht="15.75" customHeight="1" x14ac:dyDescent="0.2">
      <c r="P879" s="24"/>
      <c r="W879" s="24"/>
    </row>
    <row r="880" spans="16:23" ht="15.75" customHeight="1" x14ac:dyDescent="0.2">
      <c r="P880" s="24"/>
      <c r="W880" s="24"/>
    </row>
    <row r="881" spans="16:23" ht="15.75" customHeight="1" x14ac:dyDescent="0.2">
      <c r="P881" s="24"/>
      <c r="W881" s="24"/>
    </row>
    <row r="882" spans="16:23" ht="15.75" customHeight="1" x14ac:dyDescent="0.2">
      <c r="P882" s="24"/>
      <c r="W882" s="24"/>
    </row>
    <row r="883" spans="16:23" ht="15.75" customHeight="1" x14ac:dyDescent="0.2">
      <c r="P883" s="24"/>
      <c r="W883" s="24"/>
    </row>
    <row r="884" spans="16:23" ht="15.75" customHeight="1" x14ac:dyDescent="0.2">
      <c r="P884" s="24"/>
      <c r="W884" s="24"/>
    </row>
    <row r="885" spans="16:23" ht="15.75" customHeight="1" x14ac:dyDescent="0.2">
      <c r="P885" s="24"/>
      <c r="W885" s="24"/>
    </row>
    <row r="886" spans="16:23" ht="15.75" customHeight="1" x14ac:dyDescent="0.2">
      <c r="P886" s="24"/>
      <c r="W886" s="24"/>
    </row>
    <row r="887" spans="16:23" ht="15.75" customHeight="1" x14ac:dyDescent="0.2">
      <c r="P887" s="24"/>
      <c r="W887" s="24"/>
    </row>
    <row r="888" spans="16:23" ht="15.75" customHeight="1" x14ac:dyDescent="0.2">
      <c r="P888" s="24"/>
      <c r="W888" s="24"/>
    </row>
    <row r="889" spans="16:23" ht="15.75" customHeight="1" x14ac:dyDescent="0.2">
      <c r="P889" s="24"/>
      <c r="W889" s="24"/>
    </row>
    <row r="890" spans="16:23" ht="15.75" customHeight="1" x14ac:dyDescent="0.2">
      <c r="P890" s="24"/>
      <c r="W890" s="24"/>
    </row>
    <row r="891" spans="16:23" ht="15.75" customHeight="1" x14ac:dyDescent="0.2">
      <c r="P891" s="24"/>
      <c r="W891" s="24"/>
    </row>
    <row r="892" spans="16:23" ht="15.75" customHeight="1" x14ac:dyDescent="0.2">
      <c r="P892" s="24"/>
      <c r="W892" s="24"/>
    </row>
    <row r="893" spans="16:23" ht="15.75" customHeight="1" x14ac:dyDescent="0.2">
      <c r="P893" s="24"/>
      <c r="W893" s="24"/>
    </row>
    <row r="894" spans="16:23" ht="15.75" customHeight="1" x14ac:dyDescent="0.2">
      <c r="P894" s="24"/>
      <c r="W894" s="24"/>
    </row>
    <row r="895" spans="16:23" ht="15.75" customHeight="1" x14ac:dyDescent="0.2">
      <c r="P895" s="24"/>
      <c r="W895" s="24"/>
    </row>
    <row r="896" spans="16:23" ht="15.75" customHeight="1" x14ac:dyDescent="0.2">
      <c r="P896" s="24"/>
      <c r="W896" s="24"/>
    </row>
    <row r="897" spans="16:23" ht="15.75" customHeight="1" x14ac:dyDescent="0.2">
      <c r="P897" s="24"/>
      <c r="W897" s="24"/>
    </row>
    <row r="898" spans="16:23" ht="15.75" customHeight="1" x14ac:dyDescent="0.2">
      <c r="P898" s="24"/>
      <c r="W898" s="24"/>
    </row>
    <row r="899" spans="16:23" ht="15.75" customHeight="1" x14ac:dyDescent="0.2">
      <c r="P899" s="24"/>
      <c r="W899" s="24"/>
    </row>
    <row r="900" spans="16:23" ht="15.75" customHeight="1" x14ac:dyDescent="0.2">
      <c r="P900" s="24"/>
      <c r="W900" s="24"/>
    </row>
    <row r="901" spans="16:23" ht="15.75" customHeight="1" x14ac:dyDescent="0.2">
      <c r="P901" s="24"/>
      <c r="W901" s="24"/>
    </row>
    <row r="902" spans="16:23" ht="15.75" customHeight="1" x14ac:dyDescent="0.2">
      <c r="P902" s="24"/>
      <c r="W902" s="24"/>
    </row>
    <row r="903" spans="16:23" ht="15.75" customHeight="1" x14ac:dyDescent="0.2">
      <c r="P903" s="24"/>
      <c r="W903" s="24"/>
    </row>
    <row r="904" spans="16:23" ht="15.75" customHeight="1" x14ac:dyDescent="0.2">
      <c r="P904" s="24"/>
      <c r="W904" s="24"/>
    </row>
    <row r="905" spans="16:23" ht="15.75" customHeight="1" x14ac:dyDescent="0.2">
      <c r="P905" s="24"/>
      <c r="W905" s="24"/>
    </row>
    <row r="906" spans="16:23" ht="15.75" customHeight="1" x14ac:dyDescent="0.2">
      <c r="P906" s="24"/>
      <c r="W906" s="24"/>
    </row>
    <row r="907" spans="16:23" ht="15.75" customHeight="1" x14ac:dyDescent="0.2">
      <c r="P907" s="24"/>
      <c r="W907" s="24"/>
    </row>
    <row r="908" spans="16:23" ht="15.75" customHeight="1" x14ac:dyDescent="0.2">
      <c r="P908" s="24"/>
      <c r="W908" s="24"/>
    </row>
    <row r="909" spans="16:23" ht="15.75" customHeight="1" x14ac:dyDescent="0.2">
      <c r="P909" s="24"/>
      <c r="W909" s="24"/>
    </row>
    <row r="910" spans="16:23" ht="15.75" customHeight="1" x14ac:dyDescent="0.2">
      <c r="P910" s="24"/>
      <c r="W910" s="24"/>
    </row>
    <row r="911" spans="16:23" ht="15.75" customHeight="1" x14ac:dyDescent="0.2">
      <c r="P911" s="24"/>
      <c r="W911" s="24"/>
    </row>
    <row r="912" spans="16:23" ht="15.75" customHeight="1" x14ac:dyDescent="0.2">
      <c r="P912" s="24"/>
      <c r="W912" s="24"/>
    </row>
    <row r="913" spans="16:23" ht="15.75" customHeight="1" x14ac:dyDescent="0.2">
      <c r="P913" s="24"/>
      <c r="W913" s="24"/>
    </row>
    <row r="914" spans="16:23" ht="15.75" customHeight="1" x14ac:dyDescent="0.2">
      <c r="P914" s="24"/>
      <c r="W914" s="24"/>
    </row>
    <row r="915" spans="16:23" ht="15.75" customHeight="1" x14ac:dyDescent="0.2">
      <c r="P915" s="24"/>
      <c r="W915" s="24"/>
    </row>
    <row r="916" spans="16:23" ht="15.75" customHeight="1" x14ac:dyDescent="0.2">
      <c r="P916" s="24"/>
      <c r="W916" s="24"/>
    </row>
    <row r="917" spans="16:23" ht="15.75" customHeight="1" x14ac:dyDescent="0.2">
      <c r="P917" s="24"/>
      <c r="W917" s="24"/>
    </row>
    <row r="918" spans="16:23" ht="15.75" customHeight="1" x14ac:dyDescent="0.2">
      <c r="P918" s="24"/>
      <c r="W918" s="24"/>
    </row>
    <row r="919" spans="16:23" ht="15.75" customHeight="1" x14ac:dyDescent="0.2">
      <c r="P919" s="24"/>
      <c r="W919" s="24"/>
    </row>
    <row r="920" spans="16:23" ht="15.75" customHeight="1" x14ac:dyDescent="0.2">
      <c r="P920" s="24"/>
      <c r="W920" s="24"/>
    </row>
    <row r="921" spans="16:23" ht="15.75" customHeight="1" x14ac:dyDescent="0.2">
      <c r="P921" s="24"/>
      <c r="W921" s="24"/>
    </row>
    <row r="922" spans="16:23" ht="15.75" customHeight="1" x14ac:dyDescent="0.2">
      <c r="P922" s="24"/>
      <c r="W922" s="24"/>
    </row>
    <row r="923" spans="16:23" ht="15.75" customHeight="1" x14ac:dyDescent="0.2">
      <c r="P923" s="24"/>
      <c r="W923" s="24"/>
    </row>
    <row r="924" spans="16:23" ht="15.75" customHeight="1" x14ac:dyDescent="0.2">
      <c r="P924" s="24"/>
      <c r="W924" s="24"/>
    </row>
    <row r="925" spans="16:23" ht="15.75" customHeight="1" x14ac:dyDescent="0.2">
      <c r="P925" s="24"/>
      <c r="W925" s="24"/>
    </row>
    <row r="926" spans="16:23" ht="15.75" customHeight="1" x14ac:dyDescent="0.2">
      <c r="P926" s="24"/>
      <c r="W926" s="24"/>
    </row>
    <row r="927" spans="16:23" ht="15.75" customHeight="1" x14ac:dyDescent="0.2">
      <c r="P927" s="24"/>
      <c r="W927" s="24"/>
    </row>
    <row r="928" spans="16:23" ht="15.75" customHeight="1" x14ac:dyDescent="0.2">
      <c r="P928" s="24"/>
      <c r="W928" s="24"/>
    </row>
    <row r="929" spans="16:23" ht="15.75" customHeight="1" x14ac:dyDescent="0.2">
      <c r="P929" s="24"/>
      <c r="W929" s="24"/>
    </row>
    <row r="930" spans="16:23" ht="15.75" customHeight="1" x14ac:dyDescent="0.2">
      <c r="P930" s="24"/>
      <c r="W930" s="24"/>
    </row>
    <row r="931" spans="16:23" ht="15.75" customHeight="1" x14ac:dyDescent="0.2">
      <c r="P931" s="24"/>
      <c r="W931" s="24"/>
    </row>
    <row r="932" spans="16:23" ht="15.75" customHeight="1" x14ac:dyDescent="0.2">
      <c r="P932" s="24"/>
      <c r="W932" s="24"/>
    </row>
    <row r="933" spans="16:23" ht="15.75" customHeight="1" x14ac:dyDescent="0.2">
      <c r="P933" s="24"/>
      <c r="W933" s="24"/>
    </row>
    <row r="934" spans="16:23" ht="15.75" customHeight="1" x14ac:dyDescent="0.2">
      <c r="P934" s="24"/>
      <c r="W934" s="24"/>
    </row>
    <row r="935" spans="16:23" ht="15.75" customHeight="1" x14ac:dyDescent="0.2">
      <c r="P935" s="24"/>
      <c r="W935" s="24"/>
    </row>
    <row r="936" spans="16:23" ht="15.75" customHeight="1" x14ac:dyDescent="0.2">
      <c r="P936" s="24"/>
      <c r="W936" s="24"/>
    </row>
    <row r="937" spans="16:23" ht="15.75" customHeight="1" x14ac:dyDescent="0.2">
      <c r="P937" s="24"/>
      <c r="W937" s="24"/>
    </row>
    <row r="938" spans="16:23" ht="15.75" customHeight="1" x14ac:dyDescent="0.2">
      <c r="P938" s="24"/>
      <c r="W938" s="24"/>
    </row>
    <row r="939" spans="16:23" ht="15.75" customHeight="1" x14ac:dyDescent="0.2">
      <c r="P939" s="24"/>
      <c r="W939" s="24"/>
    </row>
    <row r="940" spans="16:23" ht="15.75" customHeight="1" x14ac:dyDescent="0.2">
      <c r="P940" s="24"/>
      <c r="W940" s="24"/>
    </row>
    <row r="941" spans="16:23" ht="15.75" customHeight="1" x14ac:dyDescent="0.2">
      <c r="P941" s="24"/>
      <c r="W941" s="24"/>
    </row>
    <row r="942" spans="16:23" ht="15.75" customHeight="1" x14ac:dyDescent="0.2">
      <c r="P942" s="24"/>
      <c r="W942" s="24"/>
    </row>
    <row r="943" spans="16:23" ht="15.75" customHeight="1" x14ac:dyDescent="0.2">
      <c r="P943" s="24"/>
      <c r="W943" s="24"/>
    </row>
    <row r="944" spans="16:23" ht="15.75" customHeight="1" x14ac:dyDescent="0.2">
      <c r="P944" s="24"/>
      <c r="W944" s="24"/>
    </row>
    <row r="945" spans="16:23" ht="15.75" customHeight="1" x14ac:dyDescent="0.2">
      <c r="P945" s="24"/>
      <c r="W945" s="24"/>
    </row>
    <row r="946" spans="16:23" ht="15.75" customHeight="1" x14ac:dyDescent="0.2">
      <c r="P946" s="24"/>
      <c r="W946" s="24"/>
    </row>
    <row r="947" spans="16:23" ht="15.75" customHeight="1" x14ac:dyDescent="0.2">
      <c r="P947" s="24"/>
      <c r="W947" s="24"/>
    </row>
    <row r="948" spans="16:23" ht="15.75" customHeight="1" x14ac:dyDescent="0.2">
      <c r="P948" s="24"/>
      <c r="W948" s="24"/>
    </row>
    <row r="949" spans="16:23" ht="15.75" customHeight="1" x14ac:dyDescent="0.2">
      <c r="P949" s="24"/>
      <c r="W949" s="24"/>
    </row>
    <row r="950" spans="16:23" ht="15.75" customHeight="1" x14ac:dyDescent="0.2">
      <c r="P950" s="24"/>
      <c r="W950" s="24"/>
    </row>
    <row r="951" spans="16:23" ht="15.75" customHeight="1" x14ac:dyDescent="0.2">
      <c r="P951" s="24"/>
      <c r="W951" s="24"/>
    </row>
    <row r="952" spans="16:23" ht="15.75" customHeight="1" x14ac:dyDescent="0.2">
      <c r="P952" s="24"/>
      <c r="W952" s="24"/>
    </row>
    <row r="953" spans="16:23" ht="15.75" customHeight="1" x14ac:dyDescent="0.2">
      <c r="P953" s="24"/>
      <c r="W953" s="24"/>
    </row>
    <row r="954" spans="16:23" ht="15.75" customHeight="1" x14ac:dyDescent="0.2">
      <c r="P954" s="24"/>
      <c r="W954" s="24"/>
    </row>
    <row r="955" spans="16:23" ht="15.75" customHeight="1" x14ac:dyDescent="0.2">
      <c r="P955" s="24"/>
      <c r="W955" s="24"/>
    </row>
    <row r="956" spans="16:23" ht="15.75" customHeight="1" x14ac:dyDescent="0.2">
      <c r="P956" s="24"/>
      <c r="W956" s="24"/>
    </row>
    <row r="957" spans="16:23" ht="15.75" customHeight="1" x14ac:dyDescent="0.2">
      <c r="P957" s="24"/>
      <c r="W957" s="24"/>
    </row>
    <row r="958" spans="16:23" ht="15.75" customHeight="1" x14ac:dyDescent="0.2">
      <c r="P958" s="24"/>
      <c r="W958" s="24"/>
    </row>
    <row r="959" spans="16:23" ht="15.75" customHeight="1" x14ac:dyDescent="0.2">
      <c r="P959" s="24"/>
      <c r="W959" s="24"/>
    </row>
    <row r="960" spans="16:23" ht="15.75" customHeight="1" x14ac:dyDescent="0.2">
      <c r="P960" s="24"/>
      <c r="W960" s="24"/>
    </row>
    <row r="961" spans="16:23" ht="15.75" customHeight="1" x14ac:dyDescent="0.2">
      <c r="P961" s="24"/>
      <c r="W961" s="24"/>
    </row>
    <row r="962" spans="16:23" ht="15.75" customHeight="1" x14ac:dyDescent="0.2">
      <c r="P962" s="24"/>
      <c r="W962" s="24"/>
    </row>
    <row r="963" spans="16:23" ht="15.75" customHeight="1" x14ac:dyDescent="0.2">
      <c r="P963" s="24"/>
      <c r="W963" s="24"/>
    </row>
    <row r="964" spans="16:23" ht="15.75" customHeight="1" x14ac:dyDescent="0.2">
      <c r="P964" s="24"/>
      <c r="W964" s="24"/>
    </row>
    <row r="965" spans="16:23" ht="15.75" customHeight="1" x14ac:dyDescent="0.2">
      <c r="P965" s="24"/>
      <c r="W965" s="24"/>
    </row>
    <row r="966" spans="16:23" ht="15.75" customHeight="1" x14ac:dyDescent="0.2">
      <c r="P966" s="24"/>
      <c r="W966" s="24"/>
    </row>
    <row r="967" spans="16:23" ht="15.75" customHeight="1" x14ac:dyDescent="0.2">
      <c r="P967" s="24"/>
      <c r="W967" s="24"/>
    </row>
    <row r="968" spans="16:23" ht="15.75" customHeight="1" x14ac:dyDescent="0.2">
      <c r="P968" s="24"/>
      <c r="W968" s="24"/>
    </row>
    <row r="969" spans="16:23" ht="15.75" customHeight="1" x14ac:dyDescent="0.2">
      <c r="P969" s="24"/>
      <c r="W969" s="24"/>
    </row>
    <row r="970" spans="16:23" ht="15.75" customHeight="1" x14ac:dyDescent="0.2">
      <c r="P970" s="24"/>
      <c r="W970" s="24"/>
    </row>
    <row r="971" spans="16:23" ht="15.75" customHeight="1" x14ac:dyDescent="0.2">
      <c r="P971" s="24"/>
      <c r="W971" s="24"/>
    </row>
    <row r="972" spans="16:23" ht="15.75" customHeight="1" x14ac:dyDescent="0.2">
      <c r="P972" s="24"/>
      <c r="W972" s="24"/>
    </row>
    <row r="973" spans="16:23" ht="15.75" customHeight="1" x14ac:dyDescent="0.2">
      <c r="P973" s="24"/>
      <c r="W973" s="24"/>
    </row>
    <row r="974" spans="16:23" ht="15.75" customHeight="1" x14ac:dyDescent="0.2">
      <c r="P974" s="24"/>
      <c r="W974" s="24"/>
    </row>
    <row r="975" spans="16:23" ht="15.75" customHeight="1" x14ac:dyDescent="0.2">
      <c r="P975" s="24"/>
      <c r="W975" s="24"/>
    </row>
    <row r="976" spans="16:23" ht="15.75" customHeight="1" x14ac:dyDescent="0.2">
      <c r="P976" s="24"/>
      <c r="W976" s="24"/>
    </row>
    <row r="977" spans="16:23" ht="15.75" customHeight="1" x14ac:dyDescent="0.2">
      <c r="P977" s="24"/>
      <c r="W977" s="24"/>
    </row>
    <row r="978" spans="16:23" ht="15.75" customHeight="1" x14ac:dyDescent="0.2">
      <c r="P978" s="24"/>
      <c r="W978" s="24"/>
    </row>
    <row r="979" spans="16:23" ht="15.75" customHeight="1" x14ac:dyDescent="0.2">
      <c r="P979" s="24"/>
      <c r="W979" s="24"/>
    </row>
    <row r="980" spans="16:23" ht="15.75" customHeight="1" x14ac:dyDescent="0.2">
      <c r="P980" s="24"/>
      <c r="W980" s="24"/>
    </row>
    <row r="981" spans="16:23" ht="15.75" customHeight="1" x14ac:dyDescent="0.2">
      <c r="P981" s="24"/>
      <c r="W981" s="24"/>
    </row>
    <row r="982" spans="16:23" ht="15.75" customHeight="1" x14ac:dyDescent="0.2">
      <c r="P982" s="24"/>
      <c r="W982" s="24"/>
    </row>
    <row r="983" spans="16:23" ht="15.75" customHeight="1" x14ac:dyDescent="0.2">
      <c r="P983" s="24"/>
      <c r="W983" s="24"/>
    </row>
    <row r="984" spans="16:23" ht="15.75" customHeight="1" x14ac:dyDescent="0.2">
      <c r="P984" s="24"/>
      <c r="W984" s="24"/>
    </row>
    <row r="985" spans="16:23" ht="15.75" customHeight="1" x14ac:dyDescent="0.2">
      <c r="P985" s="24"/>
      <c r="W985" s="24"/>
    </row>
    <row r="986" spans="16:23" ht="15.75" customHeight="1" x14ac:dyDescent="0.2">
      <c r="P986" s="24"/>
      <c r="W986" s="24"/>
    </row>
    <row r="987" spans="16:23" ht="15.75" customHeight="1" x14ac:dyDescent="0.2">
      <c r="P987" s="24"/>
      <c r="W987" s="24"/>
    </row>
    <row r="988" spans="16:23" ht="15.75" customHeight="1" x14ac:dyDescent="0.2">
      <c r="P988" s="24"/>
      <c r="W988" s="24"/>
    </row>
    <row r="989" spans="16:23" ht="15.75" customHeight="1" x14ac:dyDescent="0.2">
      <c r="P989" s="24"/>
      <c r="W989" s="24"/>
    </row>
    <row r="990" spans="16:23" ht="15.75" customHeight="1" x14ac:dyDescent="0.2">
      <c r="P990" s="24"/>
      <c r="W990" s="24"/>
    </row>
    <row r="991" spans="16:23" ht="15.75" customHeight="1" x14ac:dyDescent="0.2">
      <c r="P991" s="24"/>
      <c r="W991" s="24"/>
    </row>
    <row r="992" spans="16:23" ht="15.75" customHeight="1" x14ac:dyDescent="0.2">
      <c r="P992" s="24"/>
      <c r="W992" s="24"/>
    </row>
    <row r="993" spans="16:23" ht="15.75" customHeight="1" x14ac:dyDescent="0.2">
      <c r="P993" s="24"/>
      <c r="W993" s="24"/>
    </row>
    <row r="994" spans="16:23" ht="15.75" customHeight="1" x14ac:dyDescent="0.2">
      <c r="P994" s="24"/>
      <c r="W994" s="24"/>
    </row>
    <row r="995" spans="16:23" ht="15.75" customHeight="1" x14ac:dyDescent="0.2">
      <c r="P995" s="24"/>
      <c r="W995" s="24"/>
    </row>
    <row r="996" spans="16:23" ht="15.75" customHeight="1" x14ac:dyDescent="0.2">
      <c r="P996" s="24"/>
      <c r="W996" s="24"/>
    </row>
    <row r="997" spans="16:23" ht="15.75" customHeight="1" x14ac:dyDescent="0.2">
      <c r="P997" s="24"/>
      <c r="W997" s="24"/>
    </row>
    <row r="998" spans="16:23" ht="15.75" customHeight="1" x14ac:dyDescent="0.2">
      <c r="P998" s="24"/>
      <c r="W998" s="24"/>
    </row>
    <row r="999" spans="16:23" ht="15.75" customHeight="1" x14ac:dyDescent="0.2">
      <c r="P999" s="24"/>
      <c r="W999" s="24"/>
    </row>
    <row r="1000" spans="16:23" ht="15.75" customHeight="1" x14ac:dyDescent="0.2">
      <c r="P1000" s="24"/>
      <c r="W1000" s="24"/>
    </row>
    <row r="1001" spans="16:23" ht="15.75" customHeight="1" x14ac:dyDescent="0.2">
      <c r="P1001" s="24"/>
      <c r="W1001" s="24"/>
    </row>
  </sheetData>
  <mergeCells count="104">
    <mergeCell ref="C55:C58"/>
    <mergeCell ref="B137:C137"/>
    <mergeCell ref="B105:B136"/>
    <mergeCell ref="C105:C108"/>
    <mergeCell ref="AL11:AL12"/>
    <mergeCell ref="AM11:AN12"/>
    <mergeCell ref="AN13:AN14"/>
    <mergeCell ref="AJ13:AJ14"/>
    <mergeCell ref="J55:J58"/>
    <mergeCell ref="X13:X14"/>
    <mergeCell ref="B13:B14"/>
    <mergeCell ref="AM13:AM14"/>
    <mergeCell ref="AF13:AF14"/>
    <mergeCell ref="AG13:AG14"/>
    <mergeCell ref="AH13:AH14"/>
    <mergeCell ref="AI13:AI14"/>
    <mergeCell ref="Y13:Y14"/>
    <mergeCell ref="Z13:Z14"/>
    <mergeCell ref="AA13:AA14"/>
    <mergeCell ref="AB13:AB14"/>
    <mergeCell ref="AC13:AC14"/>
    <mergeCell ref="AD13:AD14"/>
    <mergeCell ref="B25:B27"/>
    <mergeCell ref="B30:B32"/>
    <mergeCell ref="H139:H141"/>
    <mergeCell ref="J139:J141"/>
    <mergeCell ref="C9:E9"/>
    <mergeCell ref="P10:W10"/>
    <mergeCell ref="X10:AA10"/>
    <mergeCell ref="AB10:AE10"/>
    <mergeCell ref="AF10:AH10"/>
    <mergeCell ref="AI10:AK10"/>
    <mergeCell ref="B59:D59"/>
    <mergeCell ref="B60:B62"/>
    <mergeCell ref="B64:B69"/>
    <mergeCell ref="C64:C65"/>
    <mergeCell ref="C66:C67"/>
    <mergeCell ref="C68:C69"/>
    <mergeCell ref="B43:B52"/>
    <mergeCell ref="C43:C45"/>
    <mergeCell ref="C47:C48"/>
    <mergeCell ref="C50:C51"/>
    <mergeCell ref="B55:B58"/>
    <mergeCell ref="S13:S14"/>
    <mergeCell ref="T13:T14"/>
    <mergeCell ref="U13:U14"/>
    <mergeCell ref="V13:V14"/>
    <mergeCell ref="W13:W14"/>
    <mergeCell ref="B2:AE2"/>
    <mergeCell ref="C4:E4"/>
    <mergeCell ref="C5:E5"/>
    <mergeCell ref="C6:E6"/>
    <mergeCell ref="C7:E7"/>
    <mergeCell ref="C8:E8"/>
    <mergeCell ref="AL10:AN10"/>
    <mergeCell ref="P11:W12"/>
    <mergeCell ref="X11:X12"/>
    <mergeCell ref="Y11:AA12"/>
    <mergeCell ref="AB11:AB12"/>
    <mergeCell ref="AC11:AE12"/>
    <mergeCell ref="AF11:AF12"/>
    <mergeCell ref="AG11:AH12"/>
    <mergeCell ref="AI11:AI12"/>
    <mergeCell ref="AJ11:AK12"/>
    <mergeCell ref="B34:B37"/>
    <mergeCell ref="C34:C37"/>
    <mergeCell ref="B38:B41"/>
    <mergeCell ref="C40:C41"/>
    <mergeCell ref="B28:C28"/>
    <mergeCell ref="AK13:AK14"/>
    <mergeCell ref="AL13:AL14"/>
    <mergeCell ref="K13:K14"/>
    <mergeCell ref="G13:H14"/>
    <mergeCell ref="I13:J14"/>
    <mergeCell ref="C13:C14"/>
    <mergeCell ref="D13:D14"/>
    <mergeCell ref="E13:E14"/>
    <mergeCell ref="F13:F14"/>
    <mergeCell ref="P13:P14"/>
    <mergeCell ref="Q13:Q14"/>
    <mergeCell ref="R13:R14"/>
    <mergeCell ref="B16:B21"/>
    <mergeCell ref="B23:B24"/>
    <mergeCell ref="B15:C15"/>
    <mergeCell ref="B22:C22"/>
    <mergeCell ref="AE13:AE14"/>
    <mergeCell ref="C125:C128"/>
    <mergeCell ref="C129:C132"/>
    <mergeCell ref="C133:C136"/>
    <mergeCell ref="B94:D94"/>
    <mergeCell ref="B95:B97"/>
    <mergeCell ref="B99:B104"/>
    <mergeCell ref="C99:C100"/>
    <mergeCell ref="C101:C102"/>
    <mergeCell ref="C103:C104"/>
    <mergeCell ref="B70:B93"/>
    <mergeCell ref="C70:C73"/>
    <mergeCell ref="C74:C77"/>
    <mergeCell ref="C78:C85"/>
    <mergeCell ref="C86:C89"/>
    <mergeCell ref="C90:C93"/>
    <mergeCell ref="C109:C112"/>
    <mergeCell ref="C113:C120"/>
    <mergeCell ref="C121:C124"/>
  </mergeCells>
  <dataValidations disablePrompts="1" count="10">
    <dataValidation type="list" allowBlank="1" sqref="R101:R136 R47:R54 R66:R93" xr:uid="{5A5D1AA2-F3E7-4F0D-B6E1-DDAFDEEBA5EB}">
      <formula1>$E$2:$E$56</formula1>
    </dataValidation>
    <dataValidation type="list" allowBlank="1" sqref="T70:T93 T105:T136" xr:uid="{7FDA5D1F-1F3A-45DC-B4C1-BD3D9FF6BD92}">
      <formula1>$R$2:$R$32</formula1>
    </dataValidation>
    <dataValidation type="list" allowBlank="1" sqref="U102:U136 U49:U54 U67:U93" xr:uid="{A13FCD3B-0DD2-4AD3-87A4-E89328546937}">
      <formula1>$T$2:$T$21</formula1>
    </dataValidation>
    <dataValidation type="list" allowBlank="1" showErrorMessage="1" sqref="S59:S69 S94:S104 S15:S54" xr:uid="{C74F3AED-6E60-4E92-9CD6-9322B96039FA}">
      <formula1>Cao_trinh_Vi_tri</formula1>
    </dataValidation>
    <dataValidation type="list" allowBlank="1" showErrorMessage="1" sqref="R59:R65 R94:R100 R15:R46" xr:uid="{BFAA04F8-F201-4597-88F6-02D027E92F88}">
      <formula1>Khoi_tich</formula1>
    </dataValidation>
    <dataValidation type="list" allowBlank="1" showErrorMessage="1" sqref="U59:U66 U94:U101 U15:U48" xr:uid="{61FC9917-D059-4544-BD62-55BC5595D4EC}">
      <formula1>Vai_tro_dam_nhiem</formula1>
    </dataValidation>
    <dataValidation type="list" allowBlank="1" showErrorMessage="1" sqref="Q15:Q136 Q138:Q141" xr:uid="{3B4F30A0-2695-476B-94B3-7755505877A4}">
      <formula1>Don_vi_khoi_tao</formula1>
    </dataValidation>
    <dataValidation type="list" allowBlank="1" showErrorMessage="1" sqref="T59:T69 T94:T104 T15:T54" xr:uid="{437B8EA7-9DEF-4D30-8061-4F94ECF8C5FF}">
      <formula1>Loai_Kieu</formula1>
    </dataValidation>
    <dataValidation type="list" allowBlank="1" showErrorMessage="1" sqref="P15:P141" xr:uid="{8880716E-3070-40BB-8FEE-F960411FF7D1}">
      <formula1>Du_an</formula1>
    </dataValidation>
    <dataValidation type="list" allowBlank="1" sqref="S70:S93 S105:S136" xr:uid="{B0BFBC32-9DF2-46B2-8C24-85205D31DFCB}">
      <formula1>$G$3:$G$10</formula1>
    </dataValidation>
  </dataValidations>
  <pageMargins left="0.23622047244094488" right="0.23622047244094488" top="0.51180993000874886" bottom="0.51180993000874886" header="0" footer="0"/>
  <pageSetup paperSize="8" scale="56" fitToHeight="0" orientation="landscape" r:id="rId1"/>
  <headerFooter>
    <oddFooter>&amp;CBEP - &amp;P</oddFooter>
  </headerFooter>
  <legacyDrawing r:id="rId2"/>
  <extLst>
    <ext xmlns:x14="http://schemas.microsoft.com/office/spreadsheetml/2009/9/main" uri="{CCE6A557-97BC-4b89-ADB6-D9C93CAAB3DF}">
      <x14:dataValidations xmlns:xm="http://schemas.microsoft.com/office/excel/2006/main" disablePrompts="1" count="5">
        <x14:dataValidation type="list" allowBlank="1" xr:uid="{EBDCB6D6-94B7-4CA1-9779-BBFF4E38BEE3}">
          <x14:formula1>
            <xm:f>Naming!$G$4:$G$11</xm:f>
          </x14:formula1>
          <xm:sqref>S55:S58</xm:sqref>
        </x14:dataValidation>
        <x14:dataValidation type="list" allowBlank="1" xr:uid="{99E5D7B7-9C98-405B-BA06-5E1C5B525D18}">
          <x14:formula1>
            <xm:f>Naming!$O$4:$O$5</xm:f>
          </x14:formula1>
          <xm:sqref>V15:V141</xm:sqref>
        </x14:dataValidation>
        <x14:dataValidation type="list" allowBlank="1" xr:uid="{D3B08C99-C0E3-4837-BA2D-563827FB6805}">
          <x14:formula1>
            <xm:f>Naming!$M$4:$M$31</xm:f>
          </x14:formula1>
          <xm:sqref>T55:T58</xm:sqref>
        </x14:dataValidation>
        <x14:dataValidation type="list" allowBlank="1" xr:uid="{298832F6-7064-409B-9C13-FDE7667E0FBC}">
          <x14:formula1>
            <xm:f>Naming!$E$4:$E$38</xm:f>
          </x14:formula1>
          <xm:sqref>R55:R58</xm:sqref>
        </x14:dataValidation>
        <x14:dataValidation type="list" allowBlank="1" xr:uid="{A86A56DF-8AE3-4B4C-B717-8871E8D4FF3E}">
          <x14:formula1>
            <xm:f>Naming!#REF!</xm:f>
          </x14:formula1>
          <xm:sqref>U55:U58</xm:sqref>
        </x14:dataValidation>
      </x14:dataValidation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E998"/>
  <sheetViews>
    <sheetView showGridLines="0" topLeftCell="A28" zoomScaleNormal="100" workbookViewId="0">
      <selection activeCell="C23" sqref="C23:C24"/>
    </sheetView>
  </sheetViews>
  <sheetFormatPr defaultColWidth="12.5703125" defaultRowHeight="15" customHeight="1" x14ac:dyDescent="0.2"/>
  <cols>
    <col min="1" max="1" width="3" style="16" customWidth="1"/>
    <col min="2" max="2" width="24.140625" style="16" customWidth="1"/>
    <col min="3" max="3" width="29.28515625" style="16" bestFit="1" customWidth="1"/>
    <col min="4" max="4" width="40.5703125" style="16" bestFit="1" customWidth="1"/>
    <col min="5" max="5" width="10" style="16" bestFit="1" customWidth="1"/>
    <col min="6" max="6" width="11.28515625" style="16" customWidth="1"/>
    <col min="7" max="13" width="7.42578125" style="16" hidden="1" customWidth="1"/>
    <col min="14" max="14" width="31" style="16" hidden="1" customWidth="1"/>
    <col min="15" max="15" width="15.42578125" style="16" hidden="1" customWidth="1"/>
    <col min="16" max="16" width="13.85546875" style="16" customWidth="1"/>
    <col min="17" max="17" width="7" style="16" customWidth="1"/>
    <col min="18" max="18" width="7.140625" style="16" customWidth="1"/>
    <col min="19" max="19" width="15" style="16" customWidth="1"/>
    <col min="20" max="20" width="13.85546875" style="16" customWidth="1"/>
    <col min="21" max="21" width="7.85546875" style="16" customWidth="1"/>
    <col min="22" max="22" width="8.42578125" style="16" customWidth="1"/>
    <col min="23" max="23" width="12.85546875" style="16" customWidth="1"/>
    <col min="24" max="24" width="19.5703125" style="16" customWidth="1"/>
    <col min="25" max="25" width="8.5703125" style="16" customWidth="1"/>
    <col min="26" max="26" width="19.7109375" style="16" customWidth="1"/>
    <col min="27" max="27" width="15.140625" style="16" customWidth="1"/>
    <col min="28" max="28" width="8.7109375" style="16" customWidth="1"/>
    <col min="29" max="29" width="10.28515625" style="16" customWidth="1"/>
    <col min="30" max="30" width="15.42578125" style="16" customWidth="1"/>
    <col min="31" max="31" width="9.42578125" style="16" customWidth="1"/>
    <col min="32" max="16384" width="12.5703125" style="16"/>
  </cols>
  <sheetData>
    <row r="1" spans="1:31" ht="12.75" customHeight="1" x14ac:dyDescent="0.2">
      <c r="A1" s="3"/>
      <c r="B1" s="3"/>
      <c r="C1" s="3"/>
      <c r="D1" s="4"/>
      <c r="E1" s="3"/>
      <c r="F1" s="5"/>
      <c r="G1" s="22"/>
      <c r="H1" s="3"/>
      <c r="I1" s="5"/>
      <c r="J1" s="3"/>
      <c r="K1" s="3"/>
      <c r="L1" s="3"/>
      <c r="M1" s="23"/>
      <c r="N1" s="24"/>
      <c r="O1" s="105"/>
      <c r="P1" s="105"/>
      <c r="Q1" s="105"/>
      <c r="R1" s="105"/>
      <c r="S1" s="105"/>
      <c r="T1" s="105"/>
      <c r="U1" s="105"/>
      <c r="V1" s="105"/>
      <c r="W1" s="5"/>
      <c r="X1" s="105"/>
      <c r="Y1" s="105"/>
      <c r="Z1" s="5"/>
      <c r="AA1" s="105"/>
      <c r="AB1" s="105"/>
      <c r="AC1" s="5"/>
      <c r="AD1" s="105"/>
      <c r="AE1" s="105"/>
    </row>
    <row r="2" spans="1:31" ht="22.5" customHeight="1" x14ac:dyDescent="0.35">
      <c r="A2" s="3"/>
      <c r="B2" s="373" t="s">
        <v>50</v>
      </c>
      <c r="C2" s="298"/>
      <c r="D2" s="298"/>
      <c r="E2" s="298"/>
      <c r="F2" s="298"/>
      <c r="G2" s="298"/>
      <c r="H2" s="298"/>
      <c r="I2" s="298"/>
      <c r="J2" s="298"/>
      <c r="K2" s="298"/>
      <c r="L2" s="298"/>
      <c r="M2" s="298"/>
      <c r="N2" s="298"/>
      <c r="O2" s="298"/>
      <c r="P2" s="298"/>
      <c r="Q2" s="298"/>
      <c r="R2" s="298"/>
      <c r="S2" s="298"/>
      <c r="T2" s="298"/>
      <c r="U2" s="298"/>
      <c r="V2" s="298"/>
    </row>
    <row r="3" spans="1:31" ht="12.75" customHeight="1" thickBot="1" x14ac:dyDescent="0.25">
      <c r="A3" s="3"/>
      <c r="B3" s="3"/>
      <c r="C3" s="3"/>
      <c r="D3" s="4"/>
      <c r="E3" s="3"/>
      <c r="F3" s="5"/>
      <c r="G3" s="22"/>
      <c r="H3" s="3"/>
      <c r="I3" s="5"/>
      <c r="J3" s="3"/>
      <c r="K3" s="3"/>
      <c r="L3" s="3"/>
      <c r="M3" s="23"/>
      <c r="N3" s="24"/>
      <c r="O3" s="105"/>
      <c r="P3" s="105"/>
      <c r="Q3" s="105"/>
      <c r="R3" s="105"/>
      <c r="S3" s="105"/>
      <c r="T3" s="105"/>
      <c r="U3" s="105"/>
      <c r="V3" s="105"/>
      <c r="W3" s="5"/>
      <c r="X3" s="105"/>
      <c r="Y3" s="105"/>
      <c r="Z3" s="5"/>
      <c r="AA3" s="105"/>
      <c r="AB3" s="105"/>
      <c r="AC3" s="5"/>
      <c r="AD3" s="105"/>
      <c r="AE3" s="105"/>
    </row>
    <row r="4" spans="1:31" ht="23.25" customHeight="1" x14ac:dyDescent="0.2">
      <c r="A4" s="3"/>
      <c r="B4" s="106" t="s">
        <v>51</v>
      </c>
      <c r="C4" s="374" t="str">
        <f>+Naming!A4</f>
        <v>NO-11</v>
      </c>
      <c r="D4" s="375"/>
      <c r="E4" s="376"/>
      <c r="F4" s="5"/>
      <c r="G4" s="22"/>
      <c r="H4" s="3"/>
      <c r="I4" s="5"/>
      <c r="J4" s="3"/>
      <c r="K4" s="3"/>
      <c r="L4" s="3"/>
      <c r="M4" s="23"/>
      <c r="N4" s="24"/>
      <c r="O4" s="105"/>
      <c r="P4" s="105"/>
      <c r="Q4" s="105"/>
      <c r="R4" s="105"/>
      <c r="S4" s="105"/>
      <c r="T4" s="105"/>
      <c r="U4" s="105"/>
      <c r="V4" s="105"/>
      <c r="W4" s="5"/>
      <c r="X4" s="105"/>
      <c r="Y4" s="105"/>
      <c r="Z4" s="5"/>
      <c r="AA4" s="105"/>
      <c r="AB4" s="105"/>
      <c r="AC4" s="5"/>
      <c r="AD4" s="105"/>
      <c r="AE4" s="105"/>
    </row>
    <row r="5" spans="1:31" ht="23.25" customHeight="1" x14ac:dyDescent="0.2">
      <c r="A5" s="3"/>
      <c r="B5" s="107" t="s">
        <v>52</v>
      </c>
      <c r="C5" s="377" t="str">
        <f>+Naming!B4</f>
        <v>NHÀ Ở CHUNG CƯ CAO TẦNG TẠI Ô ĐẤT KÝ HIỆU NO-11</v>
      </c>
      <c r="D5" s="378"/>
      <c r="E5" s="379"/>
      <c r="F5" s="5"/>
      <c r="G5" s="22"/>
      <c r="H5" s="3"/>
      <c r="I5" s="5"/>
      <c r="J5" s="3"/>
      <c r="K5" s="3"/>
      <c r="L5" s="3"/>
      <c r="M5" s="23"/>
      <c r="N5" s="24"/>
      <c r="O5" s="105"/>
      <c r="P5" s="105"/>
      <c r="Q5" s="105"/>
      <c r="R5" s="105"/>
      <c r="S5" s="105"/>
      <c r="T5" s="105"/>
      <c r="U5" s="105"/>
      <c r="V5" s="105"/>
      <c r="W5" s="5"/>
      <c r="X5" s="105"/>
      <c r="Y5" s="105"/>
      <c r="Z5" s="5"/>
      <c r="AA5" s="105"/>
      <c r="AB5" s="105"/>
      <c r="AC5" s="5"/>
      <c r="AD5" s="105"/>
      <c r="AE5" s="105"/>
    </row>
    <row r="6" spans="1:31" ht="23.25" customHeight="1" x14ac:dyDescent="0.2">
      <c r="A6" s="3"/>
      <c r="B6" s="107" t="s">
        <v>53</v>
      </c>
      <c r="C6" s="380" t="s">
        <v>530</v>
      </c>
      <c r="D6" s="381"/>
      <c r="E6" s="382"/>
      <c r="F6" s="5"/>
      <c r="G6" s="22"/>
      <c r="H6" s="3"/>
      <c r="I6" s="5"/>
      <c r="J6" s="3"/>
      <c r="K6" s="3"/>
      <c r="L6" s="3"/>
      <c r="M6" s="23"/>
      <c r="N6" s="24"/>
      <c r="O6" s="108"/>
      <c r="P6" s="105"/>
      <c r="Q6" s="105"/>
      <c r="R6" s="105"/>
      <c r="S6" s="108"/>
      <c r="T6" s="105"/>
      <c r="U6" s="105"/>
      <c r="V6" s="105"/>
      <c r="W6" s="5"/>
      <c r="X6" s="105"/>
      <c r="Y6" s="105"/>
      <c r="Z6" s="5"/>
      <c r="AA6" s="105"/>
      <c r="AB6" s="105"/>
      <c r="AC6" s="5"/>
      <c r="AD6" s="105"/>
      <c r="AE6" s="105"/>
    </row>
    <row r="7" spans="1:31" ht="23.25" customHeight="1" x14ac:dyDescent="0.2">
      <c r="A7" s="3"/>
      <c r="B7" s="109" t="s">
        <v>54</v>
      </c>
      <c r="C7" s="383" t="s">
        <v>531</v>
      </c>
      <c r="D7" s="378"/>
      <c r="E7" s="379"/>
      <c r="F7" s="5"/>
      <c r="G7" s="22"/>
      <c r="H7" s="3"/>
      <c r="I7" s="5"/>
      <c r="J7" s="3"/>
      <c r="K7" s="3"/>
      <c r="L7" s="3"/>
      <c r="M7" s="23"/>
      <c r="N7" s="24"/>
      <c r="O7" s="105"/>
      <c r="P7" s="105"/>
      <c r="Q7" s="105"/>
      <c r="R7" s="105"/>
      <c r="S7" s="105"/>
      <c r="T7" s="105"/>
      <c r="U7" s="105"/>
      <c r="V7" s="105"/>
      <c r="W7" s="5"/>
      <c r="X7" s="105"/>
      <c r="Y7" s="105"/>
      <c r="Z7" s="5"/>
      <c r="AA7" s="105"/>
      <c r="AB7" s="105"/>
      <c r="AC7" s="5"/>
      <c r="AD7" s="105"/>
      <c r="AE7" s="105"/>
    </row>
    <row r="8" spans="1:31" ht="23.25" customHeight="1" x14ac:dyDescent="0.2">
      <c r="A8" s="3"/>
      <c r="B8" s="107" t="s">
        <v>55</v>
      </c>
      <c r="C8" s="383" t="s">
        <v>531</v>
      </c>
      <c r="D8" s="378"/>
      <c r="E8" s="379"/>
      <c r="F8" s="5"/>
      <c r="G8" s="22"/>
      <c r="H8" s="3"/>
      <c r="I8" s="5"/>
      <c r="J8" s="3"/>
      <c r="K8" s="3"/>
      <c r="L8" s="3"/>
      <c r="M8" s="23"/>
      <c r="N8" s="24"/>
      <c r="O8" s="105"/>
      <c r="P8" s="105"/>
      <c r="Q8" s="105"/>
      <c r="R8" s="105"/>
      <c r="S8" s="105"/>
      <c r="T8" s="105"/>
      <c r="U8" s="105"/>
      <c r="V8" s="105"/>
      <c r="W8" s="5"/>
      <c r="X8" s="105"/>
      <c r="Y8" s="105"/>
      <c r="Z8" s="5"/>
      <c r="AA8" s="105"/>
      <c r="AB8" s="105"/>
      <c r="AC8" s="5"/>
      <c r="AD8" s="105"/>
      <c r="AE8" s="105"/>
    </row>
    <row r="9" spans="1:31" ht="23.25" customHeight="1" thickBot="1" x14ac:dyDescent="0.25">
      <c r="A9" s="3"/>
      <c r="B9" s="110" t="s">
        <v>56</v>
      </c>
      <c r="C9" s="398"/>
      <c r="D9" s="399"/>
      <c r="E9" s="400"/>
      <c r="F9" s="5"/>
      <c r="G9" s="22"/>
      <c r="H9" s="3"/>
      <c r="I9" s="5"/>
      <c r="J9" s="3"/>
      <c r="K9" s="3"/>
      <c r="L9" s="3"/>
      <c r="M9" s="23"/>
      <c r="N9" s="24"/>
      <c r="O9" s="105"/>
      <c r="P9" s="105"/>
      <c r="Q9" s="105"/>
      <c r="R9" s="105"/>
      <c r="S9" s="105"/>
      <c r="T9" s="105"/>
      <c r="U9" s="105"/>
      <c r="V9" s="105"/>
      <c r="W9" s="5"/>
      <c r="X9" s="105"/>
      <c r="Y9" s="105"/>
      <c r="Z9" s="5"/>
      <c r="AA9" s="105"/>
      <c r="AB9" s="105"/>
      <c r="AC9" s="5"/>
      <c r="AD9" s="105"/>
      <c r="AE9" s="105"/>
    </row>
    <row r="10" spans="1:31" ht="12.75" customHeight="1" x14ac:dyDescent="0.2">
      <c r="A10" s="3"/>
      <c r="B10" s="3"/>
      <c r="C10" s="3"/>
      <c r="D10" s="4"/>
      <c r="E10" s="3"/>
      <c r="F10" s="5"/>
      <c r="G10" s="401" t="s">
        <v>57</v>
      </c>
      <c r="H10" s="402"/>
      <c r="I10" s="402"/>
      <c r="J10" s="402"/>
      <c r="K10" s="402"/>
      <c r="L10" s="402"/>
      <c r="M10" s="402"/>
      <c r="N10" s="402"/>
      <c r="O10" s="413" t="s">
        <v>58</v>
      </c>
      <c r="P10" s="414"/>
      <c r="Q10" s="414"/>
      <c r="R10" s="414"/>
      <c r="S10" s="415" t="s">
        <v>59</v>
      </c>
      <c r="T10" s="414"/>
      <c r="U10" s="414"/>
      <c r="V10" s="414"/>
      <c r="W10" s="356"/>
      <c r="X10" s="298"/>
      <c r="Y10" s="298"/>
      <c r="Z10" s="384"/>
      <c r="AA10" s="298"/>
      <c r="AB10" s="298"/>
      <c r="AC10" s="384"/>
      <c r="AD10" s="298"/>
      <c r="AE10" s="298"/>
    </row>
    <row r="11" spans="1:31" ht="12" customHeight="1" x14ac:dyDescent="0.2">
      <c r="A11" s="3"/>
      <c r="B11" s="3"/>
      <c r="C11" s="3"/>
      <c r="D11" s="4"/>
      <c r="E11" s="3"/>
      <c r="F11" s="5"/>
      <c r="G11" s="385" t="s">
        <v>60</v>
      </c>
      <c r="H11" s="298"/>
      <c r="I11" s="298"/>
      <c r="J11" s="298"/>
      <c r="K11" s="298"/>
      <c r="L11" s="298"/>
      <c r="M11" s="298"/>
      <c r="N11" s="386"/>
      <c r="O11" s="416" t="s">
        <v>61</v>
      </c>
      <c r="P11" s="417" t="s">
        <v>420</v>
      </c>
      <c r="Q11" s="418"/>
      <c r="R11" s="419"/>
      <c r="S11" s="416" t="s">
        <v>62</v>
      </c>
      <c r="T11" s="417" t="s">
        <v>421</v>
      </c>
      <c r="U11" s="418"/>
      <c r="V11" s="419"/>
      <c r="W11" s="357"/>
      <c r="X11" s="357"/>
      <c r="Y11" s="298"/>
      <c r="Z11" s="357"/>
      <c r="AA11" s="357"/>
      <c r="AB11" s="298"/>
      <c r="AC11" s="357"/>
      <c r="AD11" s="357"/>
      <c r="AE11" s="298"/>
    </row>
    <row r="12" spans="1:31" ht="12.75" customHeight="1" x14ac:dyDescent="0.2">
      <c r="A12" s="3"/>
      <c r="B12" s="3"/>
      <c r="C12" s="3"/>
      <c r="D12" s="4"/>
      <c r="E12" s="3"/>
      <c r="F12" s="5"/>
      <c r="G12" s="387"/>
      <c r="H12" s="298"/>
      <c r="I12" s="298"/>
      <c r="J12" s="298"/>
      <c r="K12" s="298"/>
      <c r="L12" s="298"/>
      <c r="M12" s="298"/>
      <c r="N12" s="386"/>
      <c r="O12" s="340"/>
      <c r="P12" s="392"/>
      <c r="Q12" s="393"/>
      <c r="R12" s="394"/>
      <c r="S12" s="340"/>
      <c r="T12" s="392"/>
      <c r="U12" s="393"/>
      <c r="V12" s="394"/>
      <c r="W12" s="298"/>
      <c r="X12" s="298"/>
      <c r="Y12" s="298"/>
      <c r="Z12" s="298"/>
      <c r="AA12" s="298"/>
      <c r="AB12" s="298"/>
      <c r="AC12" s="298"/>
      <c r="AD12" s="298"/>
      <c r="AE12" s="298"/>
    </row>
    <row r="13" spans="1:31" ht="12.75" x14ac:dyDescent="0.2">
      <c r="A13" s="3"/>
      <c r="B13" s="358" t="s">
        <v>63</v>
      </c>
      <c r="C13" s="358" t="s">
        <v>64</v>
      </c>
      <c r="D13" s="363" t="s">
        <v>65</v>
      </c>
      <c r="E13" s="358" t="s">
        <v>478</v>
      </c>
      <c r="F13" s="358" t="s">
        <v>66</v>
      </c>
      <c r="G13" s="364" t="s">
        <v>67</v>
      </c>
      <c r="H13" s="365" t="s">
        <v>68</v>
      </c>
      <c r="I13" s="365" t="s">
        <v>69</v>
      </c>
      <c r="J13" s="365" t="s">
        <v>70</v>
      </c>
      <c r="K13" s="365" t="s">
        <v>71</v>
      </c>
      <c r="L13" s="365" t="s">
        <v>72</v>
      </c>
      <c r="M13" s="410" t="s">
        <v>73</v>
      </c>
      <c r="N13" s="411" t="s">
        <v>479</v>
      </c>
      <c r="O13" s="388" t="s">
        <v>74</v>
      </c>
      <c r="P13" s="388" t="s">
        <v>412</v>
      </c>
      <c r="Q13" s="372" t="s">
        <v>75</v>
      </c>
      <c r="R13" s="372" t="s">
        <v>76</v>
      </c>
      <c r="S13" s="388" t="s">
        <v>74</v>
      </c>
      <c r="T13" s="388" t="s">
        <v>422</v>
      </c>
      <c r="U13" s="372" t="s">
        <v>75</v>
      </c>
      <c r="V13" s="372" t="s">
        <v>76</v>
      </c>
      <c r="W13" s="357"/>
      <c r="X13" s="357"/>
      <c r="Y13" s="356"/>
      <c r="Z13" s="357"/>
      <c r="AA13" s="357"/>
      <c r="AB13" s="356"/>
      <c r="AC13" s="357"/>
      <c r="AD13" s="357"/>
      <c r="AE13" s="356"/>
    </row>
    <row r="14" spans="1:31" ht="21.75" customHeight="1" x14ac:dyDescent="0.2">
      <c r="A14" s="3"/>
      <c r="B14" s="341"/>
      <c r="C14" s="341"/>
      <c r="D14" s="341"/>
      <c r="E14" s="341"/>
      <c r="F14" s="341"/>
      <c r="G14" s="341"/>
      <c r="H14" s="341"/>
      <c r="I14" s="341"/>
      <c r="J14" s="341"/>
      <c r="K14" s="341"/>
      <c r="L14" s="341"/>
      <c r="M14" s="341"/>
      <c r="N14" s="341"/>
      <c r="O14" s="341"/>
      <c r="P14" s="341"/>
      <c r="Q14" s="341"/>
      <c r="R14" s="341"/>
      <c r="S14" s="341"/>
      <c r="T14" s="341"/>
      <c r="U14" s="341"/>
      <c r="V14" s="341"/>
      <c r="W14" s="298"/>
      <c r="X14" s="298"/>
      <c r="Y14" s="298"/>
      <c r="Z14" s="298"/>
      <c r="AA14" s="298"/>
      <c r="AB14" s="298"/>
      <c r="AC14" s="298"/>
      <c r="AD14" s="298"/>
      <c r="AE14" s="298"/>
    </row>
    <row r="15" spans="1:31" ht="15" customHeight="1" x14ac:dyDescent="0.2">
      <c r="A15" s="5"/>
      <c r="B15" s="6" t="s">
        <v>77</v>
      </c>
      <c r="C15" s="7"/>
      <c r="D15" s="8"/>
      <c r="E15" s="9"/>
      <c r="F15" s="9"/>
      <c r="G15" s="10"/>
      <c r="H15" s="9"/>
      <c r="I15" s="9"/>
      <c r="J15" s="9"/>
      <c r="K15" s="9"/>
      <c r="L15" s="9"/>
      <c r="M15" s="11"/>
      <c r="N15" s="12" t="str">
        <f t="shared" ref="N15:N27" si="0">IF(G15="","-",CONCATENATE(G15,"-",H15,"-",I15,"-",J15,"-",K15,"-",L15,"-",M15))</f>
        <v>-</v>
      </c>
      <c r="O15" s="9"/>
      <c r="P15" s="9"/>
      <c r="Q15" s="9"/>
      <c r="R15" s="9"/>
      <c r="S15" s="9"/>
      <c r="T15" s="9"/>
      <c r="U15" s="9"/>
      <c r="V15" s="9"/>
      <c r="W15" s="5"/>
      <c r="X15" s="5"/>
      <c r="Y15" s="5"/>
      <c r="Z15" s="5"/>
      <c r="AA15" s="5"/>
      <c r="AB15" s="5"/>
      <c r="AC15" s="5"/>
      <c r="AD15" s="5"/>
      <c r="AE15" s="5"/>
    </row>
    <row r="16" spans="1:31" ht="15" customHeight="1" x14ac:dyDescent="0.2">
      <c r="A16" s="5"/>
      <c r="B16" s="366" t="s">
        <v>494</v>
      </c>
      <c r="C16" s="7" t="s">
        <v>399</v>
      </c>
      <c r="D16" s="8"/>
      <c r="E16" s="9" t="s">
        <v>39</v>
      </c>
      <c r="F16" s="9" t="s">
        <v>89</v>
      </c>
      <c r="G16" s="17" t="s">
        <v>452</v>
      </c>
      <c r="H16" s="9" t="s">
        <v>489</v>
      </c>
      <c r="I16" s="9" t="s">
        <v>11</v>
      </c>
      <c r="J16" s="9" t="s">
        <v>14</v>
      </c>
      <c r="K16" s="9" t="s">
        <v>38</v>
      </c>
      <c r="L16" s="9" t="s">
        <v>26</v>
      </c>
      <c r="M16" s="11" t="s">
        <v>13</v>
      </c>
      <c r="N16" s="12" t="str">
        <f t="shared" si="0"/>
        <v>XVNT-LDTV-ZZ-XX-RP-G-0001</v>
      </c>
      <c r="O16" s="9" t="s">
        <v>401</v>
      </c>
      <c r="P16" s="9">
        <v>1</v>
      </c>
      <c r="Q16" s="9"/>
      <c r="R16" s="9"/>
      <c r="S16" s="9"/>
      <c r="T16" s="9"/>
      <c r="U16" s="9"/>
      <c r="V16" s="9"/>
      <c r="W16" s="5"/>
      <c r="X16" s="5"/>
      <c r="Y16" s="5"/>
      <c r="Z16" s="5"/>
      <c r="AA16" s="5"/>
      <c r="AB16" s="5"/>
      <c r="AC16" s="5"/>
      <c r="AD16" s="5"/>
      <c r="AE16" s="5"/>
    </row>
    <row r="17" spans="1:31" ht="15" customHeight="1" x14ac:dyDescent="0.2">
      <c r="A17" s="5"/>
      <c r="B17" s="338"/>
      <c r="C17" s="7" t="s">
        <v>400</v>
      </c>
      <c r="D17" s="8"/>
      <c r="E17" s="9" t="s">
        <v>39</v>
      </c>
      <c r="F17" s="9" t="s">
        <v>89</v>
      </c>
      <c r="G17" s="17" t="s">
        <v>452</v>
      </c>
      <c r="H17" s="9" t="s">
        <v>489</v>
      </c>
      <c r="I17" s="9" t="s">
        <v>11</v>
      </c>
      <c r="J17" s="9" t="s">
        <v>14</v>
      </c>
      <c r="K17" s="9" t="s">
        <v>38</v>
      </c>
      <c r="L17" s="9" t="s">
        <v>26</v>
      </c>
      <c r="M17" s="11" t="s">
        <v>13</v>
      </c>
      <c r="N17" s="12" t="str">
        <f t="shared" si="0"/>
        <v>XVNT-LDTV-ZZ-XX-RP-G-0001</v>
      </c>
      <c r="O17" s="9" t="s">
        <v>401</v>
      </c>
      <c r="P17" s="9">
        <v>1</v>
      </c>
      <c r="Q17" s="9"/>
      <c r="R17" s="9"/>
      <c r="S17" s="9"/>
      <c r="T17" s="9"/>
      <c r="U17" s="9"/>
      <c r="V17" s="9"/>
      <c r="W17" s="5"/>
      <c r="X17" s="5"/>
      <c r="Y17" s="5"/>
      <c r="Z17" s="5"/>
      <c r="AA17" s="5"/>
      <c r="AB17" s="5"/>
      <c r="AC17" s="5"/>
      <c r="AD17" s="5"/>
      <c r="AE17" s="5"/>
    </row>
    <row r="18" spans="1:31" ht="15" customHeight="1" x14ac:dyDescent="0.2">
      <c r="A18" s="5"/>
      <c r="B18" s="338"/>
      <c r="C18" s="7" t="s">
        <v>397</v>
      </c>
      <c r="D18" s="8"/>
      <c r="E18" s="9" t="s">
        <v>39</v>
      </c>
      <c r="F18" s="9" t="s">
        <v>89</v>
      </c>
      <c r="G18" s="17" t="s">
        <v>452</v>
      </c>
      <c r="H18" s="9" t="s">
        <v>489</v>
      </c>
      <c r="I18" s="9" t="s">
        <v>11</v>
      </c>
      <c r="J18" s="9" t="s">
        <v>14</v>
      </c>
      <c r="K18" s="9" t="s">
        <v>38</v>
      </c>
      <c r="L18" s="9" t="s">
        <v>40</v>
      </c>
      <c r="M18" s="11" t="s">
        <v>13</v>
      </c>
      <c r="N18" s="12" t="str">
        <f t="shared" si="0"/>
        <v>XVNT-LDTV-ZZ-XX-RP-Z-0001</v>
      </c>
      <c r="O18" s="9" t="s">
        <v>398</v>
      </c>
      <c r="P18" s="9">
        <v>1</v>
      </c>
      <c r="Q18" s="9"/>
      <c r="R18" s="9"/>
      <c r="S18" s="9"/>
      <c r="T18" s="9"/>
      <c r="U18" s="9"/>
      <c r="V18" s="9"/>
      <c r="W18" s="5"/>
      <c r="X18" s="5"/>
      <c r="Y18" s="5"/>
      <c r="Z18" s="5"/>
      <c r="AA18" s="5"/>
      <c r="AB18" s="5"/>
      <c r="AC18" s="5"/>
      <c r="AD18" s="5"/>
      <c r="AE18" s="5"/>
    </row>
    <row r="19" spans="1:31" ht="15" customHeight="1" x14ac:dyDescent="0.2">
      <c r="A19" s="5"/>
      <c r="B19" s="338"/>
      <c r="C19" s="7" t="s">
        <v>79</v>
      </c>
      <c r="D19" s="8"/>
      <c r="E19" s="9" t="s">
        <v>18</v>
      </c>
      <c r="F19" s="9" t="s">
        <v>89</v>
      </c>
      <c r="G19" s="17" t="s">
        <v>452</v>
      </c>
      <c r="H19" s="9" t="s">
        <v>489</v>
      </c>
      <c r="I19" s="9" t="s">
        <v>11</v>
      </c>
      <c r="J19" s="9" t="s">
        <v>14</v>
      </c>
      <c r="K19" s="9" t="s">
        <v>38</v>
      </c>
      <c r="L19" s="9" t="s">
        <v>35</v>
      </c>
      <c r="M19" s="11" t="s">
        <v>13</v>
      </c>
      <c r="N19" s="12" t="str">
        <f t="shared" si="0"/>
        <v>XVNT-LDTV-ZZ-XX-RP-S-0001</v>
      </c>
      <c r="O19" s="9" t="s">
        <v>398</v>
      </c>
      <c r="P19" s="9">
        <v>1</v>
      </c>
      <c r="Q19" s="9"/>
      <c r="R19" s="9"/>
      <c r="S19" s="9"/>
      <c r="T19" s="9"/>
      <c r="U19" s="9"/>
      <c r="V19" s="9"/>
      <c r="W19" s="5"/>
      <c r="X19" s="5"/>
      <c r="Y19" s="5"/>
      <c r="Z19" s="5"/>
      <c r="AA19" s="5"/>
      <c r="AB19" s="5"/>
      <c r="AC19" s="5"/>
      <c r="AD19" s="5"/>
      <c r="AE19" s="5"/>
    </row>
    <row r="20" spans="1:31" ht="15" customHeight="1" x14ac:dyDescent="0.2">
      <c r="A20" s="5"/>
      <c r="B20" s="338"/>
      <c r="C20" s="7" t="s">
        <v>458</v>
      </c>
      <c r="D20" s="8"/>
      <c r="E20" s="9" t="s">
        <v>32</v>
      </c>
      <c r="F20" s="9" t="s">
        <v>89</v>
      </c>
      <c r="G20" s="17" t="s">
        <v>452</v>
      </c>
      <c r="H20" s="9" t="s">
        <v>489</v>
      </c>
      <c r="I20" s="9" t="s">
        <v>11</v>
      </c>
      <c r="J20" s="9" t="s">
        <v>14</v>
      </c>
      <c r="K20" s="9" t="s">
        <v>31</v>
      </c>
      <c r="L20" s="9" t="s">
        <v>40</v>
      </c>
      <c r="M20" s="11" t="s">
        <v>13</v>
      </c>
      <c r="N20" s="12" t="str">
        <f t="shared" si="0"/>
        <v>XVNT-LDTV-ZZ-XX-M2-Z-0001</v>
      </c>
      <c r="O20" s="9" t="s">
        <v>398</v>
      </c>
      <c r="P20" s="9">
        <v>1</v>
      </c>
      <c r="Q20" s="9"/>
      <c r="R20" s="9"/>
      <c r="S20" s="9"/>
      <c r="T20" s="9"/>
      <c r="U20" s="9"/>
      <c r="V20" s="9"/>
      <c r="W20" s="5"/>
      <c r="X20" s="5"/>
      <c r="Y20" s="5"/>
      <c r="Z20" s="5"/>
      <c r="AA20" s="5"/>
      <c r="AB20" s="5"/>
      <c r="AC20" s="5"/>
      <c r="AD20" s="5"/>
      <c r="AE20" s="5"/>
    </row>
    <row r="21" spans="1:31" ht="15" customHeight="1" x14ac:dyDescent="0.2">
      <c r="A21" s="5"/>
      <c r="B21" s="367"/>
      <c r="C21" s="7" t="s">
        <v>78</v>
      </c>
      <c r="D21" s="8"/>
      <c r="E21" s="9" t="s">
        <v>39</v>
      </c>
      <c r="F21" s="9" t="s">
        <v>89</v>
      </c>
      <c r="G21" s="17" t="s">
        <v>452</v>
      </c>
      <c r="H21" s="9" t="s">
        <v>489</v>
      </c>
      <c r="I21" s="9" t="s">
        <v>11</v>
      </c>
      <c r="J21" s="9" t="s">
        <v>14</v>
      </c>
      <c r="K21" s="9" t="s">
        <v>38</v>
      </c>
      <c r="L21" s="9" t="s">
        <v>40</v>
      </c>
      <c r="M21" s="11" t="s">
        <v>13</v>
      </c>
      <c r="N21" s="12" t="str">
        <f t="shared" si="0"/>
        <v>XVNT-LDTV-ZZ-XX-RP-Z-0001</v>
      </c>
      <c r="O21" s="9" t="s">
        <v>398</v>
      </c>
      <c r="P21" s="9">
        <v>1</v>
      </c>
      <c r="Q21" s="9"/>
      <c r="R21" s="9"/>
      <c r="S21" s="9"/>
      <c r="T21" s="9"/>
      <c r="U21" s="9"/>
      <c r="V21" s="9"/>
      <c r="W21" s="5"/>
      <c r="X21" s="5"/>
      <c r="Y21" s="5"/>
      <c r="Z21" s="5"/>
      <c r="AA21" s="5"/>
      <c r="AB21" s="5"/>
      <c r="AC21" s="5"/>
      <c r="AD21" s="5"/>
      <c r="AE21" s="5"/>
    </row>
    <row r="22" spans="1:31" ht="15" customHeight="1" x14ac:dyDescent="0.2">
      <c r="A22" s="5"/>
      <c r="B22" s="6" t="s">
        <v>501</v>
      </c>
      <c r="C22" s="7"/>
      <c r="D22" s="8"/>
      <c r="E22" s="9"/>
      <c r="F22" s="9"/>
      <c r="G22" s="17"/>
      <c r="H22" s="9"/>
      <c r="I22" s="9"/>
      <c r="J22" s="9"/>
      <c r="K22" s="9"/>
      <c r="L22" s="9"/>
      <c r="M22" s="11"/>
      <c r="N22" s="12"/>
      <c r="O22" s="9"/>
      <c r="P22" s="9"/>
      <c r="Q22" s="9"/>
      <c r="R22" s="9"/>
      <c r="S22" s="9"/>
      <c r="T22" s="9"/>
      <c r="U22" s="9"/>
      <c r="V22" s="9"/>
      <c r="W22" s="5"/>
      <c r="X22" s="5"/>
      <c r="Y22" s="5"/>
      <c r="Z22" s="5"/>
      <c r="AA22" s="5"/>
      <c r="AB22" s="5"/>
      <c r="AC22" s="5"/>
      <c r="AD22" s="5"/>
      <c r="AE22" s="5"/>
    </row>
    <row r="23" spans="1:31" ht="15" customHeight="1" x14ac:dyDescent="0.2">
      <c r="A23" s="5"/>
      <c r="B23" s="368" t="s">
        <v>502</v>
      </c>
      <c r="C23" s="7" t="s">
        <v>503</v>
      </c>
      <c r="D23" s="8"/>
      <c r="E23" s="9" t="s">
        <v>509</v>
      </c>
      <c r="F23" s="9" t="s">
        <v>89</v>
      </c>
      <c r="G23" s="17" t="s">
        <v>452</v>
      </c>
      <c r="H23" s="9" t="s">
        <v>446</v>
      </c>
      <c r="I23" s="9" t="s">
        <v>11</v>
      </c>
      <c r="J23" s="9" t="s">
        <v>14</v>
      </c>
      <c r="K23" s="9" t="s">
        <v>513</v>
      </c>
      <c r="L23" s="9" t="s">
        <v>510</v>
      </c>
      <c r="M23" s="11" t="s">
        <v>13</v>
      </c>
      <c r="N23" s="12" t="str">
        <f t="shared" si="0"/>
        <v>XVNT-IICM-ZZ-XX-MP-W-0001</v>
      </c>
      <c r="O23" s="9" t="s">
        <v>498</v>
      </c>
      <c r="P23" s="9">
        <v>2</v>
      </c>
      <c r="Q23" s="9"/>
      <c r="R23" s="9"/>
      <c r="S23" s="9"/>
      <c r="T23" s="9"/>
      <c r="U23" s="9"/>
      <c r="V23" s="9"/>
      <c r="W23" s="5"/>
      <c r="X23" s="5"/>
      <c r="Y23" s="5"/>
      <c r="Z23" s="5"/>
      <c r="AA23" s="5"/>
      <c r="AB23" s="5"/>
      <c r="AC23" s="5"/>
      <c r="AD23" s="5"/>
      <c r="AE23" s="5"/>
    </row>
    <row r="24" spans="1:31" ht="15" customHeight="1" x14ac:dyDescent="0.2">
      <c r="A24" s="5"/>
      <c r="B24" s="369"/>
      <c r="C24" s="7" t="s">
        <v>504</v>
      </c>
      <c r="D24" s="8"/>
      <c r="E24" s="9" t="s">
        <v>509</v>
      </c>
      <c r="F24" s="9" t="s">
        <v>89</v>
      </c>
      <c r="G24" s="17" t="s">
        <v>452</v>
      </c>
      <c r="H24" s="9" t="s">
        <v>446</v>
      </c>
      <c r="I24" s="9" t="s">
        <v>11</v>
      </c>
      <c r="J24" s="9" t="s">
        <v>14</v>
      </c>
      <c r="K24" s="9" t="s">
        <v>513</v>
      </c>
      <c r="L24" s="9" t="s">
        <v>510</v>
      </c>
      <c r="M24" s="11" t="s">
        <v>13</v>
      </c>
      <c r="N24" s="12" t="str">
        <f t="shared" si="0"/>
        <v>XVNT-IICM-ZZ-XX-MP-W-0001</v>
      </c>
      <c r="O24" s="9" t="s">
        <v>498</v>
      </c>
      <c r="P24" s="9">
        <v>2</v>
      </c>
      <c r="Q24" s="9"/>
      <c r="R24" s="9"/>
      <c r="S24" s="9"/>
      <c r="T24" s="9"/>
      <c r="U24" s="9"/>
      <c r="V24" s="9"/>
      <c r="W24" s="5"/>
      <c r="X24" s="5"/>
      <c r="Y24" s="5"/>
      <c r="Z24" s="5"/>
      <c r="AA24" s="5"/>
      <c r="AB24" s="5"/>
      <c r="AC24" s="5"/>
      <c r="AD24" s="5"/>
      <c r="AE24" s="5"/>
    </row>
    <row r="25" spans="1:31" ht="15" customHeight="1" x14ac:dyDescent="0.2">
      <c r="A25" s="5"/>
      <c r="B25" s="368" t="s">
        <v>505</v>
      </c>
      <c r="C25" s="7" t="s">
        <v>527</v>
      </c>
      <c r="D25" s="8"/>
      <c r="E25" s="9" t="s">
        <v>509</v>
      </c>
      <c r="F25" s="9" t="s">
        <v>89</v>
      </c>
      <c r="G25" s="17" t="s">
        <v>452</v>
      </c>
      <c r="H25" s="9" t="s">
        <v>446</v>
      </c>
      <c r="I25" s="9" t="s">
        <v>11</v>
      </c>
      <c r="J25" s="9" t="s">
        <v>14</v>
      </c>
      <c r="K25" s="9" t="s">
        <v>513</v>
      </c>
      <c r="L25" s="9" t="s">
        <v>510</v>
      </c>
      <c r="M25" s="11" t="s">
        <v>13</v>
      </c>
      <c r="N25" s="12" t="str">
        <f t="shared" si="0"/>
        <v>XVNT-IICM-ZZ-XX-MP-W-0001</v>
      </c>
      <c r="O25" s="9" t="s">
        <v>498</v>
      </c>
      <c r="P25" s="9">
        <v>5</v>
      </c>
      <c r="Q25" s="9"/>
      <c r="R25" s="9"/>
      <c r="S25" s="9"/>
      <c r="T25" s="9"/>
      <c r="U25" s="9"/>
      <c r="V25" s="9"/>
      <c r="W25" s="5"/>
      <c r="X25" s="5"/>
      <c r="Y25" s="5"/>
      <c r="Z25" s="5"/>
      <c r="AA25" s="5"/>
      <c r="AB25" s="5"/>
      <c r="AC25" s="5"/>
      <c r="AD25" s="5"/>
      <c r="AE25" s="5"/>
    </row>
    <row r="26" spans="1:31" ht="15" customHeight="1" x14ac:dyDescent="0.2">
      <c r="A26" s="5"/>
      <c r="B26" s="342"/>
      <c r="C26" s="7" t="s">
        <v>507</v>
      </c>
      <c r="D26" s="8"/>
      <c r="E26" s="9" t="s">
        <v>509</v>
      </c>
      <c r="F26" s="9" t="s">
        <v>89</v>
      </c>
      <c r="G26" s="17" t="s">
        <v>452</v>
      </c>
      <c r="H26" s="9" t="s">
        <v>446</v>
      </c>
      <c r="I26" s="9" t="s">
        <v>11</v>
      </c>
      <c r="J26" s="9" t="s">
        <v>14</v>
      </c>
      <c r="K26" s="9" t="s">
        <v>513</v>
      </c>
      <c r="L26" s="9" t="s">
        <v>510</v>
      </c>
      <c r="M26" s="11" t="s">
        <v>13</v>
      </c>
      <c r="N26" s="12" t="str">
        <f t="shared" si="0"/>
        <v>XVNT-IICM-ZZ-XX-MP-W-0001</v>
      </c>
      <c r="O26" s="9" t="s">
        <v>498</v>
      </c>
      <c r="P26" s="9">
        <v>5</v>
      </c>
      <c r="Q26" s="9"/>
      <c r="R26" s="9"/>
      <c r="S26" s="9"/>
      <c r="T26" s="9"/>
      <c r="U26" s="9"/>
      <c r="V26" s="9"/>
      <c r="W26" s="5"/>
      <c r="X26" s="5"/>
      <c r="Y26" s="5"/>
      <c r="Z26" s="5"/>
      <c r="AA26" s="5"/>
      <c r="AB26" s="5"/>
      <c r="AC26" s="5"/>
      <c r="AD26" s="5"/>
      <c r="AE26" s="5"/>
    </row>
    <row r="27" spans="1:31" ht="15" hidden="1" customHeight="1" x14ac:dyDescent="0.2">
      <c r="A27" s="5"/>
      <c r="B27" s="369"/>
      <c r="C27" s="7" t="s">
        <v>508</v>
      </c>
      <c r="D27" s="8"/>
      <c r="E27" s="9" t="s">
        <v>509</v>
      </c>
      <c r="F27" s="9" t="s">
        <v>89</v>
      </c>
      <c r="G27" s="17" t="s">
        <v>452</v>
      </c>
      <c r="H27" s="9" t="s">
        <v>446</v>
      </c>
      <c r="I27" s="9" t="s">
        <v>11</v>
      </c>
      <c r="J27" s="9" t="s">
        <v>14</v>
      </c>
      <c r="K27" s="9" t="s">
        <v>513</v>
      </c>
      <c r="L27" s="9" t="s">
        <v>510</v>
      </c>
      <c r="M27" s="11" t="s">
        <v>512</v>
      </c>
      <c r="N27" s="12" t="str">
        <f t="shared" si="0"/>
        <v>XVNT-IICM-ZZ-XX-MP-W-0005</v>
      </c>
      <c r="O27" s="9" t="s">
        <v>498</v>
      </c>
      <c r="P27" s="9">
        <v>30</v>
      </c>
      <c r="Q27" s="9"/>
      <c r="R27" s="9"/>
      <c r="S27" s="9"/>
      <c r="T27" s="9"/>
      <c r="U27" s="9"/>
      <c r="V27" s="9"/>
      <c r="W27" s="5"/>
      <c r="X27" s="5"/>
      <c r="Y27" s="5"/>
      <c r="Z27" s="5"/>
      <c r="AA27" s="5"/>
      <c r="AB27" s="5"/>
      <c r="AC27" s="5"/>
      <c r="AD27" s="5"/>
      <c r="AE27" s="5"/>
    </row>
    <row r="28" spans="1:31" ht="15" customHeight="1" x14ac:dyDescent="0.2">
      <c r="A28" s="5"/>
      <c r="B28" s="6" t="s">
        <v>499</v>
      </c>
      <c r="C28" s="7"/>
      <c r="D28" s="8"/>
      <c r="E28" s="9"/>
      <c r="F28" s="9"/>
      <c r="G28" s="10"/>
      <c r="H28" s="9"/>
      <c r="I28" s="9"/>
      <c r="J28" s="9"/>
      <c r="K28" s="9"/>
      <c r="L28" s="9"/>
      <c r="M28" s="11"/>
      <c r="N28" s="14"/>
      <c r="O28" s="9"/>
      <c r="P28" s="9"/>
      <c r="Q28" s="9"/>
      <c r="R28" s="9"/>
      <c r="S28" s="9"/>
      <c r="T28" s="9"/>
      <c r="U28" s="9"/>
      <c r="V28" s="9"/>
      <c r="W28" s="5"/>
      <c r="X28" s="5"/>
      <c r="Y28" s="5"/>
      <c r="Z28" s="5"/>
      <c r="AA28" s="5"/>
      <c r="AB28" s="5"/>
      <c r="AC28" s="5"/>
      <c r="AD28" s="5"/>
      <c r="AE28" s="5"/>
    </row>
    <row r="29" spans="1:31" ht="15" customHeight="1" x14ac:dyDescent="0.2">
      <c r="A29" s="5"/>
      <c r="B29" s="366" t="s">
        <v>80</v>
      </c>
      <c r="C29" s="80" t="s">
        <v>82</v>
      </c>
      <c r="D29" s="8" t="s">
        <v>402</v>
      </c>
      <c r="E29" s="9" t="s">
        <v>34</v>
      </c>
      <c r="F29" s="9" t="s">
        <v>85</v>
      </c>
      <c r="G29" s="17" t="s">
        <v>452</v>
      </c>
      <c r="H29" s="9" t="s">
        <v>446</v>
      </c>
      <c r="I29" s="9" t="s">
        <v>11</v>
      </c>
      <c r="J29" s="9" t="s">
        <v>14</v>
      </c>
      <c r="K29" s="9" t="s">
        <v>33</v>
      </c>
      <c r="L29" s="9" t="s">
        <v>428</v>
      </c>
      <c r="M29" s="18" t="s">
        <v>13</v>
      </c>
      <c r="N29" s="12" t="str">
        <f t="shared" ref="N29:N55" si="1">IF(G29="","-",CONCATENATE(G29,"-",H29,"-",I29,"-",J29,"-",K29,"-",L29,"-",M29))</f>
        <v>XVNT-IICM-ZZ-XX-M3-G1-0001</v>
      </c>
      <c r="O29" s="9" t="s">
        <v>498</v>
      </c>
      <c r="P29" s="9">
        <v>40</v>
      </c>
      <c r="Q29" s="1">
        <v>200</v>
      </c>
      <c r="R29" s="1">
        <v>200</v>
      </c>
      <c r="S29" s="9" t="s">
        <v>498</v>
      </c>
      <c r="T29" s="9">
        <v>30</v>
      </c>
      <c r="U29" s="1">
        <v>200</v>
      </c>
      <c r="V29" s="1">
        <v>200</v>
      </c>
      <c r="W29" s="5"/>
      <c r="X29" s="5"/>
      <c r="Y29" s="5"/>
      <c r="Z29" s="5"/>
      <c r="AA29" s="5"/>
      <c r="AB29" s="5"/>
      <c r="AC29" s="5"/>
      <c r="AD29" s="5"/>
      <c r="AE29" s="5"/>
    </row>
    <row r="30" spans="1:31" ht="15" customHeight="1" x14ac:dyDescent="0.2">
      <c r="A30" s="5"/>
      <c r="B30" s="338"/>
      <c r="C30" s="80" t="s">
        <v>396</v>
      </c>
      <c r="D30" s="8" t="s">
        <v>403</v>
      </c>
      <c r="E30" s="9" t="s">
        <v>34</v>
      </c>
      <c r="F30" s="9" t="s">
        <v>85</v>
      </c>
      <c r="G30" s="17" t="s">
        <v>452</v>
      </c>
      <c r="H30" s="9" t="s">
        <v>446</v>
      </c>
      <c r="I30" s="9" t="s">
        <v>11</v>
      </c>
      <c r="J30" s="9" t="s">
        <v>14</v>
      </c>
      <c r="K30" s="9" t="s">
        <v>33</v>
      </c>
      <c r="L30" s="9" t="s">
        <v>428</v>
      </c>
      <c r="M30" s="18" t="s">
        <v>13</v>
      </c>
      <c r="N30" s="12" t="str">
        <f t="shared" si="1"/>
        <v>XVNT-IICM-ZZ-XX-M3-G1-0001</v>
      </c>
      <c r="O30" s="9" t="s">
        <v>498</v>
      </c>
      <c r="P30" s="9"/>
      <c r="Q30" s="1">
        <v>200</v>
      </c>
      <c r="R30" s="1">
        <v>200</v>
      </c>
      <c r="S30" s="9" t="s">
        <v>498</v>
      </c>
      <c r="T30" s="9">
        <v>30</v>
      </c>
      <c r="U30" s="1">
        <v>200</v>
      </c>
      <c r="V30" s="1">
        <v>200</v>
      </c>
      <c r="W30" s="5"/>
      <c r="X30" s="5"/>
      <c r="Y30" s="5"/>
      <c r="Z30" s="5"/>
      <c r="AA30" s="5"/>
      <c r="AB30" s="5"/>
      <c r="AC30" s="5"/>
      <c r="AD30" s="5"/>
      <c r="AE30" s="5"/>
    </row>
    <row r="31" spans="1:31" ht="15" customHeight="1" x14ac:dyDescent="0.2">
      <c r="A31" s="5"/>
      <c r="B31" s="338"/>
      <c r="C31" s="80" t="s">
        <v>395</v>
      </c>
      <c r="D31" s="8" t="s">
        <v>404</v>
      </c>
      <c r="E31" s="9" t="s">
        <v>34</v>
      </c>
      <c r="F31" s="9" t="s">
        <v>85</v>
      </c>
      <c r="G31" s="17" t="s">
        <v>452</v>
      </c>
      <c r="H31" s="9" t="s">
        <v>446</v>
      </c>
      <c r="I31" s="9" t="s">
        <v>11</v>
      </c>
      <c r="J31" s="9" t="s">
        <v>14</v>
      </c>
      <c r="K31" s="9" t="s">
        <v>33</v>
      </c>
      <c r="L31" s="9" t="s">
        <v>428</v>
      </c>
      <c r="M31" s="18" t="s">
        <v>13</v>
      </c>
      <c r="N31" s="12" t="str">
        <f t="shared" si="1"/>
        <v>XVNT-IICM-ZZ-XX-M3-G1-0001</v>
      </c>
      <c r="O31" s="9" t="s">
        <v>498</v>
      </c>
      <c r="P31" s="9"/>
      <c r="Q31" s="1">
        <v>200</v>
      </c>
      <c r="R31" s="1">
        <v>200</v>
      </c>
      <c r="S31" s="9" t="s">
        <v>498</v>
      </c>
      <c r="T31" s="9">
        <v>30</v>
      </c>
      <c r="U31" s="1">
        <v>200</v>
      </c>
      <c r="V31" s="1">
        <v>200</v>
      </c>
      <c r="W31" s="5"/>
      <c r="X31" s="5"/>
      <c r="Y31" s="5"/>
      <c r="Z31" s="5"/>
      <c r="AA31" s="5"/>
      <c r="AB31" s="5"/>
      <c r="AC31" s="5"/>
      <c r="AD31" s="5"/>
      <c r="AE31" s="5"/>
    </row>
    <row r="32" spans="1:31" ht="15" customHeight="1" x14ac:dyDescent="0.2">
      <c r="A32" s="5"/>
      <c r="B32" s="54" t="s">
        <v>83</v>
      </c>
      <c r="C32" s="13" t="s">
        <v>21</v>
      </c>
      <c r="D32" s="8" t="s">
        <v>405</v>
      </c>
      <c r="E32" s="9" t="s">
        <v>34</v>
      </c>
      <c r="F32" s="9" t="s">
        <v>85</v>
      </c>
      <c r="G32" s="17" t="s">
        <v>452</v>
      </c>
      <c r="H32" s="9" t="s">
        <v>446</v>
      </c>
      <c r="I32" s="9" t="s">
        <v>11</v>
      </c>
      <c r="J32" s="9" t="s">
        <v>14</v>
      </c>
      <c r="K32" s="9" t="s">
        <v>20</v>
      </c>
      <c r="L32" s="9" t="s">
        <v>40</v>
      </c>
      <c r="M32" s="18" t="s">
        <v>13</v>
      </c>
      <c r="N32" s="12" t="str">
        <f t="shared" si="1"/>
        <v>XVNT-IICM-ZZ-XX-CM-Z-0001</v>
      </c>
      <c r="O32" s="9" t="s">
        <v>498</v>
      </c>
      <c r="P32" s="9">
        <v>40</v>
      </c>
      <c r="Q32" s="1">
        <v>300</v>
      </c>
      <c r="R32" s="1"/>
      <c r="S32" s="9" t="s">
        <v>498</v>
      </c>
      <c r="T32" s="9">
        <v>30</v>
      </c>
      <c r="U32" s="1">
        <v>300</v>
      </c>
      <c r="V32" s="1"/>
      <c r="W32" s="5"/>
      <c r="X32" s="19"/>
      <c r="Y32" s="5"/>
      <c r="Z32" s="5"/>
      <c r="AA32" s="5"/>
      <c r="AB32" s="5"/>
      <c r="AC32" s="5"/>
      <c r="AD32" s="5"/>
      <c r="AE32" s="5"/>
    </row>
    <row r="33" spans="1:31" ht="15" customHeight="1" x14ac:dyDescent="0.2">
      <c r="A33" s="5"/>
      <c r="B33" s="351" t="s">
        <v>495</v>
      </c>
      <c r="C33" s="353" t="s">
        <v>463</v>
      </c>
      <c r="D33" s="8" t="s">
        <v>459</v>
      </c>
      <c r="E33" s="9" t="s">
        <v>34</v>
      </c>
      <c r="F33" s="9" t="s">
        <v>86</v>
      </c>
      <c r="G33" s="17" t="s">
        <v>452</v>
      </c>
      <c r="H33" s="9" t="s">
        <v>446</v>
      </c>
      <c r="I33" s="9" t="s">
        <v>453</v>
      </c>
      <c r="J33" s="9" t="s">
        <v>14</v>
      </c>
      <c r="K33" s="9" t="s">
        <v>33</v>
      </c>
      <c r="L33" s="9" t="s">
        <v>19</v>
      </c>
      <c r="M33" s="18" t="s">
        <v>13</v>
      </c>
      <c r="N33" s="12" t="str">
        <f t="shared" si="1"/>
        <v>XVNT-IICM-DTC-XX-M3-C-0001</v>
      </c>
      <c r="O33" s="9" t="s">
        <v>498</v>
      </c>
      <c r="P33" s="9">
        <v>40</v>
      </c>
      <c r="Q33" s="1">
        <v>350</v>
      </c>
      <c r="R33" s="1">
        <v>350</v>
      </c>
      <c r="S33" s="9" t="s">
        <v>498</v>
      </c>
      <c r="T33" s="9">
        <v>30</v>
      </c>
      <c r="U33" s="1">
        <v>400</v>
      </c>
      <c r="V33" s="1">
        <v>350</v>
      </c>
      <c r="W33" s="5"/>
      <c r="X33" s="19"/>
      <c r="Y33" s="5"/>
      <c r="Z33" s="5"/>
      <c r="AA33" s="5"/>
      <c r="AB33" s="5"/>
      <c r="AC33" s="5"/>
      <c r="AD33" s="5"/>
      <c r="AE33" s="5"/>
    </row>
    <row r="34" spans="1:31" ht="15" customHeight="1" x14ac:dyDescent="0.2">
      <c r="A34" s="5"/>
      <c r="B34" s="351"/>
      <c r="C34" s="354"/>
      <c r="D34" s="8" t="s">
        <v>460</v>
      </c>
      <c r="E34" s="9" t="s">
        <v>34</v>
      </c>
      <c r="F34" s="9" t="s">
        <v>86</v>
      </c>
      <c r="G34" s="17" t="s">
        <v>452</v>
      </c>
      <c r="H34" s="9" t="s">
        <v>446</v>
      </c>
      <c r="I34" s="9" t="s">
        <v>453</v>
      </c>
      <c r="J34" s="9" t="s">
        <v>14</v>
      </c>
      <c r="K34" s="9" t="s">
        <v>33</v>
      </c>
      <c r="L34" s="9" t="s">
        <v>19</v>
      </c>
      <c r="M34" s="18" t="s">
        <v>13</v>
      </c>
      <c r="N34" s="12" t="str">
        <f t="shared" si="1"/>
        <v>XVNT-IICM-DTC-XX-M3-C-0001</v>
      </c>
      <c r="O34" s="9" t="s">
        <v>498</v>
      </c>
      <c r="P34" s="9">
        <v>40</v>
      </c>
      <c r="Q34" s="1">
        <v>350</v>
      </c>
      <c r="R34" s="1">
        <v>350</v>
      </c>
      <c r="S34" s="9" t="s">
        <v>498</v>
      </c>
      <c r="T34" s="9">
        <v>30</v>
      </c>
      <c r="U34" s="1">
        <v>350</v>
      </c>
      <c r="V34" s="1">
        <v>350</v>
      </c>
      <c r="W34" s="5"/>
      <c r="X34" s="19"/>
      <c r="Y34" s="5"/>
      <c r="Z34" s="5"/>
      <c r="AA34" s="5"/>
      <c r="AB34" s="5"/>
      <c r="AC34" s="5"/>
      <c r="AD34" s="5"/>
      <c r="AE34" s="5"/>
    </row>
    <row r="35" spans="1:31" ht="15" customHeight="1" x14ac:dyDescent="0.2">
      <c r="A35" s="5"/>
      <c r="B35" s="351"/>
      <c r="C35" s="354"/>
      <c r="D35" s="8" t="s">
        <v>461</v>
      </c>
      <c r="E35" s="9" t="s">
        <v>34</v>
      </c>
      <c r="F35" s="9" t="s">
        <v>86</v>
      </c>
      <c r="G35" s="17" t="s">
        <v>452</v>
      </c>
      <c r="H35" s="9" t="s">
        <v>446</v>
      </c>
      <c r="I35" s="9" t="s">
        <v>453</v>
      </c>
      <c r="J35" s="9" t="s">
        <v>14</v>
      </c>
      <c r="K35" s="9" t="s">
        <v>33</v>
      </c>
      <c r="L35" s="9" t="s">
        <v>19</v>
      </c>
      <c r="M35" s="18" t="s">
        <v>13</v>
      </c>
      <c r="N35" s="12" t="str">
        <f t="shared" si="1"/>
        <v>XVNT-IICM-DTC-XX-M3-C-0001</v>
      </c>
      <c r="O35" s="9" t="s">
        <v>498</v>
      </c>
      <c r="P35" s="9">
        <v>40</v>
      </c>
      <c r="Q35" s="1">
        <v>350</v>
      </c>
      <c r="R35" s="1">
        <v>350</v>
      </c>
      <c r="S35" s="9" t="s">
        <v>498</v>
      </c>
      <c r="T35" s="9">
        <v>30</v>
      </c>
      <c r="U35" s="1">
        <v>400</v>
      </c>
      <c r="V35" s="1">
        <v>350</v>
      </c>
      <c r="W35" s="5"/>
      <c r="X35" s="19"/>
      <c r="Y35" s="5"/>
      <c r="Z35" s="5"/>
      <c r="AA35" s="5"/>
      <c r="AB35" s="5"/>
      <c r="AC35" s="5"/>
      <c r="AD35" s="5"/>
      <c r="AE35" s="5"/>
    </row>
    <row r="36" spans="1:31" ht="15" customHeight="1" x14ac:dyDescent="0.2">
      <c r="A36" s="5"/>
      <c r="B36" s="352"/>
      <c r="C36" s="354"/>
      <c r="D36" s="8" t="s">
        <v>462</v>
      </c>
      <c r="E36" s="9" t="s">
        <v>34</v>
      </c>
      <c r="F36" s="9" t="s">
        <v>86</v>
      </c>
      <c r="G36" s="17" t="s">
        <v>452</v>
      </c>
      <c r="H36" s="9" t="s">
        <v>446</v>
      </c>
      <c r="I36" s="9" t="s">
        <v>453</v>
      </c>
      <c r="J36" s="9" t="s">
        <v>14</v>
      </c>
      <c r="K36" s="9" t="s">
        <v>33</v>
      </c>
      <c r="L36" s="9" t="s">
        <v>19</v>
      </c>
      <c r="M36" s="18" t="s">
        <v>13</v>
      </c>
      <c r="N36" s="12" t="str">
        <f t="shared" si="1"/>
        <v>XVNT-IICM-DTC-XX-M3-C-0001</v>
      </c>
      <c r="O36" s="9" t="s">
        <v>498</v>
      </c>
      <c r="P36" s="9">
        <v>40</v>
      </c>
      <c r="Q36" s="1">
        <v>350</v>
      </c>
      <c r="R36" s="1">
        <v>350</v>
      </c>
      <c r="S36" s="9" t="s">
        <v>498</v>
      </c>
      <c r="T36" s="9">
        <v>30</v>
      </c>
      <c r="U36" s="1">
        <v>350</v>
      </c>
      <c r="V36" s="1">
        <v>350</v>
      </c>
      <c r="W36" s="5"/>
      <c r="X36" s="19"/>
      <c r="Y36" s="5"/>
      <c r="Z36" s="5"/>
      <c r="AA36" s="5"/>
      <c r="AB36" s="5"/>
      <c r="AC36" s="5"/>
      <c r="AD36" s="5"/>
      <c r="AE36" s="5"/>
    </row>
    <row r="37" spans="1:31" ht="15" customHeight="1" x14ac:dyDescent="0.2">
      <c r="A37" s="5"/>
      <c r="B37" s="348" t="s">
        <v>472</v>
      </c>
      <c r="C37" s="112" t="s">
        <v>454</v>
      </c>
      <c r="D37" s="8" t="s">
        <v>480</v>
      </c>
      <c r="E37" s="9" t="s">
        <v>34</v>
      </c>
      <c r="F37" s="9" t="s">
        <v>86</v>
      </c>
      <c r="G37" s="17" t="s">
        <v>452</v>
      </c>
      <c r="H37" s="9" t="s">
        <v>446</v>
      </c>
      <c r="I37" s="9" t="s">
        <v>449</v>
      </c>
      <c r="J37" s="9" t="s">
        <v>14</v>
      </c>
      <c r="K37" s="9" t="s">
        <v>33</v>
      </c>
      <c r="L37" s="9" t="s">
        <v>19</v>
      </c>
      <c r="M37" s="18" t="s">
        <v>13</v>
      </c>
      <c r="N37" s="12" t="str">
        <f t="shared" si="1"/>
        <v>XVNT-IICM-NG1-XX-M3-C-0001</v>
      </c>
      <c r="O37" s="9" t="s">
        <v>498</v>
      </c>
      <c r="P37" s="9">
        <v>40</v>
      </c>
      <c r="Q37" s="1">
        <v>400</v>
      </c>
      <c r="R37" s="1">
        <v>350</v>
      </c>
      <c r="S37" s="9" t="s">
        <v>498</v>
      </c>
      <c r="T37" s="9">
        <v>30</v>
      </c>
      <c r="U37" s="1">
        <v>400</v>
      </c>
      <c r="V37" s="1">
        <v>350</v>
      </c>
      <c r="W37" s="5"/>
      <c r="X37" s="19"/>
      <c r="Y37" s="5"/>
      <c r="Z37" s="5"/>
      <c r="AA37" s="5"/>
      <c r="AB37" s="5"/>
      <c r="AC37" s="5"/>
      <c r="AD37" s="5"/>
      <c r="AE37" s="5"/>
    </row>
    <row r="38" spans="1:31" ht="15" customHeight="1" x14ac:dyDescent="0.2">
      <c r="A38" s="5"/>
      <c r="B38" s="348"/>
      <c r="C38" s="112" t="s">
        <v>455</v>
      </c>
      <c r="D38" s="8" t="s">
        <v>480</v>
      </c>
      <c r="E38" s="9" t="s">
        <v>34</v>
      </c>
      <c r="F38" s="9" t="s">
        <v>86</v>
      </c>
      <c r="G38" s="17" t="s">
        <v>452</v>
      </c>
      <c r="H38" s="9" t="s">
        <v>446</v>
      </c>
      <c r="I38" s="9" t="s">
        <v>450</v>
      </c>
      <c r="J38" s="9" t="s">
        <v>14</v>
      </c>
      <c r="K38" s="9" t="s">
        <v>33</v>
      </c>
      <c r="L38" s="9" t="s">
        <v>19</v>
      </c>
      <c r="M38" s="18" t="s">
        <v>13</v>
      </c>
      <c r="N38" s="12" t="str">
        <f t="shared" si="1"/>
        <v>XVNT-IICM-NG2-XX-M3-C-0001</v>
      </c>
      <c r="O38" s="9" t="s">
        <v>498</v>
      </c>
      <c r="P38" s="9">
        <v>40</v>
      </c>
      <c r="Q38" s="1">
        <v>400</v>
      </c>
      <c r="R38" s="1">
        <v>350</v>
      </c>
      <c r="S38" s="9" t="s">
        <v>498</v>
      </c>
      <c r="T38" s="9">
        <v>30</v>
      </c>
      <c r="U38" s="1">
        <v>400</v>
      </c>
      <c r="V38" s="1">
        <v>350</v>
      </c>
      <c r="W38" s="5"/>
      <c r="X38" s="19"/>
      <c r="Y38" s="5"/>
      <c r="Z38" s="5"/>
      <c r="AA38" s="5"/>
      <c r="AB38" s="5"/>
      <c r="AC38" s="5"/>
      <c r="AD38" s="5"/>
      <c r="AE38" s="5"/>
    </row>
    <row r="39" spans="1:31" ht="15" customHeight="1" x14ac:dyDescent="0.2">
      <c r="A39" s="5"/>
      <c r="B39" s="348"/>
      <c r="C39" s="355" t="s">
        <v>481</v>
      </c>
      <c r="D39" s="8" t="s">
        <v>480</v>
      </c>
      <c r="E39" s="9" t="s">
        <v>34</v>
      </c>
      <c r="F39" s="9" t="s">
        <v>86</v>
      </c>
      <c r="G39" s="17" t="s">
        <v>452</v>
      </c>
      <c r="H39" s="9" t="s">
        <v>446</v>
      </c>
      <c r="I39" s="9" t="s">
        <v>451</v>
      </c>
      <c r="J39" s="9" t="s">
        <v>14</v>
      </c>
      <c r="K39" s="9" t="s">
        <v>33</v>
      </c>
      <c r="L39" s="9" t="s">
        <v>19</v>
      </c>
      <c r="M39" s="18" t="s">
        <v>13</v>
      </c>
      <c r="N39" s="12" t="str">
        <f t="shared" si="1"/>
        <v>XVNT-IICM-NG3-XX-M3-C-0001</v>
      </c>
      <c r="O39" s="9" t="s">
        <v>498</v>
      </c>
      <c r="P39" s="9">
        <v>40</v>
      </c>
      <c r="Q39" s="1">
        <v>400</v>
      </c>
      <c r="R39" s="1">
        <v>350</v>
      </c>
      <c r="S39" s="9" t="s">
        <v>498</v>
      </c>
      <c r="T39" s="9">
        <v>30</v>
      </c>
      <c r="U39" s="1">
        <v>400</v>
      </c>
      <c r="V39" s="1">
        <v>350</v>
      </c>
      <c r="W39" s="5"/>
      <c r="X39" s="19"/>
      <c r="Y39" s="5"/>
      <c r="Z39" s="5"/>
      <c r="AA39" s="5"/>
      <c r="AB39" s="5"/>
      <c r="AC39" s="5"/>
      <c r="AD39" s="5"/>
      <c r="AE39" s="5"/>
    </row>
    <row r="40" spans="1:31" ht="15" customHeight="1" x14ac:dyDescent="0.2">
      <c r="A40" s="5"/>
      <c r="B40" s="348"/>
      <c r="C40" s="355"/>
      <c r="D40" s="8" t="s">
        <v>482</v>
      </c>
      <c r="E40" s="9" t="s">
        <v>34</v>
      </c>
      <c r="F40" s="9" t="s">
        <v>86</v>
      </c>
      <c r="G40" s="17" t="s">
        <v>452</v>
      </c>
      <c r="H40" s="9" t="s">
        <v>446</v>
      </c>
      <c r="I40" s="9" t="s">
        <v>451</v>
      </c>
      <c r="J40" s="9" t="s">
        <v>14</v>
      </c>
      <c r="K40" s="9" t="s">
        <v>33</v>
      </c>
      <c r="L40" s="9" t="s">
        <v>19</v>
      </c>
      <c r="M40" s="18" t="s">
        <v>13</v>
      </c>
      <c r="N40" s="12" t="str">
        <f t="shared" si="1"/>
        <v>XVNT-IICM-NG3-XX-M3-C-0001</v>
      </c>
      <c r="O40" s="9" t="s">
        <v>498</v>
      </c>
      <c r="P40" s="9">
        <v>40</v>
      </c>
      <c r="Q40" s="1">
        <v>400</v>
      </c>
      <c r="R40" s="1">
        <v>350</v>
      </c>
      <c r="S40" s="9" t="s">
        <v>498</v>
      </c>
      <c r="T40" s="9">
        <v>30</v>
      </c>
      <c r="U40" s="1">
        <v>400</v>
      </c>
      <c r="V40" s="1">
        <v>350</v>
      </c>
      <c r="W40" s="5"/>
      <c r="X40" s="19"/>
      <c r="Y40" s="5"/>
      <c r="Z40" s="5"/>
      <c r="AA40" s="5"/>
      <c r="AB40" s="5"/>
      <c r="AC40" s="5"/>
      <c r="AD40" s="5"/>
      <c r="AE40" s="5"/>
    </row>
    <row r="41" spans="1:31" ht="15" customHeight="1" x14ac:dyDescent="0.2">
      <c r="A41" s="5"/>
      <c r="B41" s="103" t="s">
        <v>484</v>
      </c>
      <c r="C41" s="112" t="s">
        <v>485</v>
      </c>
      <c r="D41" s="8" t="s">
        <v>486</v>
      </c>
      <c r="E41" s="9" t="s">
        <v>34</v>
      </c>
      <c r="F41" s="9" t="s">
        <v>86</v>
      </c>
      <c r="G41" s="17" t="s">
        <v>452</v>
      </c>
      <c r="H41" s="9" t="s">
        <v>446</v>
      </c>
      <c r="I41" s="9" t="s">
        <v>11</v>
      </c>
      <c r="J41" s="9" t="s">
        <v>14</v>
      </c>
      <c r="K41" s="9" t="s">
        <v>33</v>
      </c>
      <c r="L41" s="9" t="s">
        <v>19</v>
      </c>
      <c r="M41" s="18" t="s">
        <v>13</v>
      </c>
      <c r="N41" s="12" t="str">
        <f t="shared" si="1"/>
        <v>XVNT-IICM-ZZ-XX-M3-C-0001</v>
      </c>
      <c r="O41" s="9" t="s">
        <v>498</v>
      </c>
      <c r="P41" s="9">
        <v>40</v>
      </c>
      <c r="Q41" s="1">
        <v>300</v>
      </c>
      <c r="R41" s="1">
        <v>300</v>
      </c>
      <c r="S41" s="9" t="s">
        <v>498</v>
      </c>
      <c r="T41" s="9">
        <v>30</v>
      </c>
      <c r="U41" s="1">
        <v>300</v>
      </c>
      <c r="V41" s="1">
        <v>300</v>
      </c>
      <c r="W41" s="5"/>
      <c r="X41" s="19"/>
      <c r="Y41" s="5"/>
      <c r="Z41" s="5"/>
      <c r="AA41" s="5"/>
      <c r="AB41" s="5"/>
      <c r="AC41" s="5"/>
      <c r="AD41" s="5"/>
      <c r="AE41" s="5"/>
    </row>
    <row r="42" spans="1:31" ht="15" customHeight="1" x14ac:dyDescent="0.2">
      <c r="A42" s="5"/>
      <c r="B42" s="366" t="s">
        <v>406</v>
      </c>
      <c r="C42" s="349" t="s">
        <v>308</v>
      </c>
      <c r="D42" s="8" t="s">
        <v>514</v>
      </c>
      <c r="E42" s="9" t="s">
        <v>34</v>
      </c>
      <c r="F42" s="9" t="s">
        <v>86</v>
      </c>
      <c r="G42" s="17" t="s">
        <v>452</v>
      </c>
      <c r="H42" s="9" t="s">
        <v>446</v>
      </c>
      <c r="I42" s="9" t="s">
        <v>516</v>
      </c>
      <c r="J42" s="9" t="s">
        <v>14</v>
      </c>
      <c r="K42" s="9" t="s">
        <v>33</v>
      </c>
      <c r="L42" s="9" t="s">
        <v>22</v>
      </c>
      <c r="M42" s="18" t="s">
        <v>13</v>
      </c>
      <c r="N42" s="12" t="str">
        <f t="shared" si="1"/>
        <v>XVNT-IICM-CNN-XX-M3-D-0001</v>
      </c>
      <c r="O42" s="9" t="s">
        <v>498</v>
      </c>
      <c r="P42" s="9">
        <v>40</v>
      </c>
      <c r="Q42" s="1">
        <v>300</v>
      </c>
      <c r="R42" s="1">
        <v>300</v>
      </c>
      <c r="S42" s="9" t="s">
        <v>498</v>
      </c>
      <c r="T42" s="9">
        <v>30</v>
      </c>
      <c r="U42" s="1">
        <v>300</v>
      </c>
      <c r="V42" s="1">
        <v>300</v>
      </c>
      <c r="W42" s="5"/>
      <c r="X42" s="19"/>
      <c r="Y42" s="5"/>
      <c r="Z42" s="5"/>
      <c r="AA42" s="5"/>
      <c r="AB42" s="5"/>
      <c r="AC42" s="5"/>
      <c r="AD42" s="5"/>
      <c r="AE42" s="5"/>
    </row>
    <row r="43" spans="1:31" ht="15" customHeight="1" x14ac:dyDescent="0.2">
      <c r="A43" s="5"/>
      <c r="B43" s="338"/>
      <c r="C43" s="349"/>
      <c r="D43" s="8" t="s">
        <v>515</v>
      </c>
      <c r="E43" s="9" t="s">
        <v>34</v>
      </c>
      <c r="F43" s="9" t="s">
        <v>86</v>
      </c>
      <c r="G43" s="17" t="s">
        <v>452</v>
      </c>
      <c r="H43" s="9" t="s">
        <v>446</v>
      </c>
      <c r="I43" s="9" t="s">
        <v>517</v>
      </c>
      <c r="J43" s="9" t="s">
        <v>14</v>
      </c>
      <c r="K43" s="9" t="s">
        <v>33</v>
      </c>
      <c r="L43" s="9" t="s">
        <v>22</v>
      </c>
      <c r="M43" s="18" t="s">
        <v>13</v>
      </c>
      <c r="N43" s="12" t="str">
        <f t="shared" si="1"/>
        <v>XVNT-IICM-CHL-XX-M3-D-0001</v>
      </c>
      <c r="O43" s="9" t="s">
        <v>498</v>
      </c>
      <c r="P43" s="9">
        <v>40</v>
      </c>
      <c r="Q43" s="1">
        <v>300</v>
      </c>
      <c r="R43" s="1">
        <v>300</v>
      </c>
      <c r="S43" s="9" t="s">
        <v>498</v>
      </c>
      <c r="T43" s="9">
        <v>30</v>
      </c>
      <c r="U43" s="1">
        <v>350</v>
      </c>
      <c r="V43" s="1">
        <v>350</v>
      </c>
      <c r="W43" s="5"/>
      <c r="X43" s="19"/>
      <c r="Y43" s="5"/>
      <c r="Z43" s="5"/>
      <c r="AA43" s="5"/>
      <c r="AB43" s="5"/>
      <c r="AC43" s="5"/>
      <c r="AD43" s="5"/>
      <c r="AE43" s="5"/>
    </row>
    <row r="44" spans="1:31" ht="15" customHeight="1" x14ac:dyDescent="0.2">
      <c r="A44" s="5"/>
      <c r="B44" s="338"/>
      <c r="C44" s="349"/>
      <c r="D44" s="8" t="s">
        <v>465</v>
      </c>
      <c r="E44" s="9" t="s">
        <v>34</v>
      </c>
      <c r="F44" s="9" t="s">
        <v>86</v>
      </c>
      <c r="G44" s="17" t="s">
        <v>452</v>
      </c>
      <c r="H44" s="9" t="s">
        <v>446</v>
      </c>
      <c r="I44" s="9" t="s">
        <v>456</v>
      </c>
      <c r="J44" s="9" t="s">
        <v>14</v>
      </c>
      <c r="K44" s="9" t="s">
        <v>33</v>
      </c>
      <c r="L44" s="9" t="s">
        <v>22</v>
      </c>
      <c r="M44" s="18" t="s">
        <v>13</v>
      </c>
      <c r="N44" s="12" t="str">
        <f t="shared" si="1"/>
        <v>XVNT-IICM-TNM-XX-M3-D-0001</v>
      </c>
      <c r="O44" s="9" t="s">
        <v>498</v>
      </c>
      <c r="P44" s="9">
        <v>40</v>
      </c>
      <c r="Q44" s="1">
        <v>300</v>
      </c>
      <c r="R44" s="1">
        <v>300</v>
      </c>
      <c r="S44" s="9" t="s">
        <v>498</v>
      </c>
      <c r="T44" s="9">
        <v>30</v>
      </c>
      <c r="U44" s="1">
        <v>300</v>
      </c>
      <c r="V44" s="1">
        <v>300</v>
      </c>
      <c r="W44" s="5"/>
      <c r="X44" s="19"/>
      <c r="Y44" s="5"/>
      <c r="Z44" s="5"/>
      <c r="AA44" s="5"/>
      <c r="AB44" s="5"/>
      <c r="AC44" s="5"/>
      <c r="AD44" s="5"/>
      <c r="AE44" s="5"/>
    </row>
    <row r="45" spans="1:31" ht="15" customHeight="1" x14ac:dyDescent="0.2">
      <c r="A45" s="5"/>
      <c r="B45" s="338"/>
      <c r="C45" s="116" t="s">
        <v>496</v>
      </c>
      <c r="D45" s="8" t="s">
        <v>497</v>
      </c>
      <c r="E45" s="9" t="s">
        <v>34</v>
      </c>
      <c r="F45" s="9" t="s">
        <v>86</v>
      </c>
      <c r="G45" s="17" t="s">
        <v>452</v>
      </c>
      <c r="H45" s="9" t="s">
        <v>446</v>
      </c>
      <c r="I45" s="9" t="s">
        <v>456</v>
      </c>
      <c r="J45" s="9" t="s">
        <v>14</v>
      </c>
      <c r="K45" s="9" t="s">
        <v>33</v>
      </c>
      <c r="L45" s="9" t="s">
        <v>22</v>
      </c>
      <c r="M45" s="18" t="s">
        <v>13</v>
      </c>
      <c r="N45" s="12" t="str">
        <f t="shared" si="1"/>
        <v>XVNT-IICM-TNM-XX-M3-D-0001</v>
      </c>
      <c r="O45" s="9" t="s">
        <v>498</v>
      </c>
      <c r="P45" s="9">
        <v>40</v>
      </c>
      <c r="Q45" s="1">
        <v>300</v>
      </c>
      <c r="R45" s="1">
        <v>300</v>
      </c>
      <c r="S45" s="9" t="s">
        <v>498</v>
      </c>
      <c r="T45" s="9">
        <v>30</v>
      </c>
      <c r="U45" s="1">
        <v>300</v>
      </c>
      <c r="V45" s="1">
        <v>300</v>
      </c>
      <c r="W45" s="5"/>
      <c r="X45" s="19"/>
      <c r="Y45" s="5"/>
      <c r="Z45" s="5"/>
      <c r="AA45" s="5"/>
      <c r="AB45" s="5"/>
      <c r="AC45" s="5"/>
      <c r="AD45" s="5"/>
      <c r="AE45" s="5"/>
    </row>
    <row r="46" spans="1:31" ht="15" customHeight="1" x14ac:dyDescent="0.2">
      <c r="A46" s="3"/>
      <c r="B46" s="338"/>
      <c r="C46" s="349" t="s">
        <v>87</v>
      </c>
      <c r="D46" s="8" t="s">
        <v>483</v>
      </c>
      <c r="E46" s="9" t="s">
        <v>34</v>
      </c>
      <c r="F46" s="9" t="s">
        <v>86</v>
      </c>
      <c r="G46" s="17" t="s">
        <v>452</v>
      </c>
      <c r="H46" s="9" t="s">
        <v>446</v>
      </c>
      <c r="I46" s="9" t="s">
        <v>457</v>
      </c>
      <c r="J46" s="9" t="s">
        <v>14</v>
      </c>
      <c r="K46" s="9" t="s">
        <v>33</v>
      </c>
      <c r="L46" s="9" t="s">
        <v>23</v>
      </c>
      <c r="M46" s="18" t="s">
        <v>13</v>
      </c>
      <c r="N46" s="12" t="str">
        <f t="shared" si="1"/>
        <v>XVNT-IICM-DCS-XX-M3-E-0001</v>
      </c>
      <c r="O46" s="9" t="s">
        <v>498</v>
      </c>
      <c r="P46" s="9">
        <v>40</v>
      </c>
      <c r="Q46" s="1">
        <v>300</v>
      </c>
      <c r="R46" s="1">
        <v>300</v>
      </c>
      <c r="S46" s="9" t="s">
        <v>498</v>
      </c>
      <c r="T46" s="9">
        <v>30</v>
      </c>
      <c r="U46" s="1">
        <v>300</v>
      </c>
      <c r="V46" s="1">
        <v>300</v>
      </c>
      <c r="W46" s="5"/>
      <c r="X46" s="19"/>
      <c r="Y46" s="5"/>
      <c r="Z46" s="5"/>
      <c r="AA46" s="5"/>
      <c r="AB46" s="5"/>
      <c r="AC46" s="5"/>
      <c r="AD46" s="5"/>
      <c r="AE46" s="5"/>
    </row>
    <row r="47" spans="1:31" ht="15" customHeight="1" x14ac:dyDescent="0.2">
      <c r="A47" s="20"/>
      <c r="B47" s="338"/>
      <c r="C47" s="350"/>
      <c r="D47" s="8" t="s">
        <v>477</v>
      </c>
      <c r="E47" s="9" t="s">
        <v>34</v>
      </c>
      <c r="F47" s="9" t="s">
        <v>86</v>
      </c>
      <c r="G47" s="17" t="s">
        <v>452</v>
      </c>
      <c r="H47" s="9" t="s">
        <v>446</v>
      </c>
      <c r="I47" s="9" t="s">
        <v>457</v>
      </c>
      <c r="J47" s="9" t="s">
        <v>14</v>
      </c>
      <c r="K47" s="9" t="s">
        <v>33</v>
      </c>
      <c r="L47" s="9" t="s">
        <v>23</v>
      </c>
      <c r="M47" s="18" t="s">
        <v>13</v>
      </c>
      <c r="N47" s="12" t="str">
        <f t="shared" si="1"/>
        <v>XVNT-IICM-DCS-XX-M3-E-0001</v>
      </c>
      <c r="O47" s="9" t="s">
        <v>498</v>
      </c>
      <c r="P47" s="9">
        <v>40</v>
      </c>
      <c r="Q47" s="1">
        <v>300</v>
      </c>
      <c r="R47" s="1">
        <v>300</v>
      </c>
      <c r="S47" s="9" t="s">
        <v>498</v>
      </c>
      <c r="T47" s="9">
        <v>30</v>
      </c>
      <c r="U47" s="1">
        <v>300</v>
      </c>
      <c r="V47" s="1">
        <v>300</v>
      </c>
      <c r="W47" s="5"/>
      <c r="X47" s="19"/>
      <c r="Y47" s="5"/>
      <c r="Z47" s="5"/>
      <c r="AA47" s="5"/>
      <c r="AB47" s="5"/>
      <c r="AC47" s="5"/>
      <c r="AD47" s="5"/>
      <c r="AE47" s="5"/>
    </row>
    <row r="48" spans="1:31" ht="15" customHeight="1" x14ac:dyDescent="0.2">
      <c r="A48" s="20"/>
      <c r="B48" s="338"/>
      <c r="C48" s="113" t="s">
        <v>490</v>
      </c>
      <c r="D48" s="8" t="s">
        <v>491</v>
      </c>
      <c r="E48" s="9" t="s">
        <v>34</v>
      </c>
      <c r="F48" s="9" t="s">
        <v>408</v>
      </c>
      <c r="G48" s="17" t="s">
        <v>452</v>
      </c>
      <c r="H48" s="9" t="s">
        <v>446</v>
      </c>
      <c r="I48" s="9" t="s">
        <v>492</v>
      </c>
      <c r="J48" s="9" t="s">
        <v>14</v>
      </c>
      <c r="K48" s="9" t="s">
        <v>33</v>
      </c>
      <c r="L48" s="9" t="s">
        <v>29</v>
      </c>
      <c r="M48" s="18" t="s">
        <v>13</v>
      </c>
      <c r="N48" s="12" t="str">
        <f t="shared" si="1"/>
        <v>XVNT-IICM-CXCQ-XX-M3-L-0001</v>
      </c>
      <c r="O48" s="9" t="s">
        <v>498</v>
      </c>
      <c r="P48" s="9">
        <v>40</v>
      </c>
      <c r="Q48" s="1">
        <v>300</v>
      </c>
      <c r="R48" s="1"/>
      <c r="S48" s="9" t="s">
        <v>498</v>
      </c>
      <c r="T48" s="9">
        <v>30</v>
      </c>
      <c r="U48" s="1">
        <v>300</v>
      </c>
      <c r="V48" s="1"/>
      <c r="W48" s="5"/>
      <c r="X48" s="19"/>
      <c r="Y48" s="5"/>
      <c r="Z48" s="5"/>
      <c r="AA48" s="5"/>
      <c r="AB48" s="5"/>
      <c r="AC48" s="5"/>
      <c r="AD48" s="5"/>
      <c r="AE48" s="5"/>
    </row>
    <row r="49" spans="1:31" ht="15" customHeight="1" x14ac:dyDescent="0.2">
      <c r="A49" s="3"/>
      <c r="B49" s="338"/>
      <c r="C49" s="349" t="s">
        <v>48</v>
      </c>
      <c r="D49" s="8" t="s">
        <v>475</v>
      </c>
      <c r="E49" s="9" t="s">
        <v>34</v>
      </c>
      <c r="F49" s="9" t="s">
        <v>408</v>
      </c>
      <c r="G49" s="17" t="s">
        <v>452</v>
      </c>
      <c r="H49" s="9" t="s">
        <v>446</v>
      </c>
      <c r="I49" s="9" t="s">
        <v>47</v>
      </c>
      <c r="J49" s="9" t="s">
        <v>14</v>
      </c>
      <c r="K49" s="9" t="s">
        <v>33</v>
      </c>
      <c r="L49" s="9" t="s">
        <v>19</v>
      </c>
      <c r="M49" s="18" t="s">
        <v>13</v>
      </c>
      <c r="N49" s="12" t="str">
        <f t="shared" si="1"/>
        <v>XVNT-IICM-ATGT-XX-M3-C-0001</v>
      </c>
      <c r="O49" s="9" t="s">
        <v>498</v>
      </c>
      <c r="P49" s="9">
        <v>40</v>
      </c>
      <c r="Q49" s="1">
        <v>300</v>
      </c>
      <c r="R49" s="1">
        <v>300</v>
      </c>
      <c r="S49" s="9" t="s">
        <v>498</v>
      </c>
      <c r="T49" s="9">
        <v>30</v>
      </c>
      <c r="U49" s="1">
        <v>300</v>
      </c>
      <c r="V49" s="1">
        <v>300</v>
      </c>
      <c r="W49" s="5"/>
      <c r="X49" s="19"/>
      <c r="Y49" s="5"/>
      <c r="Z49" s="5"/>
      <c r="AA49" s="5"/>
      <c r="AB49" s="5"/>
      <c r="AC49" s="5"/>
      <c r="AD49" s="5"/>
      <c r="AE49" s="5"/>
    </row>
    <row r="50" spans="1:31" ht="15" customHeight="1" x14ac:dyDescent="0.2">
      <c r="A50" s="3"/>
      <c r="B50" s="338"/>
      <c r="C50" s="350"/>
      <c r="D50" s="8" t="s">
        <v>476</v>
      </c>
      <c r="E50" s="9" t="s">
        <v>34</v>
      </c>
      <c r="F50" s="9" t="s">
        <v>408</v>
      </c>
      <c r="G50" s="17" t="s">
        <v>452</v>
      </c>
      <c r="H50" s="9" t="s">
        <v>446</v>
      </c>
      <c r="I50" s="9" t="s">
        <v>47</v>
      </c>
      <c r="J50" s="9" t="s">
        <v>14</v>
      </c>
      <c r="K50" s="9" t="s">
        <v>33</v>
      </c>
      <c r="L50" s="9" t="s">
        <v>19</v>
      </c>
      <c r="M50" s="18" t="s">
        <v>13</v>
      </c>
      <c r="N50" s="12" t="str">
        <f t="shared" si="1"/>
        <v>XVNT-IICM-ATGT-XX-M3-C-0001</v>
      </c>
      <c r="O50" s="9" t="s">
        <v>498</v>
      </c>
      <c r="P50" s="9">
        <v>40</v>
      </c>
      <c r="Q50" s="1">
        <v>300</v>
      </c>
      <c r="R50" s="1">
        <v>300</v>
      </c>
      <c r="S50" s="9" t="s">
        <v>498</v>
      </c>
      <c r="T50" s="9">
        <v>30</v>
      </c>
      <c r="U50" s="1">
        <v>300</v>
      </c>
      <c r="V50" s="1">
        <v>300</v>
      </c>
      <c r="W50" s="5"/>
      <c r="X50" s="19"/>
      <c r="Y50" s="5"/>
      <c r="Z50" s="5"/>
      <c r="AA50" s="5"/>
      <c r="AB50" s="5"/>
      <c r="AC50" s="5"/>
      <c r="AD50" s="5"/>
      <c r="AE50" s="5"/>
    </row>
    <row r="51" spans="1:31" ht="15" customHeight="1" x14ac:dyDescent="0.2">
      <c r="A51" s="3"/>
      <c r="B51" s="338"/>
      <c r="C51" s="111" t="s">
        <v>473</v>
      </c>
      <c r="D51" s="8" t="s">
        <v>474</v>
      </c>
      <c r="E51" s="9" t="s">
        <v>34</v>
      </c>
      <c r="F51" s="9" t="s">
        <v>86</v>
      </c>
      <c r="G51" s="17" t="s">
        <v>452</v>
      </c>
      <c r="H51" s="9" t="s">
        <v>446</v>
      </c>
      <c r="I51" s="9" t="s">
        <v>493</v>
      </c>
      <c r="J51" s="9" t="s">
        <v>14</v>
      </c>
      <c r="K51" s="9" t="s">
        <v>33</v>
      </c>
      <c r="L51" s="9" t="s">
        <v>35</v>
      </c>
      <c r="M51" s="18" t="s">
        <v>13</v>
      </c>
      <c r="N51" s="12" t="str">
        <f t="shared" si="1"/>
        <v>XVNT-IICM-CKT-XX-M3-S-0001</v>
      </c>
      <c r="O51" s="9" t="s">
        <v>498</v>
      </c>
      <c r="P51" s="9">
        <v>40</v>
      </c>
      <c r="Q51" s="1">
        <v>300</v>
      </c>
      <c r="R51" s="1">
        <v>300</v>
      </c>
      <c r="S51" s="9" t="s">
        <v>498</v>
      </c>
      <c r="T51" s="9">
        <v>30</v>
      </c>
      <c r="U51" s="1">
        <v>300</v>
      </c>
      <c r="V51" s="1">
        <v>300</v>
      </c>
      <c r="W51" s="5"/>
      <c r="X51" s="19"/>
      <c r="Y51" s="5"/>
      <c r="Z51" s="5"/>
      <c r="AA51" s="5"/>
      <c r="AB51" s="5"/>
      <c r="AC51" s="5"/>
      <c r="AD51" s="5"/>
      <c r="AE51" s="5"/>
    </row>
    <row r="52" spans="1:31" ht="15" customHeight="1" x14ac:dyDescent="0.2">
      <c r="A52" s="3"/>
      <c r="B52" s="337" t="s">
        <v>471</v>
      </c>
      <c r="C52" s="339" t="s">
        <v>470</v>
      </c>
      <c r="D52" s="8" t="s">
        <v>409</v>
      </c>
      <c r="E52" s="9" t="s">
        <v>34</v>
      </c>
      <c r="F52" s="9" t="s">
        <v>86</v>
      </c>
      <c r="G52" s="17" t="s">
        <v>452</v>
      </c>
      <c r="H52" s="9" t="s">
        <v>446</v>
      </c>
      <c r="I52" s="9" t="s">
        <v>448</v>
      </c>
      <c r="J52" s="9" t="s">
        <v>394</v>
      </c>
      <c r="K52" s="9" t="s">
        <v>33</v>
      </c>
      <c r="L52" s="9" t="s">
        <v>35</v>
      </c>
      <c r="M52" s="18" t="s">
        <v>13</v>
      </c>
      <c r="N52" s="12" t="str">
        <f t="shared" si="1"/>
        <v>XVNT-IICM-CRC-KCD -M3-S-0001</v>
      </c>
      <c r="O52" s="9" t="s">
        <v>498</v>
      </c>
      <c r="P52" s="9">
        <v>40</v>
      </c>
      <c r="Q52" s="1">
        <v>350</v>
      </c>
      <c r="R52" s="1">
        <v>350</v>
      </c>
      <c r="S52" s="9" t="s">
        <v>498</v>
      </c>
      <c r="T52" s="9">
        <v>30</v>
      </c>
      <c r="U52" s="1">
        <v>350</v>
      </c>
      <c r="V52" s="1">
        <v>350</v>
      </c>
      <c r="W52" s="5"/>
      <c r="X52" s="19"/>
      <c r="Y52" s="5"/>
      <c r="Z52" s="5"/>
      <c r="AA52" s="3"/>
      <c r="AB52" s="5"/>
      <c r="AC52" s="5"/>
      <c r="AD52" s="3"/>
      <c r="AE52" s="5"/>
    </row>
    <row r="53" spans="1:31" ht="15" customHeight="1" x14ac:dyDescent="0.2">
      <c r="A53" s="3"/>
      <c r="B53" s="338"/>
      <c r="C53" s="340"/>
      <c r="D53" s="8" t="s">
        <v>393</v>
      </c>
      <c r="E53" s="9" t="s">
        <v>34</v>
      </c>
      <c r="F53" s="9" t="s">
        <v>86</v>
      </c>
      <c r="G53" s="17" t="s">
        <v>452</v>
      </c>
      <c r="H53" s="9" t="s">
        <v>446</v>
      </c>
      <c r="I53" s="9" t="s">
        <v>448</v>
      </c>
      <c r="J53" s="9" t="s">
        <v>392</v>
      </c>
      <c r="K53" s="9" t="s">
        <v>33</v>
      </c>
      <c r="L53" s="9" t="s">
        <v>35</v>
      </c>
      <c r="M53" s="18" t="s">
        <v>13</v>
      </c>
      <c r="N53" s="12" t="str">
        <f t="shared" si="1"/>
        <v>XVNT-IICM-CRC-KCT -M3-S-0001</v>
      </c>
      <c r="O53" s="9" t="s">
        <v>498</v>
      </c>
      <c r="P53" s="9">
        <v>40</v>
      </c>
      <c r="Q53" s="1">
        <v>350</v>
      </c>
      <c r="R53" s="1">
        <v>350</v>
      </c>
      <c r="S53" s="9" t="s">
        <v>498</v>
      </c>
      <c r="T53" s="9">
        <v>30</v>
      </c>
      <c r="U53" s="1">
        <v>350</v>
      </c>
      <c r="V53" s="1">
        <v>350</v>
      </c>
      <c r="W53" s="5"/>
      <c r="X53" s="19"/>
      <c r="Y53" s="5"/>
      <c r="Z53" s="5"/>
      <c r="AA53" s="3"/>
      <c r="AB53" s="5"/>
      <c r="AC53" s="5"/>
      <c r="AD53" s="3"/>
      <c r="AE53" s="5"/>
    </row>
    <row r="54" spans="1:31" ht="15" customHeight="1" x14ac:dyDescent="0.2">
      <c r="A54" s="3"/>
      <c r="B54" s="338"/>
      <c r="C54" s="340"/>
      <c r="D54" s="8" t="s">
        <v>413</v>
      </c>
      <c r="E54" s="9" t="s">
        <v>34</v>
      </c>
      <c r="F54" s="9" t="s">
        <v>86</v>
      </c>
      <c r="G54" s="17" t="s">
        <v>452</v>
      </c>
      <c r="H54" s="9" t="s">
        <v>446</v>
      </c>
      <c r="I54" s="9" t="s">
        <v>448</v>
      </c>
      <c r="J54" s="9" t="s">
        <v>46</v>
      </c>
      <c r="K54" s="9" t="s">
        <v>33</v>
      </c>
      <c r="L54" s="9" t="s">
        <v>35</v>
      </c>
      <c r="M54" s="18" t="s">
        <v>13</v>
      </c>
      <c r="N54" s="12" t="str">
        <f t="shared" si="1"/>
        <v>XVNT-IICM-CRC-MIS-M3-S-0001</v>
      </c>
      <c r="O54" s="9" t="s">
        <v>498</v>
      </c>
      <c r="P54" s="9">
        <v>40</v>
      </c>
      <c r="Q54" s="1">
        <v>300</v>
      </c>
      <c r="R54" s="1">
        <v>300</v>
      </c>
      <c r="S54" s="9" t="s">
        <v>498</v>
      </c>
      <c r="T54" s="9">
        <v>30</v>
      </c>
      <c r="U54" s="1">
        <v>300</v>
      </c>
      <c r="V54" s="1">
        <v>300</v>
      </c>
      <c r="W54" s="5"/>
      <c r="X54" s="19"/>
      <c r="Y54" s="5"/>
      <c r="Z54" s="5"/>
      <c r="AA54" s="3"/>
      <c r="AB54" s="5"/>
      <c r="AC54" s="5"/>
      <c r="AD54" s="3"/>
      <c r="AE54" s="5"/>
    </row>
    <row r="55" spans="1:31" ht="15" customHeight="1" x14ac:dyDescent="0.2">
      <c r="A55" s="3"/>
      <c r="B55" s="338"/>
      <c r="C55" s="341"/>
      <c r="D55" s="8" t="s">
        <v>308</v>
      </c>
      <c r="E55" s="9" t="s">
        <v>34</v>
      </c>
      <c r="F55" s="9" t="s">
        <v>86</v>
      </c>
      <c r="G55" s="17" t="s">
        <v>452</v>
      </c>
      <c r="H55" s="9" t="s">
        <v>446</v>
      </c>
      <c r="I55" s="9" t="s">
        <v>448</v>
      </c>
      <c r="J55" s="9" t="s">
        <v>46</v>
      </c>
      <c r="K55" s="9" t="s">
        <v>33</v>
      </c>
      <c r="L55" s="9" t="s">
        <v>35</v>
      </c>
      <c r="M55" s="18" t="s">
        <v>13</v>
      </c>
      <c r="N55" s="12" t="str">
        <f t="shared" si="1"/>
        <v>XVNT-IICM-CRC-MIS-M3-S-0001</v>
      </c>
      <c r="O55" s="9" t="s">
        <v>498</v>
      </c>
      <c r="P55" s="9">
        <v>40</v>
      </c>
      <c r="Q55" s="1">
        <v>300</v>
      </c>
      <c r="R55" s="1">
        <v>300</v>
      </c>
      <c r="S55" s="9" t="s">
        <v>498</v>
      </c>
      <c r="T55" s="9">
        <v>30</v>
      </c>
      <c r="U55" s="1">
        <v>300</v>
      </c>
      <c r="V55" s="1">
        <v>300</v>
      </c>
      <c r="W55" s="5"/>
      <c r="X55" s="19"/>
      <c r="Y55" s="5"/>
      <c r="Z55" s="5"/>
      <c r="AA55" s="3"/>
      <c r="AB55" s="5"/>
      <c r="AC55" s="5"/>
      <c r="AD55" s="3"/>
      <c r="AE55" s="5"/>
    </row>
    <row r="56" spans="1:31" ht="15" hidden="1" customHeight="1" x14ac:dyDescent="0.2">
      <c r="A56" s="5"/>
      <c r="B56" s="343" t="s">
        <v>427</v>
      </c>
      <c r="C56" s="344"/>
      <c r="D56" s="345"/>
      <c r="E56" s="9"/>
      <c r="F56" s="9"/>
      <c r="G56" s="10"/>
      <c r="H56" s="9"/>
      <c r="I56" s="9"/>
      <c r="J56" s="9"/>
      <c r="K56" s="9"/>
      <c r="L56" s="9"/>
      <c r="M56" s="11"/>
      <c r="N56" s="14"/>
      <c r="O56" s="9" t="s">
        <v>498</v>
      </c>
      <c r="P56" s="9"/>
      <c r="Q56" s="9"/>
      <c r="R56" s="9"/>
      <c r="S56" s="9"/>
      <c r="T56" s="9"/>
      <c r="U56" s="9"/>
      <c r="V56" s="9"/>
      <c r="W56" s="5"/>
      <c r="X56" s="5"/>
      <c r="Y56" s="5"/>
      <c r="Z56" s="5"/>
      <c r="AA56" s="5"/>
      <c r="AB56" s="5"/>
      <c r="AC56" s="5"/>
      <c r="AD56" s="5"/>
      <c r="AE56" s="5"/>
    </row>
    <row r="57" spans="1:31" ht="15" hidden="1" customHeight="1" x14ac:dyDescent="0.2">
      <c r="A57" s="5"/>
      <c r="B57" s="346" t="s">
        <v>80</v>
      </c>
      <c r="C57" s="80" t="s">
        <v>82</v>
      </c>
      <c r="D57" s="8" t="s">
        <v>402</v>
      </c>
      <c r="E57" s="9" t="s">
        <v>34</v>
      </c>
      <c r="F57" s="9" t="s">
        <v>85</v>
      </c>
      <c r="G57" s="17" t="s">
        <v>452</v>
      </c>
      <c r="H57" s="9" t="s">
        <v>84</v>
      </c>
      <c r="I57" s="9" t="s">
        <v>11</v>
      </c>
      <c r="J57" s="9" t="s">
        <v>11</v>
      </c>
      <c r="K57" s="9" t="s">
        <v>33</v>
      </c>
      <c r="L57" s="9" t="s">
        <v>436</v>
      </c>
      <c r="M57" s="18" t="s">
        <v>13</v>
      </c>
      <c r="N57" s="12" t="str">
        <f t="shared" ref="N57:N90" si="2">IF(G57="","-",CONCATENATE(G57,"-",H57,"-",I57,"-",J57,"-",K57,"-",L57,"-",M57))</f>
        <v>XVNT-TED-ZZ-ZZ-M3-G2-0001</v>
      </c>
      <c r="O57" s="9" t="s">
        <v>498</v>
      </c>
      <c r="P57" s="9">
        <v>90</v>
      </c>
      <c r="Q57" s="1">
        <v>200</v>
      </c>
      <c r="R57" s="1">
        <v>200</v>
      </c>
      <c r="S57" s="9" t="s">
        <v>411</v>
      </c>
      <c r="T57" s="9">
        <v>30</v>
      </c>
      <c r="U57" s="1">
        <v>200</v>
      </c>
      <c r="V57" s="1">
        <v>200</v>
      </c>
      <c r="W57" s="5"/>
      <c r="X57" s="5"/>
      <c r="Y57" s="5"/>
      <c r="Z57" s="5"/>
      <c r="AA57" s="5"/>
      <c r="AB57" s="5"/>
      <c r="AC57" s="5"/>
      <c r="AD57" s="5"/>
      <c r="AE57" s="5"/>
    </row>
    <row r="58" spans="1:31" ht="15" hidden="1" customHeight="1" x14ac:dyDescent="0.2">
      <c r="A58" s="5"/>
      <c r="B58" s="347"/>
      <c r="C58" s="80" t="s">
        <v>396</v>
      </c>
      <c r="D58" s="8" t="s">
        <v>403</v>
      </c>
      <c r="E58" s="9" t="s">
        <v>34</v>
      </c>
      <c r="F58" s="9" t="s">
        <v>85</v>
      </c>
      <c r="G58" s="17" t="s">
        <v>452</v>
      </c>
      <c r="H58" s="9" t="s">
        <v>84</v>
      </c>
      <c r="I58" s="9" t="s">
        <v>11</v>
      </c>
      <c r="J58" s="9" t="s">
        <v>11</v>
      </c>
      <c r="K58" s="9" t="s">
        <v>33</v>
      </c>
      <c r="L58" s="9" t="s">
        <v>436</v>
      </c>
      <c r="M58" s="18" t="s">
        <v>13</v>
      </c>
      <c r="N58" s="12" t="str">
        <f t="shared" si="2"/>
        <v>XVNT-TED-ZZ-ZZ-M3-G2-0001</v>
      </c>
      <c r="O58" s="9" t="s">
        <v>498</v>
      </c>
      <c r="P58" s="9">
        <v>90</v>
      </c>
      <c r="Q58" s="1">
        <v>200</v>
      </c>
      <c r="R58" s="1">
        <v>200</v>
      </c>
      <c r="S58" s="9" t="s">
        <v>411</v>
      </c>
      <c r="T58" s="9">
        <v>30</v>
      </c>
      <c r="U58" s="1">
        <v>200</v>
      </c>
      <c r="V58" s="1">
        <v>200</v>
      </c>
      <c r="W58" s="5"/>
      <c r="X58" s="5"/>
      <c r="Y58" s="5"/>
      <c r="Z58" s="5"/>
      <c r="AA58" s="5"/>
      <c r="AB58" s="5"/>
      <c r="AC58" s="5"/>
      <c r="AD58" s="5"/>
      <c r="AE58" s="5"/>
    </row>
    <row r="59" spans="1:31" ht="15" hidden="1" customHeight="1" x14ac:dyDescent="0.2">
      <c r="A59" s="5"/>
      <c r="B59" s="347"/>
      <c r="C59" s="80" t="s">
        <v>395</v>
      </c>
      <c r="D59" s="8" t="s">
        <v>404</v>
      </c>
      <c r="E59" s="9" t="s">
        <v>34</v>
      </c>
      <c r="F59" s="9" t="s">
        <v>85</v>
      </c>
      <c r="G59" s="17" t="s">
        <v>452</v>
      </c>
      <c r="H59" s="9" t="s">
        <v>84</v>
      </c>
      <c r="I59" s="9" t="s">
        <v>11</v>
      </c>
      <c r="J59" s="9" t="s">
        <v>11</v>
      </c>
      <c r="K59" s="9" t="s">
        <v>33</v>
      </c>
      <c r="L59" s="9" t="s">
        <v>436</v>
      </c>
      <c r="M59" s="18" t="s">
        <v>13</v>
      </c>
      <c r="N59" s="12" t="str">
        <f t="shared" si="2"/>
        <v>XVNT-TED-ZZ-ZZ-M3-G2-0001</v>
      </c>
      <c r="O59" s="9" t="s">
        <v>498</v>
      </c>
      <c r="P59" s="9">
        <v>90</v>
      </c>
      <c r="Q59" s="1">
        <v>200</v>
      </c>
      <c r="R59" s="1">
        <v>200</v>
      </c>
      <c r="S59" s="9" t="s">
        <v>411</v>
      </c>
      <c r="T59" s="9">
        <v>30</v>
      </c>
      <c r="U59" s="1">
        <v>200</v>
      </c>
      <c r="V59" s="1">
        <v>200</v>
      </c>
      <c r="W59" s="5"/>
      <c r="X59" s="5"/>
      <c r="Y59" s="5"/>
      <c r="Z59" s="5"/>
      <c r="AA59" s="5"/>
      <c r="AB59" s="5"/>
      <c r="AC59" s="5"/>
      <c r="AD59" s="5"/>
      <c r="AE59" s="5"/>
    </row>
    <row r="60" spans="1:31" ht="15" hidden="1" customHeight="1" x14ac:dyDescent="0.2">
      <c r="A60" s="5"/>
      <c r="B60" s="54" t="s">
        <v>83</v>
      </c>
      <c r="C60" s="13" t="s">
        <v>21</v>
      </c>
      <c r="D60" s="8" t="s">
        <v>405</v>
      </c>
      <c r="E60" s="9" t="s">
        <v>34</v>
      </c>
      <c r="F60" s="9" t="s">
        <v>85</v>
      </c>
      <c r="G60" s="17" t="s">
        <v>452</v>
      </c>
      <c r="H60" s="9" t="s">
        <v>84</v>
      </c>
      <c r="I60" s="9" t="s">
        <v>11</v>
      </c>
      <c r="J60" s="9" t="s">
        <v>11</v>
      </c>
      <c r="K60" s="9" t="s">
        <v>20</v>
      </c>
      <c r="L60" s="9" t="s">
        <v>437</v>
      </c>
      <c r="M60" s="18" t="s">
        <v>13</v>
      </c>
      <c r="N60" s="12" t="str">
        <f t="shared" si="2"/>
        <v>XVNT-TED-ZZ-ZZ-CM-Z2-0001</v>
      </c>
      <c r="O60" s="9" t="s">
        <v>498</v>
      </c>
      <c r="P60" s="9">
        <v>180</v>
      </c>
      <c r="Q60" s="1">
        <v>300</v>
      </c>
      <c r="R60" s="1">
        <v>300</v>
      </c>
      <c r="S60" s="9" t="s">
        <v>411</v>
      </c>
      <c r="T60" s="9">
        <v>30</v>
      </c>
      <c r="U60" s="1">
        <v>300</v>
      </c>
      <c r="V60" s="1">
        <v>300</v>
      </c>
      <c r="W60" s="5"/>
      <c r="X60" s="19"/>
      <c r="Y60" s="5"/>
      <c r="Z60" s="5"/>
      <c r="AA60" s="5"/>
      <c r="AB60" s="5"/>
      <c r="AC60" s="5"/>
      <c r="AD60" s="5"/>
      <c r="AE60" s="5"/>
    </row>
    <row r="61" spans="1:31" ht="15" hidden="1" customHeight="1" x14ac:dyDescent="0.2">
      <c r="A61" s="5"/>
      <c r="B61" s="348" t="s">
        <v>406</v>
      </c>
      <c r="C61" s="349" t="s">
        <v>308</v>
      </c>
      <c r="D61" s="8" t="s">
        <v>464</v>
      </c>
      <c r="E61" s="9"/>
      <c r="F61" s="9"/>
      <c r="G61" s="17"/>
      <c r="H61" s="9"/>
      <c r="I61" s="9"/>
      <c r="J61" s="9"/>
      <c r="K61" s="9"/>
      <c r="L61" s="9"/>
      <c r="M61" s="18"/>
      <c r="N61" s="12"/>
      <c r="O61" s="9" t="s">
        <v>498</v>
      </c>
      <c r="P61" s="9"/>
      <c r="Q61" s="1"/>
      <c r="R61" s="1"/>
      <c r="S61" s="9"/>
      <c r="T61" s="9"/>
      <c r="U61" s="1"/>
      <c r="V61" s="1"/>
      <c r="W61" s="5"/>
      <c r="X61" s="19"/>
      <c r="Y61" s="5"/>
      <c r="Z61" s="5"/>
      <c r="AA61" s="5"/>
      <c r="AB61" s="5"/>
      <c r="AC61" s="5"/>
      <c r="AD61" s="5"/>
      <c r="AE61" s="5"/>
    </row>
    <row r="62" spans="1:31" ht="15" hidden="1" customHeight="1" x14ac:dyDescent="0.2">
      <c r="A62" s="5"/>
      <c r="B62" s="348"/>
      <c r="C62" s="350"/>
      <c r="D62" s="8" t="s">
        <v>465</v>
      </c>
      <c r="E62" s="9"/>
      <c r="F62" s="9"/>
      <c r="G62" s="17"/>
      <c r="H62" s="9"/>
      <c r="I62" s="9"/>
      <c r="J62" s="9"/>
      <c r="K62" s="9"/>
      <c r="L62" s="9"/>
      <c r="M62" s="18"/>
      <c r="N62" s="12"/>
      <c r="O62" s="9" t="s">
        <v>498</v>
      </c>
      <c r="P62" s="9"/>
      <c r="Q62" s="1"/>
      <c r="R62" s="1"/>
      <c r="S62" s="9"/>
      <c r="T62" s="9"/>
      <c r="U62" s="1"/>
      <c r="V62" s="1"/>
      <c r="W62" s="5"/>
      <c r="X62" s="19"/>
      <c r="Y62" s="5"/>
      <c r="Z62" s="5"/>
      <c r="AA62" s="5"/>
      <c r="AB62" s="5"/>
      <c r="AC62" s="5"/>
      <c r="AD62" s="5"/>
      <c r="AE62" s="5"/>
    </row>
    <row r="63" spans="1:31" ht="15" hidden="1" customHeight="1" x14ac:dyDescent="0.2">
      <c r="A63" s="3"/>
      <c r="B63" s="348"/>
      <c r="C63" s="349" t="s">
        <v>87</v>
      </c>
      <c r="D63" s="8" t="s">
        <v>466</v>
      </c>
      <c r="E63" s="9" t="s">
        <v>34</v>
      </c>
      <c r="F63" s="9" t="s">
        <v>86</v>
      </c>
      <c r="G63" s="17" t="s">
        <v>425</v>
      </c>
      <c r="H63" s="9" t="s">
        <v>84</v>
      </c>
      <c r="I63" s="9" t="s">
        <v>391</v>
      </c>
      <c r="J63" s="9" t="s">
        <v>11</v>
      </c>
      <c r="K63" s="9" t="s">
        <v>33</v>
      </c>
      <c r="L63" s="9" t="s">
        <v>443</v>
      </c>
      <c r="M63" s="11" t="s">
        <v>13</v>
      </c>
      <c r="N63" s="12" t="str">
        <f t="shared" ref="N63:N66" si="3">IF(G63="","-",CONCATENATE(G63,"-",H63,"-",I63,"-",J63,"-",K63,"-",L63,"-",M63))</f>
        <v>RR4.P3.4-TED-CSGT-ZZ-M3-E3-0001</v>
      </c>
      <c r="O63" s="9" t="s">
        <v>498</v>
      </c>
      <c r="P63" s="9">
        <v>160</v>
      </c>
      <c r="Q63" s="1">
        <v>300</v>
      </c>
      <c r="R63" s="1">
        <v>300</v>
      </c>
      <c r="S63" s="9" t="s">
        <v>411</v>
      </c>
      <c r="T63" s="9">
        <v>30</v>
      </c>
      <c r="U63" s="1">
        <v>300</v>
      </c>
      <c r="V63" s="1">
        <v>300</v>
      </c>
      <c r="W63" s="5"/>
      <c r="X63" s="19"/>
      <c r="Y63" s="5"/>
      <c r="Z63" s="5"/>
      <c r="AA63" s="5"/>
      <c r="AB63" s="5"/>
      <c r="AC63" s="5"/>
      <c r="AD63" s="5"/>
      <c r="AE63" s="5"/>
    </row>
    <row r="64" spans="1:31" ht="15" hidden="1" customHeight="1" x14ac:dyDescent="0.2">
      <c r="A64" s="20"/>
      <c r="B64" s="348"/>
      <c r="C64" s="350"/>
      <c r="D64" s="8" t="s">
        <v>467</v>
      </c>
      <c r="E64" s="9" t="s">
        <v>34</v>
      </c>
      <c r="F64" s="9" t="s">
        <v>86</v>
      </c>
      <c r="G64" s="17" t="s">
        <v>425</v>
      </c>
      <c r="H64" s="9" t="s">
        <v>84</v>
      </c>
      <c r="I64" s="9" t="s">
        <v>391</v>
      </c>
      <c r="J64" s="9" t="s">
        <v>11</v>
      </c>
      <c r="K64" s="9" t="s">
        <v>33</v>
      </c>
      <c r="L64" s="9" t="s">
        <v>443</v>
      </c>
      <c r="M64" s="11" t="s">
        <v>17</v>
      </c>
      <c r="N64" s="12" t="str">
        <f t="shared" si="3"/>
        <v>RR4.P3.4-TED-CSGT-ZZ-M3-E3-0002</v>
      </c>
      <c r="O64" s="9" t="s">
        <v>498</v>
      </c>
      <c r="P64" s="9">
        <v>160</v>
      </c>
      <c r="Q64" s="1">
        <v>300</v>
      </c>
      <c r="R64" s="1">
        <v>300</v>
      </c>
      <c r="S64" s="9" t="s">
        <v>411</v>
      </c>
      <c r="T64" s="9">
        <v>30</v>
      </c>
      <c r="U64" s="1">
        <v>300</v>
      </c>
      <c r="V64" s="1">
        <v>300</v>
      </c>
      <c r="W64" s="5"/>
      <c r="X64" s="19"/>
      <c r="Y64" s="5"/>
      <c r="Z64" s="5"/>
      <c r="AA64" s="5"/>
      <c r="AB64" s="5"/>
      <c r="AC64" s="5"/>
      <c r="AD64" s="5"/>
      <c r="AE64" s="5"/>
    </row>
    <row r="65" spans="1:31" ht="15" hidden="1" customHeight="1" x14ac:dyDescent="0.2">
      <c r="A65" s="3"/>
      <c r="B65" s="348"/>
      <c r="C65" s="349" t="s">
        <v>48</v>
      </c>
      <c r="D65" s="8" t="s">
        <v>468</v>
      </c>
      <c r="E65" s="9" t="s">
        <v>34</v>
      </c>
      <c r="F65" s="9" t="s">
        <v>408</v>
      </c>
      <c r="G65" s="17" t="s">
        <v>425</v>
      </c>
      <c r="H65" s="9" t="s">
        <v>84</v>
      </c>
      <c r="I65" s="9" t="s">
        <v>47</v>
      </c>
      <c r="J65" s="9" t="s">
        <v>11</v>
      </c>
      <c r="K65" s="9" t="s">
        <v>33</v>
      </c>
      <c r="L65" s="9" t="s">
        <v>444</v>
      </c>
      <c r="M65" s="11" t="s">
        <v>13</v>
      </c>
      <c r="N65" s="12" t="str">
        <f t="shared" si="3"/>
        <v>RR4.P3.4-TED-ATGT-ZZ-M3-C3-0001</v>
      </c>
      <c r="O65" s="9" t="s">
        <v>498</v>
      </c>
      <c r="P65" s="9">
        <v>160</v>
      </c>
      <c r="Q65" s="1">
        <v>300</v>
      </c>
      <c r="R65" s="1">
        <v>300</v>
      </c>
      <c r="S65" s="9" t="s">
        <v>411</v>
      </c>
      <c r="T65" s="9">
        <v>30</v>
      </c>
      <c r="U65" s="1">
        <v>300</v>
      </c>
      <c r="V65" s="1">
        <v>300</v>
      </c>
      <c r="W65" s="5"/>
      <c r="X65" s="19"/>
      <c r="Y65" s="5"/>
      <c r="Z65" s="5"/>
      <c r="AA65" s="5"/>
      <c r="AB65" s="5"/>
      <c r="AC65" s="5"/>
      <c r="AD65" s="5"/>
      <c r="AE65" s="5"/>
    </row>
    <row r="66" spans="1:31" ht="15" hidden="1" customHeight="1" x14ac:dyDescent="0.2">
      <c r="A66" s="3"/>
      <c r="B66" s="348"/>
      <c r="C66" s="350"/>
      <c r="D66" s="8" t="s">
        <v>469</v>
      </c>
      <c r="E66" s="9" t="s">
        <v>34</v>
      </c>
      <c r="F66" s="9" t="s">
        <v>408</v>
      </c>
      <c r="G66" s="17" t="s">
        <v>425</v>
      </c>
      <c r="H66" s="9" t="s">
        <v>84</v>
      </c>
      <c r="I66" s="9" t="s">
        <v>47</v>
      </c>
      <c r="J66" s="9" t="s">
        <v>11</v>
      </c>
      <c r="K66" s="9" t="s">
        <v>33</v>
      </c>
      <c r="L66" s="9" t="s">
        <v>444</v>
      </c>
      <c r="M66" s="11" t="s">
        <v>13</v>
      </c>
      <c r="N66" s="12" t="str">
        <f t="shared" si="3"/>
        <v>RR4.P3.4-TED-ATGT-ZZ-M3-C3-0001</v>
      </c>
      <c r="O66" s="9" t="s">
        <v>498</v>
      </c>
      <c r="P66" s="9">
        <v>160</v>
      </c>
      <c r="Q66" s="1">
        <v>300</v>
      </c>
      <c r="R66" s="1">
        <v>300</v>
      </c>
      <c r="S66" s="9" t="s">
        <v>411</v>
      </c>
      <c r="T66" s="9">
        <v>30</v>
      </c>
      <c r="U66" s="1">
        <v>300</v>
      </c>
      <c r="V66" s="1">
        <v>300</v>
      </c>
      <c r="W66" s="5"/>
      <c r="X66" s="19"/>
      <c r="Y66" s="5"/>
      <c r="Z66" s="5"/>
      <c r="AA66" s="5"/>
      <c r="AB66" s="5"/>
      <c r="AC66" s="5"/>
      <c r="AD66" s="5"/>
      <c r="AE66" s="5"/>
    </row>
    <row r="67" spans="1:31" ht="15" hidden="1" customHeight="1" x14ac:dyDescent="0.2">
      <c r="A67" s="3"/>
      <c r="B67" s="337" t="s">
        <v>426</v>
      </c>
      <c r="C67" s="339" t="s">
        <v>383</v>
      </c>
      <c r="D67" s="8" t="s">
        <v>409</v>
      </c>
      <c r="E67" s="9" t="s">
        <v>34</v>
      </c>
      <c r="F67" s="9" t="s">
        <v>86</v>
      </c>
      <c r="G67" s="17" t="s">
        <v>452</v>
      </c>
      <c r="H67" s="9" t="s">
        <v>84</v>
      </c>
      <c r="I67" s="9" t="s">
        <v>382</v>
      </c>
      <c r="J67" s="9" t="s">
        <v>394</v>
      </c>
      <c r="K67" s="9" t="s">
        <v>33</v>
      </c>
      <c r="L67" s="9" t="s">
        <v>438</v>
      </c>
      <c r="M67" s="18" t="s">
        <v>13</v>
      </c>
      <c r="N67" s="12" t="str">
        <f t="shared" si="2"/>
        <v>XVNT-TED-CVD1-KCD -M3-S2-0001</v>
      </c>
      <c r="O67" s="9" t="s">
        <v>498</v>
      </c>
      <c r="P67" s="9">
        <v>120</v>
      </c>
      <c r="Q67" s="1">
        <v>300</v>
      </c>
      <c r="R67" s="1">
        <v>300</v>
      </c>
      <c r="S67" s="9" t="s">
        <v>411</v>
      </c>
      <c r="T67" s="9">
        <v>30</v>
      </c>
      <c r="U67" s="1">
        <v>300</v>
      </c>
      <c r="V67" s="1">
        <v>300</v>
      </c>
      <c r="W67" s="5"/>
      <c r="X67" s="19"/>
      <c r="Y67" s="5"/>
      <c r="Z67" s="5"/>
      <c r="AA67" s="3"/>
      <c r="AB67" s="5"/>
      <c r="AC67" s="5"/>
      <c r="AD67" s="3"/>
      <c r="AE67" s="5"/>
    </row>
    <row r="68" spans="1:31" ht="15" hidden="1" customHeight="1" x14ac:dyDescent="0.2">
      <c r="A68" s="3"/>
      <c r="B68" s="338"/>
      <c r="C68" s="340"/>
      <c r="D68" s="8" t="s">
        <v>393</v>
      </c>
      <c r="E68" s="9" t="s">
        <v>34</v>
      </c>
      <c r="F68" s="9" t="s">
        <v>86</v>
      </c>
      <c r="G68" s="17" t="s">
        <v>452</v>
      </c>
      <c r="H68" s="9" t="s">
        <v>84</v>
      </c>
      <c r="I68" s="9" t="s">
        <v>382</v>
      </c>
      <c r="J68" s="9" t="s">
        <v>392</v>
      </c>
      <c r="K68" s="9" t="s">
        <v>33</v>
      </c>
      <c r="L68" s="9" t="s">
        <v>438</v>
      </c>
      <c r="M68" s="18" t="s">
        <v>13</v>
      </c>
      <c r="N68" s="12" t="str">
        <f t="shared" si="2"/>
        <v>XVNT-TED-CVD1-KCT -M3-S2-0001</v>
      </c>
      <c r="O68" s="9" t="s">
        <v>498</v>
      </c>
      <c r="P68" s="9">
        <v>120</v>
      </c>
      <c r="Q68" s="1">
        <v>300</v>
      </c>
      <c r="R68" s="1">
        <v>300</v>
      </c>
      <c r="S68" s="9" t="s">
        <v>411</v>
      </c>
      <c r="T68" s="9">
        <v>30</v>
      </c>
      <c r="U68" s="1">
        <v>300</v>
      </c>
      <c r="V68" s="1">
        <v>300</v>
      </c>
      <c r="W68" s="5"/>
      <c r="X68" s="19"/>
      <c r="Y68" s="5"/>
      <c r="Z68" s="5"/>
      <c r="AA68" s="3"/>
      <c r="AB68" s="5"/>
      <c r="AC68" s="5"/>
      <c r="AD68" s="3"/>
      <c r="AE68" s="5"/>
    </row>
    <row r="69" spans="1:31" ht="15" hidden="1" customHeight="1" x14ac:dyDescent="0.2">
      <c r="A69" s="3"/>
      <c r="B69" s="338"/>
      <c r="C69" s="340"/>
      <c r="D69" s="8" t="s">
        <v>413</v>
      </c>
      <c r="E69" s="9" t="s">
        <v>34</v>
      </c>
      <c r="F69" s="9" t="s">
        <v>86</v>
      </c>
      <c r="G69" s="17" t="s">
        <v>452</v>
      </c>
      <c r="H69" s="9" t="s">
        <v>84</v>
      </c>
      <c r="I69" s="9" t="s">
        <v>382</v>
      </c>
      <c r="J69" s="9" t="s">
        <v>46</v>
      </c>
      <c r="K69" s="9" t="s">
        <v>33</v>
      </c>
      <c r="L69" s="9" t="s">
        <v>438</v>
      </c>
      <c r="M69" s="18" t="s">
        <v>13</v>
      </c>
      <c r="N69" s="12" t="str">
        <f t="shared" si="2"/>
        <v>XVNT-TED-CVD1-MIS-M3-S2-0001</v>
      </c>
      <c r="O69" s="9" t="s">
        <v>498</v>
      </c>
      <c r="P69" s="9">
        <v>120</v>
      </c>
      <c r="Q69" s="1">
        <v>300</v>
      </c>
      <c r="R69" s="1">
        <v>300</v>
      </c>
      <c r="S69" s="9" t="s">
        <v>411</v>
      </c>
      <c r="T69" s="9">
        <v>30</v>
      </c>
      <c r="U69" s="1">
        <v>300</v>
      </c>
      <c r="V69" s="1">
        <v>300</v>
      </c>
      <c r="W69" s="5"/>
      <c r="X69" s="19"/>
      <c r="Y69" s="5"/>
      <c r="Z69" s="5"/>
      <c r="AA69" s="3"/>
      <c r="AB69" s="5"/>
      <c r="AC69" s="5"/>
      <c r="AD69" s="3"/>
      <c r="AE69" s="5"/>
    </row>
    <row r="70" spans="1:31" ht="15" hidden="1" customHeight="1" x14ac:dyDescent="0.2">
      <c r="A70" s="3"/>
      <c r="B70" s="338"/>
      <c r="C70" s="341"/>
      <c r="D70" s="8" t="s">
        <v>308</v>
      </c>
      <c r="E70" s="9" t="s">
        <v>34</v>
      </c>
      <c r="F70" s="9" t="s">
        <v>86</v>
      </c>
      <c r="G70" s="17" t="s">
        <v>452</v>
      </c>
      <c r="H70" s="9" t="s">
        <v>84</v>
      </c>
      <c r="I70" s="9" t="s">
        <v>382</v>
      </c>
      <c r="J70" s="9" t="s">
        <v>46</v>
      </c>
      <c r="K70" s="9" t="s">
        <v>33</v>
      </c>
      <c r="L70" s="9" t="s">
        <v>438</v>
      </c>
      <c r="M70" s="18" t="s">
        <v>13</v>
      </c>
      <c r="N70" s="12" t="str">
        <f t="shared" si="2"/>
        <v>XVNT-TED-CVD1-MIS-M3-S2-0001</v>
      </c>
      <c r="O70" s="9" t="s">
        <v>498</v>
      </c>
      <c r="P70" s="9">
        <v>120</v>
      </c>
      <c r="Q70" s="1">
        <v>300</v>
      </c>
      <c r="R70" s="1">
        <v>300</v>
      </c>
      <c r="S70" s="9" t="s">
        <v>411</v>
      </c>
      <c r="T70" s="9">
        <v>30</v>
      </c>
      <c r="U70" s="1">
        <v>300</v>
      </c>
      <c r="V70" s="1">
        <v>300</v>
      </c>
      <c r="W70" s="5"/>
      <c r="X70" s="19"/>
      <c r="Y70" s="5"/>
      <c r="Z70" s="5"/>
      <c r="AA70" s="3"/>
      <c r="AB70" s="5"/>
      <c r="AC70" s="5"/>
      <c r="AD70" s="3"/>
      <c r="AE70" s="5"/>
    </row>
    <row r="71" spans="1:31" ht="15" hidden="1" customHeight="1" x14ac:dyDescent="0.2">
      <c r="A71" s="3"/>
      <c r="B71" s="338"/>
      <c r="C71" s="339" t="s">
        <v>387</v>
      </c>
      <c r="D71" s="8" t="s">
        <v>409</v>
      </c>
      <c r="E71" s="9" t="s">
        <v>34</v>
      </c>
      <c r="F71" s="9" t="s">
        <v>86</v>
      </c>
      <c r="G71" s="17" t="s">
        <v>452</v>
      </c>
      <c r="H71" s="9" t="s">
        <v>84</v>
      </c>
      <c r="I71" s="9" t="s">
        <v>386</v>
      </c>
      <c r="J71" s="9" t="s">
        <v>394</v>
      </c>
      <c r="K71" s="9" t="s">
        <v>33</v>
      </c>
      <c r="L71" s="9" t="s">
        <v>438</v>
      </c>
      <c r="M71" s="18" t="s">
        <v>13</v>
      </c>
      <c r="N71" s="12" t="str">
        <f t="shared" si="2"/>
        <v>XVNT-TED-CBS1-KCD -M3-S2-0001</v>
      </c>
      <c r="O71" s="9" t="s">
        <v>498</v>
      </c>
      <c r="P71" s="9">
        <v>120</v>
      </c>
      <c r="Q71" s="1">
        <v>300</v>
      </c>
      <c r="R71" s="1">
        <v>300</v>
      </c>
      <c r="S71" s="9" t="s">
        <v>411</v>
      </c>
      <c r="T71" s="9">
        <v>30</v>
      </c>
      <c r="U71" s="1">
        <v>300</v>
      </c>
      <c r="V71" s="1">
        <v>300</v>
      </c>
      <c r="W71" s="5"/>
      <c r="X71" s="19"/>
      <c r="Y71" s="5"/>
      <c r="Z71" s="5"/>
      <c r="AA71" s="3"/>
      <c r="AB71" s="5"/>
      <c r="AC71" s="5"/>
      <c r="AD71" s="3"/>
      <c r="AE71" s="5"/>
    </row>
    <row r="72" spans="1:31" ht="15" hidden="1" customHeight="1" x14ac:dyDescent="0.2">
      <c r="A72" s="3"/>
      <c r="B72" s="338"/>
      <c r="C72" s="340"/>
      <c r="D72" s="8" t="s">
        <v>393</v>
      </c>
      <c r="E72" s="9" t="s">
        <v>34</v>
      </c>
      <c r="F72" s="9" t="s">
        <v>86</v>
      </c>
      <c r="G72" s="17" t="s">
        <v>452</v>
      </c>
      <c r="H72" s="9" t="s">
        <v>84</v>
      </c>
      <c r="I72" s="9" t="s">
        <v>386</v>
      </c>
      <c r="J72" s="9" t="s">
        <v>392</v>
      </c>
      <c r="K72" s="9" t="s">
        <v>33</v>
      </c>
      <c r="L72" s="9" t="s">
        <v>438</v>
      </c>
      <c r="M72" s="18" t="s">
        <v>13</v>
      </c>
      <c r="N72" s="12" t="str">
        <f t="shared" si="2"/>
        <v>XVNT-TED-CBS1-KCT -M3-S2-0001</v>
      </c>
      <c r="O72" s="9" t="s">
        <v>498</v>
      </c>
      <c r="P72" s="9">
        <v>120</v>
      </c>
      <c r="Q72" s="1">
        <v>300</v>
      </c>
      <c r="R72" s="1">
        <v>300</v>
      </c>
      <c r="S72" s="9" t="s">
        <v>411</v>
      </c>
      <c r="T72" s="9">
        <v>30</v>
      </c>
      <c r="U72" s="1">
        <v>300</v>
      </c>
      <c r="V72" s="1">
        <v>300</v>
      </c>
      <c r="W72" s="5"/>
      <c r="X72" s="19"/>
      <c r="Y72" s="5"/>
      <c r="Z72" s="5"/>
      <c r="AA72" s="3"/>
      <c r="AB72" s="5"/>
      <c r="AC72" s="5"/>
      <c r="AD72" s="3"/>
      <c r="AE72" s="5"/>
    </row>
    <row r="73" spans="1:31" ht="15" hidden="1" customHeight="1" x14ac:dyDescent="0.2">
      <c r="A73" s="3"/>
      <c r="B73" s="338"/>
      <c r="C73" s="340"/>
      <c r="D73" s="8" t="s">
        <v>413</v>
      </c>
      <c r="E73" s="9" t="s">
        <v>34</v>
      </c>
      <c r="F73" s="9" t="s">
        <v>86</v>
      </c>
      <c r="G73" s="17" t="s">
        <v>452</v>
      </c>
      <c r="H73" s="9" t="s">
        <v>84</v>
      </c>
      <c r="I73" s="9" t="s">
        <v>386</v>
      </c>
      <c r="J73" s="9" t="s">
        <v>46</v>
      </c>
      <c r="K73" s="9" t="s">
        <v>33</v>
      </c>
      <c r="L73" s="9" t="s">
        <v>438</v>
      </c>
      <c r="M73" s="18" t="s">
        <v>13</v>
      </c>
      <c r="N73" s="12" t="str">
        <f t="shared" si="2"/>
        <v>XVNT-TED-CBS1-MIS-M3-S2-0001</v>
      </c>
      <c r="O73" s="9" t="s">
        <v>498</v>
      </c>
      <c r="P73" s="9">
        <v>120</v>
      </c>
      <c r="Q73" s="1">
        <v>300</v>
      </c>
      <c r="R73" s="1">
        <v>300</v>
      </c>
      <c r="S73" s="9" t="s">
        <v>411</v>
      </c>
      <c r="T73" s="9">
        <v>30</v>
      </c>
      <c r="U73" s="1">
        <v>300</v>
      </c>
      <c r="V73" s="1">
        <v>300</v>
      </c>
      <c r="W73" s="5"/>
      <c r="X73" s="19"/>
      <c r="Y73" s="5"/>
      <c r="Z73" s="5"/>
      <c r="AA73" s="3"/>
      <c r="AB73" s="5"/>
      <c r="AC73" s="5"/>
      <c r="AD73" s="3"/>
      <c r="AE73" s="5"/>
    </row>
    <row r="74" spans="1:31" ht="15" hidden="1" customHeight="1" x14ac:dyDescent="0.2">
      <c r="A74" s="3"/>
      <c r="B74" s="338"/>
      <c r="C74" s="340"/>
      <c r="D74" s="8" t="s">
        <v>308</v>
      </c>
      <c r="E74" s="9" t="s">
        <v>34</v>
      </c>
      <c r="F74" s="9" t="s">
        <v>86</v>
      </c>
      <c r="G74" s="17" t="s">
        <v>452</v>
      </c>
      <c r="H74" s="9" t="s">
        <v>84</v>
      </c>
      <c r="I74" s="9" t="s">
        <v>386</v>
      </c>
      <c r="J74" s="9" t="s">
        <v>46</v>
      </c>
      <c r="K74" s="9" t="s">
        <v>33</v>
      </c>
      <c r="L74" s="9" t="s">
        <v>438</v>
      </c>
      <c r="M74" s="18" t="s">
        <v>13</v>
      </c>
      <c r="N74" s="12" t="str">
        <f t="shared" si="2"/>
        <v>XVNT-TED-CBS1-MIS-M3-S2-0001</v>
      </c>
      <c r="O74" s="9" t="s">
        <v>498</v>
      </c>
      <c r="P74" s="9">
        <v>120</v>
      </c>
      <c r="Q74" s="1">
        <v>300</v>
      </c>
      <c r="R74" s="1">
        <v>300</v>
      </c>
      <c r="S74" s="9" t="s">
        <v>411</v>
      </c>
      <c r="T74" s="9">
        <v>30</v>
      </c>
      <c r="U74" s="1">
        <v>300</v>
      </c>
      <c r="V74" s="1">
        <v>300</v>
      </c>
      <c r="W74" s="5"/>
      <c r="X74" s="19"/>
      <c r="Y74" s="5"/>
      <c r="Z74" s="5"/>
      <c r="AA74" s="3"/>
      <c r="AB74" s="5"/>
      <c r="AC74" s="5"/>
      <c r="AD74" s="3"/>
      <c r="AE74" s="5"/>
    </row>
    <row r="75" spans="1:31" ht="15" hidden="1" customHeight="1" x14ac:dyDescent="0.2">
      <c r="A75" s="3"/>
      <c r="B75" s="338"/>
      <c r="C75" s="339" t="s">
        <v>407</v>
      </c>
      <c r="D75" s="8" t="s">
        <v>414</v>
      </c>
      <c r="E75" s="9" t="s">
        <v>34</v>
      </c>
      <c r="F75" s="9" t="s">
        <v>86</v>
      </c>
      <c r="G75" s="17" t="s">
        <v>452</v>
      </c>
      <c r="H75" s="9" t="s">
        <v>84</v>
      </c>
      <c r="I75" s="9" t="s">
        <v>390</v>
      </c>
      <c r="J75" s="9" t="s">
        <v>394</v>
      </c>
      <c r="K75" s="9" t="s">
        <v>33</v>
      </c>
      <c r="L75" s="9" t="s">
        <v>438</v>
      </c>
      <c r="M75" s="18" t="s">
        <v>13</v>
      </c>
      <c r="N75" s="12" t="str">
        <f t="shared" si="2"/>
        <v>XVNT-TED-CCVS-KCD -M3-S2-0001</v>
      </c>
      <c r="O75" s="9" t="s">
        <v>498</v>
      </c>
      <c r="P75" s="9">
        <v>150</v>
      </c>
      <c r="Q75" s="1">
        <v>300</v>
      </c>
      <c r="R75" s="1">
        <v>300</v>
      </c>
      <c r="S75" s="9" t="s">
        <v>411</v>
      </c>
      <c r="T75" s="9">
        <v>30</v>
      </c>
      <c r="U75" s="1">
        <v>300</v>
      </c>
      <c r="V75" s="1">
        <v>300</v>
      </c>
      <c r="W75" s="5"/>
      <c r="X75" s="19"/>
      <c r="Y75" s="5"/>
      <c r="Z75" s="5"/>
      <c r="AA75" s="3"/>
      <c r="AB75" s="5"/>
      <c r="AC75" s="5"/>
      <c r="AD75" s="3"/>
      <c r="AE75" s="5"/>
    </row>
    <row r="76" spans="1:31" ht="15" hidden="1" customHeight="1" x14ac:dyDescent="0.2">
      <c r="A76" s="3"/>
      <c r="B76" s="338"/>
      <c r="C76" s="342"/>
      <c r="D76" s="8" t="s">
        <v>415</v>
      </c>
      <c r="E76" s="9" t="s">
        <v>34</v>
      </c>
      <c r="F76" s="9" t="s">
        <v>86</v>
      </c>
      <c r="G76" s="17" t="s">
        <v>452</v>
      </c>
      <c r="H76" s="9" t="s">
        <v>84</v>
      </c>
      <c r="I76" s="9" t="s">
        <v>390</v>
      </c>
      <c r="J76" s="9" t="s">
        <v>394</v>
      </c>
      <c r="K76" s="9" t="s">
        <v>33</v>
      </c>
      <c r="L76" s="9" t="s">
        <v>438</v>
      </c>
      <c r="M76" s="18" t="s">
        <v>17</v>
      </c>
      <c r="N76" s="12" t="str">
        <f t="shared" si="2"/>
        <v>XVNT-TED-CCVS-KCD -M3-S2-0002</v>
      </c>
      <c r="O76" s="9" t="s">
        <v>498</v>
      </c>
      <c r="P76" s="9">
        <v>150</v>
      </c>
      <c r="Q76" s="1">
        <v>300</v>
      </c>
      <c r="R76" s="1">
        <v>300</v>
      </c>
      <c r="S76" s="9" t="s">
        <v>411</v>
      </c>
      <c r="T76" s="9">
        <v>30</v>
      </c>
      <c r="U76" s="1">
        <v>300</v>
      </c>
      <c r="V76" s="1">
        <v>300</v>
      </c>
      <c r="W76" s="5"/>
      <c r="X76" s="19"/>
      <c r="Y76" s="5"/>
      <c r="Z76" s="5"/>
      <c r="AA76" s="3"/>
      <c r="AB76" s="5"/>
      <c r="AC76" s="5"/>
      <c r="AD76" s="3"/>
      <c r="AE76" s="5"/>
    </row>
    <row r="77" spans="1:31" ht="15" hidden="1" customHeight="1" x14ac:dyDescent="0.2">
      <c r="A77" s="3"/>
      <c r="B77" s="338"/>
      <c r="C77" s="342"/>
      <c r="D77" s="8" t="s">
        <v>416</v>
      </c>
      <c r="E77" s="9" t="s">
        <v>34</v>
      </c>
      <c r="F77" s="9" t="s">
        <v>86</v>
      </c>
      <c r="G77" s="17" t="s">
        <v>452</v>
      </c>
      <c r="H77" s="9" t="s">
        <v>84</v>
      </c>
      <c r="I77" s="9" t="s">
        <v>390</v>
      </c>
      <c r="J77" s="9" t="s">
        <v>394</v>
      </c>
      <c r="K77" s="9" t="s">
        <v>33</v>
      </c>
      <c r="L77" s="9" t="s">
        <v>438</v>
      </c>
      <c r="M77" s="18" t="s">
        <v>90</v>
      </c>
      <c r="N77" s="12" t="str">
        <f t="shared" si="2"/>
        <v>XVNT-TED-CCVS-KCD -M3-S2-0003</v>
      </c>
      <c r="O77" s="9" t="s">
        <v>498</v>
      </c>
      <c r="P77" s="9">
        <v>150</v>
      </c>
      <c r="Q77" s="1">
        <v>300</v>
      </c>
      <c r="R77" s="1">
        <v>300</v>
      </c>
      <c r="S77" s="9" t="s">
        <v>411</v>
      </c>
      <c r="T77" s="9">
        <v>30</v>
      </c>
      <c r="U77" s="1">
        <v>300</v>
      </c>
      <c r="V77" s="1">
        <v>300</v>
      </c>
      <c r="W77" s="5"/>
      <c r="X77" s="19"/>
      <c r="Y77" s="5"/>
      <c r="Z77" s="5"/>
      <c r="AA77" s="3"/>
      <c r="AB77" s="5"/>
      <c r="AC77" s="5"/>
      <c r="AD77" s="3"/>
      <c r="AE77" s="5"/>
    </row>
    <row r="78" spans="1:31" ht="15" hidden="1" customHeight="1" x14ac:dyDescent="0.2">
      <c r="A78" s="3"/>
      <c r="B78" s="338"/>
      <c r="C78" s="342"/>
      <c r="D78" s="8" t="s">
        <v>417</v>
      </c>
      <c r="E78" s="9" t="s">
        <v>34</v>
      </c>
      <c r="F78" s="9" t="s">
        <v>86</v>
      </c>
      <c r="G78" s="17" t="s">
        <v>452</v>
      </c>
      <c r="H78" s="9" t="s">
        <v>84</v>
      </c>
      <c r="I78" s="9" t="s">
        <v>390</v>
      </c>
      <c r="J78" s="9" t="s">
        <v>392</v>
      </c>
      <c r="K78" s="9" t="s">
        <v>33</v>
      </c>
      <c r="L78" s="9" t="s">
        <v>438</v>
      </c>
      <c r="M78" s="18" t="s">
        <v>13</v>
      </c>
      <c r="N78" s="12" t="str">
        <f t="shared" si="2"/>
        <v>XVNT-TED-CCVS-KCT -M3-S2-0001</v>
      </c>
      <c r="O78" s="9" t="s">
        <v>498</v>
      </c>
      <c r="P78" s="9">
        <v>150</v>
      </c>
      <c r="Q78" s="1">
        <v>300</v>
      </c>
      <c r="R78" s="1">
        <v>300</v>
      </c>
      <c r="S78" s="9" t="s">
        <v>411</v>
      </c>
      <c r="T78" s="9">
        <v>30</v>
      </c>
      <c r="U78" s="1">
        <v>300</v>
      </c>
      <c r="V78" s="1">
        <v>300</v>
      </c>
      <c r="W78" s="5"/>
      <c r="X78" s="19"/>
      <c r="Y78" s="5"/>
      <c r="Z78" s="5"/>
      <c r="AA78" s="3"/>
      <c r="AB78" s="5"/>
      <c r="AC78" s="5"/>
      <c r="AD78" s="3"/>
      <c r="AE78" s="5"/>
    </row>
    <row r="79" spans="1:31" ht="15" hidden="1" customHeight="1" x14ac:dyDescent="0.2">
      <c r="A79" s="3"/>
      <c r="B79" s="338"/>
      <c r="C79" s="342"/>
      <c r="D79" s="8" t="s">
        <v>418</v>
      </c>
      <c r="E79" s="9" t="s">
        <v>34</v>
      </c>
      <c r="F79" s="9" t="s">
        <v>86</v>
      </c>
      <c r="G79" s="17" t="s">
        <v>452</v>
      </c>
      <c r="H79" s="9" t="s">
        <v>84</v>
      </c>
      <c r="I79" s="9" t="s">
        <v>390</v>
      </c>
      <c r="J79" s="9" t="s">
        <v>392</v>
      </c>
      <c r="K79" s="9" t="s">
        <v>33</v>
      </c>
      <c r="L79" s="9" t="s">
        <v>438</v>
      </c>
      <c r="M79" s="18" t="s">
        <v>17</v>
      </c>
      <c r="N79" s="12" t="str">
        <f t="shared" si="2"/>
        <v>XVNT-TED-CCVS-KCT -M3-S2-0002</v>
      </c>
      <c r="O79" s="9" t="s">
        <v>498</v>
      </c>
      <c r="P79" s="9">
        <v>150</v>
      </c>
      <c r="Q79" s="1">
        <v>300</v>
      </c>
      <c r="R79" s="1">
        <v>300</v>
      </c>
      <c r="S79" s="9" t="s">
        <v>411</v>
      </c>
      <c r="T79" s="9">
        <v>30</v>
      </c>
      <c r="U79" s="1">
        <v>300</v>
      </c>
      <c r="V79" s="1">
        <v>300</v>
      </c>
      <c r="W79" s="5"/>
      <c r="X79" s="19"/>
      <c r="Y79" s="5"/>
      <c r="Z79" s="5"/>
      <c r="AA79" s="3"/>
      <c r="AB79" s="5"/>
      <c r="AC79" s="5"/>
      <c r="AD79" s="3"/>
      <c r="AE79" s="5"/>
    </row>
    <row r="80" spans="1:31" ht="15" hidden="1" customHeight="1" x14ac:dyDescent="0.2">
      <c r="A80" s="3"/>
      <c r="B80" s="338"/>
      <c r="C80" s="342"/>
      <c r="D80" s="8" t="s">
        <v>419</v>
      </c>
      <c r="E80" s="9" t="s">
        <v>34</v>
      </c>
      <c r="F80" s="9" t="s">
        <v>86</v>
      </c>
      <c r="G80" s="17" t="s">
        <v>452</v>
      </c>
      <c r="H80" s="9" t="s">
        <v>84</v>
      </c>
      <c r="I80" s="9" t="s">
        <v>390</v>
      </c>
      <c r="J80" s="9" t="s">
        <v>392</v>
      </c>
      <c r="K80" s="9" t="s">
        <v>33</v>
      </c>
      <c r="L80" s="9" t="s">
        <v>438</v>
      </c>
      <c r="M80" s="18" t="s">
        <v>90</v>
      </c>
      <c r="N80" s="12" t="str">
        <f t="shared" si="2"/>
        <v>XVNT-TED-CCVS-KCT -M3-S2-0003</v>
      </c>
      <c r="O80" s="9" t="s">
        <v>498</v>
      </c>
      <c r="P80" s="9">
        <v>150</v>
      </c>
      <c r="Q80" s="1">
        <v>300</v>
      </c>
      <c r="R80" s="1">
        <v>300</v>
      </c>
      <c r="S80" s="9" t="s">
        <v>411</v>
      </c>
      <c r="T80" s="9">
        <v>30</v>
      </c>
      <c r="U80" s="1">
        <v>300</v>
      </c>
      <c r="V80" s="1">
        <v>300</v>
      </c>
      <c r="W80" s="5"/>
      <c r="X80" s="19"/>
      <c r="Y80" s="5"/>
      <c r="Z80" s="5"/>
      <c r="AA80" s="3"/>
      <c r="AB80" s="5"/>
      <c r="AC80" s="5"/>
      <c r="AD80" s="3"/>
      <c r="AE80" s="5"/>
    </row>
    <row r="81" spans="1:31" ht="15" hidden="1" customHeight="1" x14ac:dyDescent="0.2">
      <c r="A81" s="3"/>
      <c r="B81" s="338"/>
      <c r="C81" s="342"/>
      <c r="D81" s="8" t="s">
        <v>413</v>
      </c>
      <c r="E81" s="9" t="s">
        <v>34</v>
      </c>
      <c r="F81" s="9" t="s">
        <v>86</v>
      </c>
      <c r="G81" s="17" t="s">
        <v>452</v>
      </c>
      <c r="H81" s="9" t="s">
        <v>84</v>
      </c>
      <c r="I81" s="9" t="s">
        <v>390</v>
      </c>
      <c r="J81" s="9" t="s">
        <v>46</v>
      </c>
      <c r="K81" s="9" t="s">
        <v>33</v>
      </c>
      <c r="L81" s="9" t="s">
        <v>438</v>
      </c>
      <c r="M81" s="18" t="s">
        <v>13</v>
      </c>
      <c r="N81" s="12" t="str">
        <f t="shared" si="2"/>
        <v>XVNT-TED-CCVS-MIS-M3-S2-0001</v>
      </c>
      <c r="O81" s="9" t="s">
        <v>498</v>
      </c>
      <c r="P81" s="9">
        <v>150</v>
      </c>
      <c r="Q81" s="1">
        <v>300</v>
      </c>
      <c r="R81" s="1">
        <v>300</v>
      </c>
      <c r="S81" s="9" t="s">
        <v>411</v>
      </c>
      <c r="T81" s="9">
        <v>30</v>
      </c>
      <c r="U81" s="1">
        <v>300</v>
      </c>
      <c r="V81" s="1">
        <v>300</v>
      </c>
      <c r="W81" s="5"/>
      <c r="X81" s="19"/>
      <c r="Y81" s="5"/>
      <c r="Z81" s="5"/>
      <c r="AA81" s="3"/>
      <c r="AB81" s="5"/>
      <c r="AC81" s="5"/>
      <c r="AD81" s="3"/>
      <c r="AE81" s="5"/>
    </row>
    <row r="82" spans="1:31" ht="15" hidden="1" customHeight="1" x14ac:dyDescent="0.2">
      <c r="A82" s="3"/>
      <c r="B82" s="338"/>
      <c r="C82" s="340"/>
      <c r="D82" s="8" t="s">
        <v>308</v>
      </c>
      <c r="E82" s="9" t="s">
        <v>34</v>
      </c>
      <c r="F82" s="9" t="s">
        <v>86</v>
      </c>
      <c r="G82" s="17" t="s">
        <v>452</v>
      </c>
      <c r="H82" s="9" t="s">
        <v>84</v>
      </c>
      <c r="I82" s="9" t="s">
        <v>390</v>
      </c>
      <c r="J82" s="9" t="s">
        <v>46</v>
      </c>
      <c r="K82" s="9" t="s">
        <v>33</v>
      </c>
      <c r="L82" s="9" t="s">
        <v>438</v>
      </c>
      <c r="M82" s="18" t="s">
        <v>13</v>
      </c>
      <c r="N82" s="12" t="str">
        <f t="shared" si="2"/>
        <v>XVNT-TED-CCVS-MIS-M3-S2-0001</v>
      </c>
      <c r="O82" s="9" t="s">
        <v>498</v>
      </c>
      <c r="P82" s="9">
        <v>120</v>
      </c>
      <c r="Q82" s="1">
        <v>300</v>
      </c>
      <c r="R82" s="1">
        <v>300</v>
      </c>
      <c r="S82" s="9" t="s">
        <v>411</v>
      </c>
      <c r="T82" s="9">
        <v>30</v>
      </c>
      <c r="U82" s="1">
        <v>300</v>
      </c>
      <c r="V82" s="1">
        <v>300</v>
      </c>
      <c r="W82" s="5"/>
      <c r="X82" s="19"/>
      <c r="Y82" s="5"/>
      <c r="Z82" s="5"/>
      <c r="AA82" s="3"/>
      <c r="AB82" s="5"/>
      <c r="AC82" s="5"/>
      <c r="AD82" s="3"/>
      <c r="AE82" s="5"/>
    </row>
    <row r="83" spans="1:31" ht="15" hidden="1" customHeight="1" x14ac:dyDescent="0.2">
      <c r="A83" s="3"/>
      <c r="B83" s="338"/>
      <c r="C83" s="339" t="s">
        <v>389</v>
      </c>
      <c r="D83" s="8" t="s">
        <v>409</v>
      </c>
      <c r="E83" s="9" t="s">
        <v>34</v>
      </c>
      <c r="F83" s="9" t="s">
        <v>86</v>
      </c>
      <c r="G83" s="17" t="s">
        <v>452</v>
      </c>
      <c r="H83" s="9" t="s">
        <v>84</v>
      </c>
      <c r="I83" s="9" t="s">
        <v>388</v>
      </c>
      <c r="J83" s="9" t="s">
        <v>394</v>
      </c>
      <c r="K83" s="9" t="s">
        <v>33</v>
      </c>
      <c r="L83" s="9" t="s">
        <v>438</v>
      </c>
      <c r="M83" s="18" t="s">
        <v>13</v>
      </c>
      <c r="N83" s="12" t="str">
        <f t="shared" si="2"/>
        <v>XVNT-TED-CBS2-KCD -M3-S2-0001</v>
      </c>
      <c r="O83" s="9" t="s">
        <v>498</v>
      </c>
      <c r="P83" s="9">
        <v>120</v>
      </c>
      <c r="Q83" s="1">
        <v>300</v>
      </c>
      <c r="R83" s="1">
        <v>300</v>
      </c>
      <c r="S83" s="9" t="s">
        <v>411</v>
      </c>
      <c r="T83" s="9">
        <v>30</v>
      </c>
      <c r="U83" s="1">
        <v>300</v>
      </c>
      <c r="V83" s="1">
        <v>300</v>
      </c>
      <c r="W83" s="5"/>
      <c r="X83" s="19"/>
      <c r="Y83" s="5"/>
      <c r="Z83" s="5"/>
      <c r="AA83" s="3"/>
      <c r="AB83" s="5"/>
      <c r="AC83" s="5"/>
      <c r="AD83" s="3"/>
      <c r="AE83" s="5"/>
    </row>
    <row r="84" spans="1:31" ht="15" hidden="1" customHeight="1" x14ac:dyDescent="0.2">
      <c r="A84" s="3"/>
      <c r="B84" s="338"/>
      <c r="C84" s="340"/>
      <c r="D84" s="8" t="s">
        <v>393</v>
      </c>
      <c r="E84" s="9" t="s">
        <v>34</v>
      </c>
      <c r="F84" s="9" t="s">
        <v>86</v>
      </c>
      <c r="G84" s="17" t="s">
        <v>452</v>
      </c>
      <c r="H84" s="9" t="s">
        <v>84</v>
      </c>
      <c r="I84" s="9" t="s">
        <v>388</v>
      </c>
      <c r="J84" s="9" t="s">
        <v>392</v>
      </c>
      <c r="K84" s="9" t="s">
        <v>33</v>
      </c>
      <c r="L84" s="9" t="s">
        <v>438</v>
      </c>
      <c r="M84" s="18" t="s">
        <v>13</v>
      </c>
      <c r="N84" s="12" t="str">
        <f t="shared" si="2"/>
        <v>XVNT-TED-CBS2-KCT -M3-S2-0001</v>
      </c>
      <c r="O84" s="9" t="s">
        <v>498</v>
      </c>
      <c r="P84" s="9">
        <v>120</v>
      </c>
      <c r="Q84" s="1">
        <v>350</v>
      </c>
      <c r="R84" s="1">
        <v>350</v>
      </c>
      <c r="S84" s="9" t="s">
        <v>411</v>
      </c>
      <c r="T84" s="9">
        <v>30</v>
      </c>
      <c r="U84" s="1">
        <v>350</v>
      </c>
      <c r="V84" s="1">
        <v>350</v>
      </c>
      <c r="W84" s="5"/>
      <c r="X84" s="19"/>
      <c r="Y84" s="5"/>
      <c r="Z84" s="5"/>
      <c r="AA84" s="3"/>
      <c r="AB84" s="5"/>
      <c r="AC84" s="5"/>
      <c r="AD84" s="3"/>
      <c r="AE84" s="5"/>
    </row>
    <row r="85" spans="1:31" ht="15" hidden="1" customHeight="1" x14ac:dyDescent="0.2">
      <c r="A85" s="3"/>
      <c r="B85" s="338"/>
      <c r="C85" s="340"/>
      <c r="D85" s="8" t="s">
        <v>413</v>
      </c>
      <c r="E85" s="9" t="s">
        <v>34</v>
      </c>
      <c r="F85" s="9" t="s">
        <v>86</v>
      </c>
      <c r="G85" s="17" t="s">
        <v>452</v>
      </c>
      <c r="H85" s="9" t="s">
        <v>84</v>
      </c>
      <c r="I85" s="9" t="s">
        <v>388</v>
      </c>
      <c r="J85" s="9" t="s">
        <v>46</v>
      </c>
      <c r="K85" s="9" t="s">
        <v>33</v>
      </c>
      <c r="L85" s="9" t="s">
        <v>438</v>
      </c>
      <c r="M85" s="18" t="s">
        <v>13</v>
      </c>
      <c r="N85" s="12" t="str">
        <f t="shared" si="2"/>
        <v>XVNT-TED-CBS2-MIS-M3-S2-0001</v>
      </c>
      <c r="O85" s="9" t="s">
        <v>498</v>
      </c>
      <c r="P85" s="9">
        <v>120</v>
      </c>
      <c r="Q85" s="1">
        <v>350</v>
      </c>
      <c r="R85" s="1">
        <v>350</v>
      </c>
      <c r="S85" s="9" t="s">
        <v>411</v>
      </c>
      <c r="T85" s="9">
        <v>30</v>
      </c>
      <c r="U85" s="1">
        <v>350</v>
      </c>
      <c r="V85" s="1">
        <v>350</v>
      </c>
      <c r="W85" s="5"/>
      <c r="X85" s="19"/>
      <c r="Y85" s="5"/>
      <c r="Z85" s="5"/>
      <c r="AA85" s="3"/>
      <c r="AB85" s="5"/>
      <c r="AC85" s="5"/>
      <c r="AD85" s="3"/>
      <c r="AE85" s="5"/>
    </row>
    <row r="86" spans="1:31" ht="15" hidden="1" customHeight="1" x14ac:dyDescent="0.2">
      <c r="A86" s="3"/>
      <c r="B86" s="338"/>
      <c r="C86" s="340"/>
      <c r="D86" s="8" t="s">
        <v>308</v>
      </c>
      <c r="E86" s="9" t="s">
        <v>34</v>
      </c>
      <c r="F86" s="9" t="s">
        <v>86</v>
      </c>
      <c r="G86" s="17" t="s">
        <v>452</v>
      </c>
      <c r="H86" s="9" t="s">
        <v>84</v>
      </c>
      <c r="I86" s="9" t="s">
        <v>388</v>
      </c>
      <c r="J86" s="9" t="s">
        <v>46</v>
      </c>
      <c r="K86" s="9" t="s">
        <v>33</v>
      </c>
      <c r="L86" s="9" t="s">
        <v>438</v>
      </c>
      <c r="M86" s="18" t="s">
        <v>13</v>
      </c>
      <c r="N86" s="12" t="str">
        <f t="shared" si="2"/>
        <v>XVNT-TED-CBS2-MIS-M3-S2-0001</v>
      </c>
      <c r="O86" s="9" t="s">
        <v>498</v>
      </c>
      <c r="P86" s="9">
        <v>120</v>
      </c>
      <c r="Q86" s="1">
        <v>350</v>
      </c>
      <c r="R86" s="1">
        <v>350</v>
      </c>
      <c r="S86" s="9" t="s">
        <v>411</v>
      </c>
      <c r="T86" s="9">
        <v>30</v>
      </c>
      <c r="U86" s="1">
        <v>350</v>
      </c>
      <c r="V86" s="1">
        <v>350</v>
      </c>
      <c r="W86" s="5"/>
      <c r="X86" s="19"/>
      <c r="Y86" s="5"/>
      <c r="Z86" s="5"/>
      <c r="AA86" s="3"/>
      <c r="AB86" s="5"/>
      <c r="AC86" s="5"/>
      <c r="AD86" s="3"/>
      <c r="AE86" s="5"/>
    </row>
    <row r="87" spans="1:31" ht="15" hidden="1" customHeight="1" x14ac:dyDescent="0.2">
      <c r="A87" s="3"/>
      <c r="B87" s="338"/>
      <c r="C87" s="339" t="s">
        <v>385</v>
      </c>
      <c r="D87" s="8" t="s">
        <v>409</v>
      </c>
      <c r="E87" s="9" t="s">
        <v>34</v>
      </c>
      <c r="F87" s="9" t="s">
        <v>86</v>
      </c>
      <c r="G87" s="17" t="s">
        <v>452</v>
      </c>
      <c r="H87" s="9" t="s">
        <v>84</v>
      </c>
      <c r="I87" s="9" t="s">
        <v>384</v>
      </c>
      <c r="J87" s="9" t="s">
        <v>394</v>
      </c>
      <c r="K87" s="9" t="s">
        <v>33</v>
      </c>
      <c r="L87" s="9" t="s">
        <v>438</v>
      </c>
      <c r="M87" s="18" t="s">
        <v>13</v>
      </c>
      <c r="N87" s="12" t="str">
        <f t="shared" si="2"/>
        <v>XVNT-TED-CVD2-KCD -M3-S2-0001</v>
      </c>
      <c r="O87" s="9" t="s">
        <v>498</v>
      </c>
      <c r="P87" s="9">
        <v>120</v>
      </c>
      <c r="Q87" s="1">
        <v>350</v>
      </c>
      <c r="R87" s="1">
        <v>350</v>
      </c>
      <c r="S87" s="9" t="s">
        <v>411</v>
      </c>
      <c r="T87" s="9">
        <v>30</v>
      </c>
      <c r="U87" s="1">
        <v>350</v>
      </c>
      <c r="V87" s="1">
        <v>350</v>
      </c>
      <c r="W87" s="5"/>
      <c r="X87" s="19"/>
      <c r="Y87" s="5"/>
      <c r="Z87" s="5"/>
      <c r="AA87" s="3"/>
      <c r="AB87" s="5"/>
      <c r="AC87" s="5"/>
      <c r="AD87" s="3"/>
      <c r="AE87" s="5"/>
    </row>
    <row r="88" spans="1:31" ht="15" hidden="1" customHeight="1" x14ac:dyDescent="0.2">
      <c r="A88" s="3"/>
      <c r="B88" s="338"/>
      <c r="C88" s="340"/>
      <c r="D88" s="8" t="s">
        <v>393</v>
      </c>
      <c r="E88" s="9" t="s">
        <v>34</v>
      </c>
      <c r="F88" s="9" t="s">
        <v>86</v>
      </c>
      <c r="G88" s="17" t="s">
        <v>452</v>
      </c>
      <c r="H88" s="9" t="s">
        <v>84</v>
      </c>
      <c r="I88" s="9" t="s">
        <v>384</v>
      </c>
      <c r="J88" s="9" t="s">
        <v>392</v>
      </c>
      <c r="K88" s="9" t="s">
        <v>33</v>
      </c>
      <c r="L88" s="9" t="s">
        <v>438</v>
      </c>
      <c r="M88" s="18" t="s">
        <v>13</v>
      </c>
      <c r="N88" s="12" t="str">
        <f t="shared" si="2"/>
        <v>XVNT-TED-CVD2-KCT -M3-S2-0001</v>
      </c>
      <c r="O88" s="9" t="s">
        <v>498</v>
      </c>
      <c r="P88" s="9">
        <v>120</v>
      </c>
      <c r="Q88" s="1">
        <v>350</v>
      </c>
      <c r="R88" s="1">
        <v>350</v>
      </c>
      <c r="S88" s="9" t="s">
        <v>411</v>
      </c>
      <c r="T88" s="9">
        <v>30</v>
      </c>
      <c r="U88" s="1">
        <v>350</v>
      </c>
      <c r="V88" s="1">
        <v>350</v>
      </c>
      <c r="W88" s="5"/>
      <c r="X88" s="19"/>
      <c r="Y88" s="5"/>
      <c r="Z88" s="5"/>
      <c r="AA88" s="3"/>
      <c r="AB88" s="5"/>
      <c r="AC88" s="5"/>
      <c r="AD88" s="3"/>
      <c r="AE88" s="5"/>
    </row>
    <row r="89" spans="1:31" ht="15" hidden="1" customHeight="1" x14ac:dyDescent="0.2">
      <c r="A89" s="3"/>
      <c r="B89" s="338"/>
      <c r="C89" s="340"/>
      <c r="D89" s="8" t="s">
        <v>413</v>
      </c>
      <c r="E89" s="9" t="s">
        <v>34</v>
      </c>
      <c r="F89" s="9" t="s">
        <v>86</v>
      </c>
      <c r="G89" s="17" t="s">
        <v>452</v>
      </c>
      <c r="H89" s="9" t="s">
        <v>84</v>
      </c>
      <c r="I89" s="9" t="s">
        <v>384</v>
      </c>
      <c r="J89" s="9" t="s">
        <v>46</v>
      </c>
      <c r="K89" s="9" t="s">
        <v>33</v>
      </c>
      <c r="L89" s="9" t="s">
        <v>438</v>
      </c>
      <c r="M89" s="18" t="s">
        <v>13</v>
      </c>
      <c r="N89" s="12" t="str">
        <f t="shared" si="2"/>
        <v>XVNT-TED-CVD2-MIS-M3-S2-0001</v>
      </c>
      <c r="O89" s="9" t="s">
        <v>498</v>
      </c>
      <c r="P89" s="9">
        <v>120</v>
      </c>
      <c r="Q89" s="1">
        <v>300</v>
      </c>
      <c r="R89" s="1">
        <v>300</v>
      </c>
      <c r="S89" s="9" t="s">
        <v>411</v>
      </c>
      <c r="T89" s="9">
        <v>30</v>
      </c>
      <c r="U89" s="1">
        <v>300</v>
      </c>
      <c r="V89" s="1">
        <v>300</v>
      </c>
      <c r="W89" s="5"/>
      <c r="X89" s="19"/>
      <c r="Y89" s="5"/>
      <c r="Z89" s="5"/>
      <c r="AA89" s="3"/>
      <c r="AB89" s="5"/>
      <c r="AC89" s="5"/>
      <c r="AD89" s="3"/>
      <c r="AE89" s="5"/>
    </row>
    <row r="90" spans="1:31" ht="15" hidden="1" customHeight="1" x14ac:dyDescent="0.2">
      <c r="A90" s="3"/>
      <c r="B90" s="338"/>
      <c r="C90" s="340"/>
      <c r="D90" s="8" t="s">
        <v>308</v>
      </c>
      <c r="E90" s="9" t="s">
        <v>34</v>
      </c>
      <c r="F90" s="9" t="s">
        <v>86</v>
      </c>
      <c r="G90" s="17" t="s">
        <v>452</v>
      </c>
      <c r="H90" s="9" t="s">
        <v>84</v>
      </c>
      <c r="I90" s="9" t="s">
        <v>384</v>
      </c>
      <c r="J90" s="9" t="s">
        <v>46</v>
      </c>
      <c r="K90" s="9" t="s">
        <v>33</v>
      </c>
      <c r="L90" s="9" t="s">
        <v>438</v>
      </c>
      <c r="M90" s="18" t="s">
        <v>13</v>
      </c>
      <c r="N90" s="12" t="str">
        <f t="shared" si="2"/>
        <v>XVNT-TED-CVD2-MIS-M3-S2-0001</v>
      </c>
      <c r="O90" s="9" t="s">
        <v>498</v>
      </c>
      <c r="P90" s="9">
        <v>120</v>
      </c>
      <c r="Q90" s="1">
        <v>300</v>
      </c>
      <c r="R90" s="1">
        <v>300</v>
      </c>
      <c r="S90" s="9" t="s">
        <v>411</v>
      </c>
      <c r="T90" s="9">
        <v>30</v>
      </c>
      <c r="U90" s="1">
        <v>300</v>
      </c>
      <c r="V90" s="1">
        <v>300</v>
      </c>
      <c r="W90" s="5"/>
      <c r="X90" s="19"/>
      <c r="Y90" s="5"/>
      <c r="Z90" s="5"/>
      <c r="AA90" s="3"/>
      <c r="AB90" s="5"/>
      <c r="AC90" s="5"/>
      <c r="AD90" s="3"/>
      <c r="AE90" s="5"/>
    </row>
    <row r="91" spans="1:31" ht="15" hidden="1" customHeight="1" x14ac:dyDescent="0.2">
      <c r="A91" s="5"/>
      <c r="B91" s="343" t="s">
        <v>439</v>
      </c>
      <c r="C91" s="344"/>
      <c r="D91" s="345"/>
      <c r="E91" s="9"/>
      <c r="F91" s="9"/>
      <c r="G91" s="10"/>
      <c r="H91" s="9"/>
      <c r="I91" s="9"/>
      <c r="J91" s="9"/>
      <c r="K91" s="9"/>
      <c r="L91" s="9"/>
      <c r="M91" s="11"/>
      <c r="N91" s="14"/>
      <c r="O91" s="9" t="s">
        <v>498</v>
      </c>
      <c r="P91" s="9"/>
      <c r="Q91" s="9"/>
      <c r="R91" s="9"/>
      <c r="S91" s="9"/>
      <c r="T91" s="9"/>
      <c r="U91" s="9"/>
      <c r="V91" s="9"/>
      <c r="W91" s="5"/>
      <c r="X91" s="5"/>
      <c r="Y91" s="5"/>
      <c r="Z91" s="5"/>
      <c r="AA91" s="5"/>
      <c r="AB91" s="5"/>
      <c r="AC91" s="5"/>
      <c r="AD91" s="5"/>
      <c r="AE91" s="5"/>
    </row>
    <row r="92" spans="1:31" ht="15" hidden="1" customHeight="1" x14ac:dyDescent="0.2">
      <c r="A92" s="5"/>
      <c r="B92" s="346" t="s">
        <v>80</v>
      </c>
      <c r="C92" s="80" t="s">
        <v>82</v>
      </c>
      <c r="D92" s="8" t="s">
        <v>402</v>
      </c>
      <c r="E92" s="9" t="s">
        <v>34</v>
      </c>
      <c r="F92" s="9" t="s">
        <v>85</v>
      </c>
      <c r="G92" s="17" t="s">
        <v>425</v>
      </c>
      <c r="H92" s="9" t="s">
        <v>84</v>
      </c>
      <c r="I92" s="9" t="s">
        <v>11</v>
      </c>
      <c r="J92" s="9" t="s">
        <v>11</v>
      </c>
      <c r="K92" s="9" t="s">
        <v>33</v>
      </c>
      <c r="L92" s="9" t="s">
        <v>441</v>
      </c>
      <c r="M92" s="18" t="s">
        <v>13</v>
      </c>
      <c r="N92" s="12" t="str">
        <f t="shared" ref="N92:N133" si="4">IF(G92="","-",CONCATENATE(G92,"-",H92,"-",I92,"-",J92,"-",K92,"-",L92,"-",M92))</f>
        <v>RR4.P3.4-TED-ZZ-ZZ-M3-G3-0001</v>
      </c>
      <c r="O92" s="9" t="s">
        <v>498</v>
      </c>
      <c r="P92" s="9">
        <v>90</v>
      </c>
      <c r="Q92" s="1">
        <v>200</v>
      </c>
      <c r="R92" s="1">
        <v>200</v>
      </c>
      <c r="S92" s="9" t="s">
        <v>411</v>
      </c>
      <c r="T92" s="9">
        <v>30</v>
      </c>
      <c r="U92" s="1">
        <v>200</v>
      </c>
      <c r="V92" s="1">
        <v>200</v>
      </c>
      <c r="W92" s="5"/>
      <c r="X92" s="5"/>
      <c r="Y92" s="5"/>
      <c r="Z92" s="5"/>
      <c r="AA92" s="5"/>
      <c r="AB92" s="5"/>
      <c r="AC92" s="5"/>
      <c r="AD92" s="5"/>
      <c r="AE92" s="5"/>
    </row>
    <row r="93" spans="1:31" ht="15" hidden="1" customHeight="1" x14ac:dyDescent="0.2">
      <c r="A93" s="5"/>
      <c r="B93" s="347"/>
      <c r="C93" s="80" t="s">
        <v>396</v>
      </c>
      <c r="D93" s="8" t="s">
        <v>403</v>
      </c>
      <c r="E93" s="9" t="s">
        <v>34</v>
      </c>
      <c r="F93" s="9" t="s">
        <v>85</v>
      </c>
      <c r="G93" s="17" t="s">
        <v>425</v>
      </c>
      <c r="H93" s="9" t="s">
        <v>84</v>
      </c>
      <c r="I93" s="9" t="s">
        <v>11</v>
      </c>
      <c r="J93" s="9" t="s">
        <v>11</v>
      </c>
      <c r="K93" s="9" t="s">
        <v>33</v>
      </c>
      <c r="L93" s="9" t="s">
        <v>441</v>
      </c>
      <c r="M93" s="18" t="s">
        <v>13</v>
      </c>
      <c r="N93" s="12" t="str">
        <f t="shared" si="4"/>
        <v>RR4.P3.4-TED-ZZ-ZZ-M3-G3-0001</v>
      </c>
      <c r="O93" s="9" t="s">
        <v>498</v>
      </c>
      <c r="P93" s="9">
        <v>90</v>
      </c>
      <c r="Q93" s="1">
        <v>200</v>
      </c>
      <c r="R93" s="1">
        <v>200</v>
      </c>
      <c r="S93" s="9" t="s">
        <v>411</v>
      </c>
      <c r="T93" s="9">
        <v>30</v>
      </c>
      <c r="U93" s="1">
        <v>200</v>
      </c>
      <c r="V93" s="1">
        <v>200</v>
      </c>
      <c r="W93" s="5"/>
      <c r="X93" s="5"/>
      <c r="Y93" s="5"/>
      <c r="Z93" s="5"/>
      <c r="AA93" s="5"/>
      <c r="AB93" s="5"/>
      <c r="AC93" s="5"/>
      <c r="AD93" s="5"/>
      <c r="AE93" s="5"/>
    </row>
    <row r="94" spans="1:31" ht="15" hidden="1" customHeight="1" x14ac:dyDescent="0.2">
      <c r="A94" s="5"/>
      <c r="B94" s="347"/>
      <c r="C94" s="80" t="s">
        <v>395</v>
      </c>
      <c r="D94" s="8" t="s">
        <v>404</v>
      </c>
      <c r="E94" s="9" t="s">
        <v>34</v>
      </c>
      <c r="F94" s="9" t="s">
        <v>85</v>
      </c>
      <c r="G94" s="17" t="s">
        <v>425</v>
      </c>
      <c r="H94" s="9" t="s">
        <v>84</v>
      </c>
      <c r="I94" s="9" t="s">
        <v>11</v>
      </c>
      <c r="J94" s="9" t="s">
        <v>11</v>
      </c>
      <c r="K94" s="9" t="s">
        <v>33</v>
      </c>
      <c r="L94" s="9" t="s">
        <v>441</v>
      </c>
      <c r="M94" s="18" t="s">
        <v>13</v>
      </c>
      <c r="N94" s="12" t="str">
        <f t="shared" si="4"/>
        <v>RR4.P3.4-TED-ZZ-ZZ-M3-G3-0001</v>
      </c>
      <c r="O94" s="9" t="s">
        <v>498</v>
      </c>
      <c r="P94" s="9">
        <v>90</v>
      </c>
      <c r="Q94" s="1">
        <v>200</v>
      </c>
      <c r="R94" s="1">
        <v>200</v>
      </c>
      <c r="S94" s="9" t="s">
        <v>411</v>
      </c>
      <c r="T94" s="9">
        <v>30</v>
      </c>
      <c r="U94" s="1">
        <v>200</v>
      </c>
      <c r="V94" s="1">
        <v>200</v>
      </c>
      <c r="W94" s="5"/>
      <c r="X94" s="5"/>
      <c r="Y94" s="5"/>
      <c r="Z94" s="5"/>
      <c r="AA94" s="5"/>
      <c r="AB94" s="5"/>
      <c r="AC94" s="5"/>
      <c r="AD94" s="5"/>
      <c r="AE94" s="5"/>
    </row>
    <row r="95" spans="1:31" ht="15" hidden="1" customHeight="1" x14ac:dyDescent="0.2">
      <c r="A95" s="5"/>
      <c r="B95" s="103" t="s">
        <v>83</v>
      </c>
      <c r="C95" s="104" t="s">
        <v>21</v>
      </c>
      <c r="D95" s="8" t="s">
        <v>405</v>
      </c>
      <c r="E95" s="9" t="s">
        <v>34</v>
      </c>
      <c r="F95" s="9" t="s">
        <v>85</v>
      </c>
      <c r="G95" s="17" t="s">
        <v>425</v>
      </c>
      <c r="H95" s="9" t="s">
        <v>84</v>
      </c>
      <c r="I95" s="9" t="s">
        <v>11</v>
      </c>
      <c r="J95" s="9" t="s">
        <v>11</v>
      </c>
      <c r="K95" s="9" t="s">
        <v>20</v>
      </c>
      <c r="L95" s="9" t="s">
        <v>442</v>
      </c>
      <c r="M95" s="18" t="s">
        <v>13</v>
      </c>
      <c r="N95" s="12" t="str">
        <f t="shared" si="4"/>
        <v>RR4.P3.4-TED-ZZ-ZZ-CM-Z3-0001</v>
      </c>
      <c r="O95" s="9" t="s">
        <v>498</v>
      </c>
      <c r="P95" s="9">
        <v>180</v>
      </c>
      <c r="Q95" s="1">
        <v>300</v>
      </c>
      <c r="R95" s="1">
        <v>300</v>
      </c>
      <c r="S95" s="9" t="s">
        <v>411</v>
      </c>
      <c r="T95" s="9">
        <v>30</v>
      </c>
      <c r="U95" s="1">
        <v>300</v>
      </c>
      <c r="V95" s="1">
        <v>300</v>
      </c>
      <c r="W95" s="5"/>
      <c r="X95" s="19"/>
      <c r="Y95" s="5"/>
      <c r="Z95" s="5"/>
      <c r="AA95" s="5"/>
      <c r="AB95" s="5"/>
      <c r="AC95" s="5"/>
      <c r="AD95" s="5"/>
      <c r="AE95" s="5"/>
    </row>
    <row r="96" spans="1:31" ht="15" hidden="1" customHeight="1" x14ac:dyDescent="0.2">
      <c r="A96" s="5"/>
      <c r="B96" s="348" t="s">
        <v>406</v>
      </c>
      <c r="C96" s="349" t="s">
        <v>308</v>
      </c>
      <c r="D96" s="8" t="s">
        <v>464</v>
      </c>
      <c r="E96" s="9"/>
      <c r="F96" s="9"/>
      <c r="G96" s="17"/>
      <c r="H96" s="9"/>
      <c r="I96" s="9"/>
      <c r="J96" s="9"/>
      <c r="K96" s="9"/>
      <c r="L96" s="9"/>
      <c r="M96" s="18"/>
      <c r="N96" s="12"/>
      <c r="O96" s="9" t="s">
        <v>498</v>
      </c>
      <c r="P96" s="9"/>
      <c r="Q96" s="1"/>
      <c r="R96" s="1"/>
      <c r="S96" s="9"/>
      <c r="T96" s="9"/>
      <c r="U96" s="1"/>
      <c r="V96" s="1"/>
      <c r="W96" s="5"/>
      <c r="X96" s="19"/>
      <c r="Y96" s="5"/>
      <c r="Z96" s="5"/>
      <c r="AA96" s="5"/>
      <c r="AB96" s="5"/>
      <c r="AC96" s="5"/>
      <c r="AD96" s="5"/>
      <c r="AE96" s="5"/>
    </row>
    <row r="97" spans="1:31" ht="15" hidden="1" customHeight="1" x14ac:dyDescent="0.2">
      <c r="A97" s="5"/>
      <c r="B97" s="348"/>
      <c r="C97" s="350"/>
      <c r="D97" s="8" t="s">
        <v>465</v>
      </c>
      <c r="E97" s="9"/>
      <c r="F97" s="9"/>
      <c r="G97" s="17"/>
      <c r="H97" s="9"/>
      <c r="I97" s="9"/>
      <c r="J97" s="9"/>
      <c r="K97" s="9"/>
      <c r="L97" s="9"/>
      <c r="M97" s="18"/>
      <c r="N97" s="12"/>
      <c r="O97" s="9" t="s">
        <v>498</v>
      </c>
      <c r="P97" s="9"/>
      <c r="Q97" s="1"/>
      <c r="R97" s="1"/>
      <c r="S97" s="9"/>
      <c r="T97" s="9"/>
      <c r="U97" s="1"/>
      <c r="V97" s="1"/>
      <c r="W97" s="5"/>
      <c r="X97" s="19"/>
      <c r="Y97" s="5"/>
      <c r="Z97" s="5"/>
      <c r="AA97" s="5"/>
      <c r="AB97" s="5"/>
      <c r="AC97" s="5"/>
      <c r="AD97" s="5"/>
      <c r="AE97" s="5"/>
    </row>
    <row r="98" spans="1:31" ht="15" hidden="1" customHeight="1" x14ac:dyDescent="0.2">
      <c r="A98" s="3"/>
      <c r="B98" s="348"/>
      <c r="C98" s="349" t="s">
        <v>87</v>
      </c>
      <c r="D98" s="8" t="s">
        <v>466</v>
      </c>
      <c r="E98" s="9" t="s">
        <v>34</v>
      </c>
      <c r="F98" s="9" t="s">
        <v>86</v>
      </c>
      <c r="G98" s="17" t="s">
        <v>425</v>
      </c>
      <c r="H98" s="9" t="s">
        <v>84</v>
      </c>
      <c r="I98" s="9" t="s">
        <v>391</v>
      </c>
      <c r="J98" s="9" t="s">
        <v>11</v>
      </c>
      <c r="K98" s="9" t="s">
        <v>33</v>
      </c>
      <c r="L98" s="9" t="s">
        <v>443</v>
      </c>
      <c r="M98" s="11" t="s">
        <v>13</v>
      </c>
      <c r="N98" s="12" t="str">
        <f t="shared" si="4"/>
        <v>RR4.P3.4-TED-CSGT-ZZ-M3-E3-0001</v>
      </c>
      <c r="O98" s="9" t="s">
        <v>498</v>
      </c>
      <c r="P98" s="9">
        <v>160</v>
      </c>
      <c r="Q98" s="1">
        <v>300</v>
      </c>
      <c r="R98" s="1">
        <v>300</v>
      </c>
      <c r="S98" s="9" t="s">
        <v>411</v>
      </c>
      <c r="T98" s="9">
        <v>30</v>
      </c>
      <c r="U98" s="1">
        <v>300</v>
      </c>
      <c r="V98" s="1">
        <v>300</v>
      </c>
      <c r="W98" s="5"/>
      <c r="X98" s="19"/>
      <c r="Y98" s="5"/>
      <c r="Z98" s="5"/>
      <c r="AA98" s="5"/>
      <c r="AB98" s="5"/>
      <c r="AC98" s="5"/>
      <c r="AD98" s="5"/>
      <c r="AE98" s="5"/>
    </row>
    <row r="99" spans="1:31" ht="15" hidden="1" customHeight="1" x14ac:dyDescent="0.2">
      <c r="A99" s="20"/>
      <c r="B99" s="348"/>
      <c r="C99" s="350"/>
      <c r="D99" s="8" t="s">
        <v>467</v>
      </c>
      <c r="E99" s="9" t="s">
        <v>34</v>
      </c>
      <c r="F99" s="9" t="s">
        <v>86</v>
      </c>
      <c r="G99" s="17" t="s">
        <v>425</v>
      </c>
      <c r="H99" s="9" t="s">
        <v>84</v>
      </c>
      <c r="I99" s="9" t="s">
        <v>391</v>
      </c>
      <c r="J99" s="9" t="s">
        <v>11</v>
      </c>
      <c r="K99" s="9" t="s">
        <v>33</v>
      </c>
      <c r="L99" s="9" t="s">
        <v>443</v>
      </c>
      <c r="M99" s="11" t="s">
        <v>17</v>
      </c>
      <c r="N99" s="12" t="str">
        <f t="shared" si="4"/>
        <v>RR4.P3.4-TED-CSGT-ZZ-M3-E3-0002</v>
      </c>
      <c r="O99" s="9" t="s">
        <v>498</v>
      </c>
      <c r="P99" s="9">
        <v>160</v>
      </c>
      <c r="Q99" s="1">
        <v>300</v>
      </c>
      <c r="R99" s="1">
        <v>300</v>
      </c>
      <c r="S99" s="9" t="s">
        <v>411</v>
      </c>
      <c r="T99" s="9">
        <v>30</v>
      </c>
      <c r="U99" s="1">
        <v>300</v>
      </c>
      <c r="V99" s="1">
        <v>300</v>
      </c>
      <c r="W99" s="5"/>
      <c r="X99" s="19"/>
      <c r="Y99" s="5"/>
      <c r="Z99" s="5"/>
      <c r="AA99" s="5"/>
      <c r="AB99" s="5"/>
      <c r="AC99" s="5"/>
      <c r="AD99" s="5"/>
      <c r="AE99" s="5"/>
    </row>
    <row r="100" spans="1:31" ht="15" hidden="1" customHeight="1" x14ac:dyDescent="0.2">
      <c r="A100" s="3"/>
      <c r="B100" s="348"/>
      <c r="C100" s="349" t="s">
        <v>48</v>
      </c>
      <c r="D100" s="8" t="s">
        <v>468</v>
      </c>
      <c r="E100" s="9" t="s">
        <v>34</v>
      </c>
      <c r="F100" s="9" t="s">
        <v>408</v>
      </c>
      <c r="G100" s="17" t="s">
        <v>425</v>
      </c>
      <c r="H100" s="9" t="s">
        <v>84</v>
      </c>
      <c r="I100" s="9" t="s">
        <v>47</v>
      </c>
      <c r="J100" s="9" t="s">
        <v>11</v>
      </c>
      <c r="K100" s="9" t="s">
        <v>33</v>
      </c>
      <c r="L100" s="9" t="s">
        <v>444</v>
      </c>
      <c r="M100" s="11" t="s">
        <v>13</v>
      </c>
      <c r="N100" s="12" t="str">
        <f t="shared" si="4"/>
        <v>RR4.P3.4-TED-ATGT-ZZ-M3-C3-0001</v>
      </c>
      <c r="O100" s="9" t="s">
        <v>498</v>
      </c>
      <c r="P100" s="9">
        <v>160</v>
      </c>
      <c r="Q100" s="1">
        <v>300</v>
      </c>
      <c r="R100" s="1">
        <v>300</v>
      </c>
      <c r="S100" s="9" t="s">
        <v>411</v>
      </c>
      <c r="T100" s="9">
        <v>30</v>
      </c>
      <c r="U100" s="1">
        <v>300</v>
      </c>
      <c r="V100" s="1">
        <v>300</v>
      </c>
      <c r="W100" s="5"/>
      <c r="X100" s="19"/>
      <c r="Y100" s="5"/>
      <c r="Z100" s="5"/>
      <c r="AA100" s="5"/>
      <c r="AB100" s="5"/>
      <c r="AC100" s="5"/>
      <c r="AD100" s="5"/>
      <c r="AE100" s="5"/>
    </row>
    <row r="101" spans="1:31" ht="15" hidden="1" customHeight="1" x14ac:dyDescent="0.2">
      <c r="A101" s="3"/>
      <c r="B101" s="348"/>
      <c r="C101" s="350"/>
      <c r="D101" s="8" t="s">
        <v>469</v>
      </c>
      <c r="E101" s="9" t="s">
        <v>34</v>
      </c>
      <c r="F101" s="9" t="s">
        <v>408</v>
      </c>
      <c r="G101" s="17" t="s">
        <v>425</v>
      </c>
      <c r="H101" s="9" t="s">
        <v>84</v>
      </c>
      <c r="I101" s="9" t="s">
        <v>47</v>
      </c>
      <c r="J101" s="9" t="s">
        <v>11</v>
      </c>
      <c r="K101" s="9" t="s">
        <v>33</v>
      </c>
      <c r="L101" s="9" t="s">
        <v>444</v>
      </c>
      <c r="M101" s="11" t="s">
        <v>13</v>
      </c>
      <c r="N101" s="12" t="str">
        <f t="shared" si="4"/>
        <v>RR4.P3.4-TED-ATGT-ZZ-M3-C3-0001</v>
      </c>
      <c r="O101" s="9" t="s">
        <v>498</v>
      </c>
      <c r="P101" s="9">
        <v>160</v>
      </c>
      <c r="Q101" s="1">
        <v>300</v>
      </c>
      <c r="R101" s="1">
        <v>300</v>
      </c>
      <c r="S101" s="9" t="s">
        <v>411</v>
      </c>
      <c r="T101" s="9">
        <v>30</v>
      </c>
      <c r="U101" s="1">
        <v>300</v>
      </c>
      <c r="V101" s="1">
        <v>300</v>
      </c>
      <c r="W101" s="5"/>
      <c r="X101" s="19"/>
      <c r="Y101" s="5"/>
      <c r="Z101" s="5"/>
      <c r="AA101" s="5"/>
      <c r="AB101" s="5"/>
      <c r="AC101" s="5"/>
      <c r="AD101" s="5"/>
      <c r="AE101" s="5"/>
    </row>
    <row r="102" spans="1:31" ht="15" hidden="1" customHeight="1" x14ac:dyDescent="0.2">
      <c r="A102" s="3"/>
      <c r="B102" s="338" t="s">
        <v>440</v>
      </c>
      <c r="C102" s="342" t="s">
        <v>429</v>
      </c>
      <c r="D102" s="8" t="s">
        <v>409</v>
      </c>
      <c r="E102" s="9" t="s">
        <v>34</v>
      </c>
      <c r="F102" s="9" t="s">
        <v>86</v>
      </c>
      <c r="G102" s="17" t="s">
        <v>425</v>
      </c>
      <c r="H102" s="9" t="s">
        <v>84</v>
      </c>
      <c r="I102" s="9" t="s">
        <v>382</v>
      </c>
      <c r="J102" s="9" t="s">
        <v>394</v>
      </c>
      <c r="K102" s="9" t="s">
        <v>33</v>
      </c>
      <c r="L102" s="9" t="s">
        <v>445</v>
      </c>
      <c r="M102" s="18" t="s">
        <v>13</v>
      </c>
      <c r="N102" s="12" t="str">
        <f t="shared" si="4"/>
        <v>RR4.P3.4-TED-CVD1-KCD -M3-S3-0001</v>
      </c>
      <c r="O102" s="9" t="s">
        <v>498</v>
      </c>
      <c r="P102" s="9">
        <v>120</v>
      </c>
      <c r="Q102" s="1">
        <v>300</v>
      </c>
      <c r="R102" s="1">
        <v>300</v>
      </c>
      <c r="S102" s="9" t="s">
        <v>411</v>
      </c>
      <c r="T102" s="9">
        <v>30</v>
      </c>
      <c r="U102" s="1">
        <v>300</v>
      </c>
      <c r="V102" s="1">
        <v>300</v>
      </c>
      <c r="W102" s="5"/>
      <c r="X102" s="19"/>
      <c r="Y102" s="5"/>
      <c r="Z102" s="5"/>
      <c r="AA102" s="3"/>
      <c r="AB102" s="5"/>
      <c r="AC102" s="5"/>
      <c r="AD102" s="3"/>
      <c r="AE102" s="5"/>
    </row>
    <row r="103" spans="1:31" ht="15" hidden="1" customHeight="1" x14ac:dyDescent="0.2">
      <c r="A103" s="3"/>
      <c r="B103" s="338"/>
      <c r="C103" s="340"/>
      <c r="D103" s="8" t="s">
        <v>393</v>
      </c>
      <c r="E103" s="9" t="s">
        <v>34</v>
      </c>
      <c r="F103" s="9" t="s">
        <v>86</v>
      </c>
      <c r="G103" s="17" t="s">
        <v>425</v>
      </c>
      <c r="H103" s="9" t="s">
        <v>84</v>
      </c>
      <c r="I103" s="9" t="s">
        <v>382</v>
      </c>
      <c r="J103" s="9" t="s">
        <v>392</v>
      </c>
      <c r="K103" s="9" t="s">
        <v>33</v>
      </c>
      <c r="L103" s="9" t="s">
        <v>445</v>
      </c>
      <c r="M103" s="18" t="s">
        <v>13</v>
      </c>
      <c r="N103" s="12" t="str">
        <f t="shared" si="4"/>
        <v>RR4.P3.4-TED-CVD1-KCT -M3-S3-0001</v>
      </c>
      <c r="O103" s="9" t="s">
        <v>498</v>
      </c>
      <c r="P103" s="9">
        <v>120</v>
      </c>
      <c r="Q103" s="1">
        <v>300</v>
      </c>
      <c r="R103" s="1">
        <v>300</v>
      </c>
      <c r="S103" s="9" t="s">
        <v>411</v>
      </c>
      <c r="T103" s="9">
        <v>30</v>
      </c>
      <c r="U103" s="1">
        <v>300</v>
      </c>
      <c r="V103" s="1">
        <v>300</v>
      </c>
      <c r="W103" s="5"/>
      <c r="X103" s="19"/>
      <c r="Y103" s="5"/>
      <c r="Z103" s="5"/>
      <c r="AA103" s="3"/>
      <c r="AB103" s="5"/>
      <c r="AC103" s="5"/>
      <c r="AD103" s="3"/>
      <c r="AE103" s="5"/>
    </row>
    <row r="104" spans="1:31" ht="15" hidden="1" customHeight="1" x14ac:dyDescent="0.2">
      <c r="A104" s="3"/>
      <c r="B104" s="338"/>
      <c r="C104" s="340"/>
      <c r="D104" s="8" t="s">
        <v>413</v>
      </c>
      <c r="E104" s="9" t="s">
        <v>34</v>
      </c>
      <c r="F104" s="9" t="s">
        <v>86</v>
      </c>
      <c r="G104" s="17" t="s">
        <v>425</v>
      </c>
      <c r="H104" s="9" t="s">
        <v>84</v>
      </c>
      <c r="I104" s="9" t="s">
        <v>382</v>
      </c>
      <c r="J104" s="9" t="s">
        <v>46</v>
      </c>
      <c r="K104" s="9" t="s">
        <v>33</v>
      </c>
      <c r="L104" s="9" t="s">
        <v>445</v>
      </c>
      <c r="M104" s="18" t="s">
        <v>13</v>
      </c>
      <c r="N104" s="12" t="str">
        <f t="shared" si="4"/>
        <v>RR4.P3.4-TED-CVD1-MIS-M3-S3-0001</v>
      </c>
      <c r="O104" s="9" t="s">
        <v>498</v>
      </c>
      <c r="P104" s="9">
        <v>120</v>
      </c>
      <c r="Q104" s="1">
        <v>300</v>
      </c>
      <c r="R104" s="1">
        <v>300</v>
      </c>
      <c r="S104" s="9" t="s">
        <v>411</v>
      </c>
      <c r="T104" s="9">
        <v>30</v>
      </c>
      <c r="U104" s="1">
        <v>300</v>
      </c>
      <c r="V104" s="1">
        <v>300</v>
      </c>
      <c r="W104" s="5"/>
      <c r="X104" s="19"/>
      <c r="Y104" s="5"/>
      <c r="Z104" s="5"/>
      <c r="AA104" s="3"/>
      <c r="AB104" s="5"/>
      <c r="AC104" s="5"/>
      <c r="AD104" s="3"/>
      <c r="AE104" s="5"/>
    </row>
    <row r="105" spans="1:31" ht="15" hidden="1" customHeight="1" x14ac:dyDescent="0.2">
      <c r="A105" s="3"/>
      <c r="B105" s="338"/>
      <c r="C105" s="341"/>
      <c r="D105" s="8" t="s">
        <v>308</v>
      </c>
      <c r="E105" s="9" t="s">
        <v>34</v>
      </c>
      <c r="F105" s="9" t="s">
        <v>86</v>
      </c>
      <c r="G105" s="17" t="s">
        <v>425</v>
      </c>
      <c r="H105" s="9" t="s">
        <v>84</v>
      </c>
      <c r="I105" s="9" t="s">
        <v>382</v>
      </c>
      <c r="J105" s="9" t="s">
        <v>46</v>
      </c>
      <c r="K105" s="9" t="s">
        <v>33</v>
      </c>
      <c r="L105" s="9" t="s">
        <v>445</v>
      </c>
      <c r="M105" s="18" t="s">
        <v>13</v>
      </c>
      <c r="N105" s="12" t="str">
        <f t="shared" si="4"/>
        <v>RR4.P3.4-TED-CVD1-MIS-M3-S3-0001</v>
      </c>
      <c r="O105" s="9" t="s">
        <v>498</v>
      </c>
      <c r="P105" s="9">
        <v>120</v>
      </c>
      <c r="Q105" s="1">
        <v>300</v>
      </c>
      <c r="R105" s="1">
        <v>300</v>
      </c>
      <c r="S105" s="9" t="s">
        <v>411</v>
      </c>
      <c r="T105" s="9">
        <v>30</v>
      </c>
      <c r="U105" s="1">
        <v>300</v>
      </c>
      <c r="V105" s="1">
        <v>300</v>
      </c>
      <c r="W105" s="5"/>
      <c r="X105" s="19"/>
      <c r="Y105" s="5"/>
      <c r="Z105" s="5"/>
      <c r="AA105" s="3"/>
      <c r="AB105" s="5"/>
      <c r="AC105" s="5"/>
      <c r="AD105" s="3"/>
      <c r="AE105" s="5"/>
    </row>
    <row r="106" spans="1:31" ht="15" hidden="1" customHeight="1" x14ac:dyDescent="0.2">
      <c r="A106" s="3"/>
      <c r="B106" s="338"/>
      <c r="C106" s="339" t="s">
        <v>430</v>
      </c>
      <c r="D106" s="8" t="s">
        <v>409</v>
      </c>
      <c r="E106" s="9" t="s">
        <v>34</v>
      </c>
      <c r="F106" s="9" t="s">
        <v>86</v>
      </c>
      <c r="G106" s="17" t="s">
        <v>425</v>
      </c>
      <c r="H106" s="9" t="s">
        <v>84</v>
      </c>
      <c r="I106" s="9" t="s">
        <v>386</v>
      </c>
      <c r="J106" s="9" t="s">
        <v>394</v>
      </c>
      <c r="K106" s="9" t="s">
        <v>33</v>
      </c>
      <c r="L106" s="9" t="s">
        <v>445</v>
      </c>
      <c r="M106" s="18" t="s">
        <v>13</v>
      </c>
      <c r="N106" s="12" t="str">
        <f t="shared" si="4"/>
        <v>RR4.P3.4-TED-CBS1-KCD -M3-S3-0001</v>
      </c>
      <c r="O106" s="9" t="s">
        <v>498</v>
      </c>
      <c r="P106" s="9">
        <v>120</v>
      </c>
      <c r="Q106" s="1">
        <v>300</v>
      </c>
      <c r="R106" s="1">
        <v>300</v>
      </c>
      <c r="S106" s="9" t="s">
        <v>411</v>
      </c>
      <c r="T106" s="9">
        <v>30</v>
      </c>
      <c r="U106" s="1">
        <v>300</v>
      </c>
      <c r="V106" s="1">
        <v>300</v>
      </c>
      <c r="W106" s="5"/>
      <c r="X106" s="19"/>
      <c r="Y106" s="5"/>
      <c r="Z106" s="5"/>
      <c r="AA106" s="3"/>
      <c r="AB106" s="5"/>
      <c r="AC106" s="5"/>
      <c r="AD106" s="3"/>
      <c r="AE106" s="5"/>
    </row>
    <row r="107" spans="1:31" ht="15" hidden="1" customHeight="1" x14ac:dyDescent="0.2">
      <c r="A107" s="3"/>
      <c r="B107" s="338"/>
      <c r="C107" s="340"/>
      <c r="D107" s="8" t="s">
        <v>393</v>
      </c>
      <c r="E107" s="9" t="s">
        <v>34</v>
      </c>
      <c r="F107" s="9" t="s">
        <v>86</v>
      </c>
      <c r="G107" s="17" t="s">
        <v>425</v>
      </c>
      <c r="H107" s="9" t="s">
        <v>84</v>
      </c>
      <c r="I107" s="9" t="s">
        <v>386</v>
      </c>
      <c r="J107" s="9" t="s">
        <v>392</v>
      </c>
      <c r="K107" s="9" t="s">
        <v>33</v>
      </c>
      <c r="L107" s="9" t="s">
        <v>445</v>
      </c>
      <c r="M107" s="18" t="s">
        <v>13</v>
      </c>
      <c r="N107" s="12" t="str">
        <f t="shared" si="4"/>
        <v>RR4.P3.4-TED-CBS1-KCT -M3-S3-0001</v>
      </c>
      <c r="O107" s="9" t="s">
        <v>498</v>
      </c>
      <c r="P107" s="9">
        <v>120</v>
      </c>
      <c r="Q107" s="1">
        <v>300</v>
      </c>
      <c r="R107" s="1">
        <v>300</v>
      </c>
      <c r="S107" s="9" t="s">
        <v>411</v>
      </c>
      <c r="T107" s="9">
        <v>30</v>
      </c>
      <c r="U107" s="1">
        <v>300</v>
      </c>
      <c r="V107" s="1">
        <v>300</v>
      </c>
      <c r="W107" s="5"/>
      <c r="X107" s="19"/>
      <c r="Y107" s="5"/>
      <c r="Z107" s="5"/>
      <c r="AA107" s="3"/>
      <c r="AB107" s="5"/>
      <c r="AC107" s="5"/>
      <c r="AD107" s="3"/>
      <c r="AE107" s="5"/>
    </row>
    <row r="108" spans="1:31" ht="15" hidden="1" customHeight="1" x14ac:dyDescent="0.2">
      <c r="A108" s="3"/>
      <c r="B108" s="338"/>
      <c r="C108" s="340"/>
      <c r="D108" s="8" t="s">
        <v>413</v>
      </c>
      <c r="E108" s="9" t="s">
        <v>34</v>
      </c>
      <c r="F108" s="9" t="s">
        <v>86</v>
      </c>
      <c r="G108" s="17" t="s">
        <v>425</v>
      </c>
      <c r="H108" s="9" t="s">
        <v>84</v>
      </c>
      <c r="I108" s="9" t="s">
        <v>386</v>
      </c>
      <c r="J108" s="9" t="s">
        <v>46</v>
      </c>
      <c r="K108" s="9" t="s">
        <v>33</v>
      </c>
      <c r="L108" s="9" t="s">
        <v>445</v>
      </c>
      <c r="M108" s="18" t="s">
        <v>13</v>
      </c>
      <c r="N108" s="12" t="str">
        <f t="shared" si="4"/>
        <v>RR4.P3.4-TED-CBS1-MIS-M3-S3-0001</v>
      </c>
      <c r="O108" s="9" t="s">
        <v>498</v>
      </c>
      <c r="P108" s="9">
        <v>120</v>
      </c>
      <c r="Q108" s="1">
        <v>300</v>
      </c>
      <c r="R108" s="1">
        <v>300</v>
      </c>
      <c r="S108" s="9" t="s">
        <v>411</v>
      </c>
      <c r="T108" s="9">
        <v>30</v>
      </c>
      <c r="U108" s="1">
        <v>300</v>
      </c>
      <c r="V108" s="1">
        <v>300</v>
      </c>
      <c r="W108" s="5"/>
      <c r="X108" s="19"/>
      <c r="Y108" s="5"/>
      <c r="Z108" s="5"/>
      <c r="AA108" s="3"/>
      <c r="AB108" s="5"/>
      <c r="AC108" s="5"/>
      <c r="AD108" s="3"/>
      <c r="AE108" s="5"/>
    </row>
    <row r="109" spans="1:31" ht="15" hidden="1" customHeight="1" x14ac:dyDescent="0.2">
      <c r="A109" s="3"/>
      <c r="B109" s="338"/>
      <c r="C109" s="340"/>
      <c r="D109" s="8" t="s">
        <v>308</v>
      </c>
      <c r="E109" s="9" t="s">
        <v>34</v>
      </c>
      <c r="F109" s="9" t="s">
        <v>86</v>
      </c>
      <c r="G109" s="17" t="s">
        <v>425</v>
      </c>
      <c r="H109" s="9" t="s">
        <v>84</v>
      </c>
      <c r="I109" s="9" t="s">
        <v>386</v>
      </c>
      <c r="J109" s="9" t="s">
        <v>46</v>
      </c>
      <c r="K109" s="9" t="s">
        <v>33</v>
      </c>
      <c r="L109" s="9" t="s">
        <v>445</v>
      </c>
      <c r="M109" s="18" t="s">
        <v>13</v>
      </c>
      <c r="N109" s="12" t="str">
        <f t="shared" si="4"/>
        <v>RR4.P3.4-TED-CBS1-MIS-M3-S3-0001</v>
      </c>
      <c r="O109" s="9" t="s">
        <v>498</v>
      </c>
      <c r="P109" s="9">
        <v>120</v>
      </c>
      <c r="Q109" s="1">
        <v>300</v>
      </c>
      <c r="R109" s="1">
        <v>300</v>
      </c>
      <c r="S109" s="9" t="s">
        <v>411</v>
      </c>
      <c r="T109" s="9">
        <v>30</v>
      </c>
      <c r="U109" s="1">
        <v>300</v>
      </c>
      <c r="V109" s="1">
        <v>300</v>
      </c>
      <c r="W109" s="5"/>
      <c r="X109" s="19"/>
      <c r="Y109" s="5"/>
      <c r="Z109" s="5"/>
      <c r="AA109" s="3"/>
      <c r="AB109" s="5"/>
      <c r="AC109" s="5"/>
      <c r="AD109" s="3"/>
      <c r="AE109" s="5"/>
    </row>
    <row r="110" spans="1:31" ht="15" hidden="1" customHeight="1" x14ac:dyDescent="0.2">
      <c r="A110" s="3"/>
      <c r="B110" s="338"/>
      <c r="C110" s="339" t="s">
        <v>431</v>
      </c>
      <c r="D110" s="8" t="s">
        <v>414</v>
      </c>
      <c r="E110" s="9" t="s">
        <v>34</v>
      </c>
      <c r="F110" s="9" t="s">
        <v>86</v>
      </c>
      <c r="G110" s="17" t="s">
        <v>425</v>
      </c>
      <c r="H110" s="9" t="s">
        <v>84</v>
      </c>
      <c r="I110" s="9" t="s">
        <v>390</v>
      </c>
      <c r="J110" s="9" t="s">
        <v>394</v>
      </c>
      <c r="K110" s="9" t="s">
        <v>33</v>
      </c>
      <c r="L110" s="9" t="s">
        <v>445</v>
      </c>
      <c r="M110" s="18" t="s">
        <v>13</v>
      </c>
      <c r="N110" s="12" t="str">
        <f t="shared" si="4"/>
        <v>RR4.P3.4-TED-CCVS-KCD -M3-S3-0001</v>
      </c>
      <c r="O110" s="9" t="s">
        <v>498</v>
      </c>
      <c r="P110" s="9">
        <v>150</v>
      </c>
      <c r="Q110" s="1">
        <v>300</v>
      </c>
      <c r="R110" s="1">
        <v>300</v>
      </c>
      <c r="S110" s="9" t="s">
        <v>411</v>
      </c>
      <c r="T110" s="9">
        <v>30</v>
      </c>
      <c r="U110" s="1">
        <v>300</v>
      </c>
      <c r="V110" s="1">
        <v>300</v>
      </c>
      <c r="W110" s="5"/>
      <c r="X110" s="19"/>
      <c r="Y110" s="5"/>
      <c r="Z110" s="5"/>
      <c r="AA110" s="3"/>
      <c r="AB110" s="5"/>
      <c r="AC110" s="5"/>
      <c r="AD110" s="3"/>
      <c r="AE110" s="5"/>
    </row>
    <row r="111" spans="1:31" ht="15" hidden="1" customHeight="1" x14ac:dyDescent="0.2">
      <c r="A111" s="3"/>
      <c r="B111" s="338"/>
      <c r="C111" s="342"/>
      <c r="D111" s="8" t="s">
        <v>415</v>
      </c>
      <c r="E111" s="9" t="s">
        <v>34</v>
      </c>
      <c r="F111" s="9" t="s">
        <v>86</v>
      </c>
      <c r="G111" s="17" t="s">
        <v>425</v>
      </c>
      <c r="H111" s="9" t="s">
        <v>84</v>
      </c>
      <c r="I111" s="9" t="s">
        <v>390</v>
      </c>
      <c r="J111" s="9" t="s">
        <v>394</v>
      </c>
      <c r="K111" s="9" t="s">
        <v>33</v>
      </c>
      <c r="L111" s="9" t="s">
        <v>445</v>
      </c>
      <c r="M111" s="18" t="s">
        <v>17</v>
      </c>
      <c r="N111" s="12" t="str">
        <f t="shared" si="4"/>
        <v>RR4.P3.4-TED-CCVS-KCD -M3-S3-0002</v>
      </c>
      <c r="O111" s="9" t="s">
        <v>498</v>
      </c>
      <c r="P111" s="9">
        <v>150</v>
      </c>
      <c r="Q111" s="1">
        <v>300</v>
      </c>
      <c r="R111" s="1">
        <v>300</v>
      </c>
      <c r="S111" s="9" t="s">
        <v>411</v>
      </c>
      <c r="T111" s="9">
        <v>30</v>
      </c>
      <c r="U111" s="1">
        <v>300</v>
      </c>
      <c r="V111" s="1">
        <v>300</v>
      </c>
      <c r="W111" s="5"/>
      <c r="X111" s="19"/>
      <c r="Y111" s="5"/>
      <c r="Z111" s="5"/>
      <c r="AA111" s="3"/>
      <c r="AB111" s="5"/>
      <c r="AC111" s="5"/>
      <c r="AD111" s="3"/>
      <c r="AE111" s="5"/>
    </row>
    <row r="112" spans="1:31" ht="15" hidden="1" customHeight="1" x14ac:dyDescent="0.2">
      <c r="A112" s="3"/>
      <c r="B112" s="338"/>
      <c r="C112" s="342"/>
      <c r="D112" s="8" t="s">
        <v>416</v>
      </c>
      <c r="E112" s="9" t="s">
        <v>34</v>
      </c>
      <c r="F112" s="9" t="s">
        <v>86</v>
      </c>
      <c r="G112" s="17" t="s">
        <v>425</v>
      </c>
      <c r="H112" s="9" t="s">
        <v>84</v>
      </c>
      <c r="I112" s="9" t="s">
        <v>390</v>
      </c>
      <c r="J112" s="9" t="s">
        <v>394</v>
      </c>
      <c r="K112" s="9" t="s">
        <v>33</v>
      </c>
      <c r="L112" s="9" t="s">
        <v>445</v>
      </c>
      <c r="M112" s="18" t="s">
        <v>90</v>
      </c>
      <c r="N112" s="12" t="str">
        <f t="shared" si="4"/>
        <v>RR4.P3.4-TED-CCVS-KCD -M3-S3-0003</v>
      </c>
      <c r="O112" s="9" t="s">
        <v>498</v>
      </c>
      <c r="P112" s="9">
        <v>150</v>
      </c>
      <c r="Q112" s="1">
        <v>300</v>
      </c>
      <c r="R112" s="1">
        <v>300</v>
      </c>
      <c r="S112" s="9" t="s">
        <v>411</v>
      </c>
      <c r="T112" s="9">
        <v>30</v>
      </c>
      <c r="U112" s="1">
        <v>300</v>
      </c>
      <c r="V112" s="1">
        <v>300</v>
      </c>
      <c r="W112" s="5"/>
      <c r="X112" s="19"/>
      <c r="Y112" s="5"/>
      <c r="Z112" s="5"/>
      <c r="AA112" s="3"/>
      <c r="AB112" s="5"/>
      <c r="AC112" s="5"/>
      <c r="AD112" s="3"/>
      <c r="AE112" s="5"/>
    </row>
    <row r="113" spans="1:31" ht="15" hidden="1" customHeight="1" x14ac:dyDescent="0.2">
      <c r="A113" s="3"/>
      <c r="B113" s="338"/>
      <c r="C113" s="342"/>
      <c r="D113" s="8" t="s">
        <v>417</v>
      </c>
      <c r="E113" s="9" t="s">
        <v>34</v>
      </c>
      <c r="F113" s="9" t="s">
        <v>86</v>
      </c>
      <c r="G113" s="17" t="s">
        <v>425</v>
      </c>
      <c r="H113" s="9" t="s">
        <v>84</v>
      </c>
      <c r="I113" s="9" t="s">
        <v>390</v>
      </c>
      <c r="J113" s="9" t="s">
        <v>392</v>
      </c>
      <c r="K113" s="9" t="s">
        <v>33</v>
      </c>
      <c r="L113" s="9" t="s">
        <v>445</v>
      </c>
      <c r="M113" s="18" t="s">
        <v>13</v>
      </c>
      <c r="N113" s="12" t="str">
        <f t="shared" si="4"/>
        <v>RR4.P3.4-TED-CCVS-KCT -M3-S3-0001</v>
      </c>
      <c r="O113" s="9" t="s">
        <v>498</v>
      </c>
      <c r="P113" s="9">
        <v>150</v>
      </c>
      <c r="Q113" s="1">
        <v>300</v>
      </c>
      <c r="R113" s="1">
        <v>300</v>
      </c>
      <c r="S113" s="9" t="s">
        <v>411</v>
      </c>
      <c r="T113" s="9">
        <v>30</v>
      </c>
      <c r="U113" s="1">
        <v>300</v>
      </c>
      <c r="V113" s="1">
        <v>300</v>
      </c>
      <c r="W113" s="5"/>
      <c r="X113" s="19"/>
      <c r="Y113" s="5"/>
      <c r="Z113" s="5"/>
      <c r="AA113" s="3"/>
      <c r="AB113" s="5"/>
      <c r="AC113" s="5"/>
      <c r="AD113" s="3"/>
      <c r="AE113" s="5"/>
    </row>
    <row r="114" spans="1:31" ht="15" hidden="1" customHeight="1" x14ac:dyDescent="0.2">
      <c r="A114" s="3"/>
      <c r="B114" s="338"/>
      <c r="C114" s="342"/>
      <c r="D114" s="8" t="s">
        <v>418</v>
      </c>
      <c r="E114" s="9" t="s">
        <v>34</v>
      </c>
      <c r="F114" s="9" t="s">
        <v>86</v>
      </c>
      <c r="G114" s="17" t="s">
        <v>425</v>
      </c>
      <c r="H114" s="9" t="s">
        <v>84</v>
      </c>
      <c r="I114" s="9" t="s">
        <v>390</v>
      </c>
      <c r="J114" s="9" t="s">
        <v>392</v>
      </c>
      <c r="K114" s="9" t="s">
        <v>33</v>
      </c>
      <c r="L114" s="9" t="s">
        <v>445</v>
      </c>
      <c r="M114" s="18" t="s">
        <v>17</v>
      </c>
      <c r="N114" s="12" t="str">
        <f t="shared" si="4"/>
        <v>RR4.P3.4-TED-CCVS-KCT -M3-S3-0002</v>
      </c>
      <c r="O114" s="9" t="s">
        <v>498</v>
      </c>
      <c r="P114" s="9">
        <v>150</v>
      </c>
      <c r="Q114" s="1">
        <v>300</v>
      </c>
      <c r="R114" s="1">
        <v>300</v>
      </c>
      <c r="S114" s="9" t="s">
        <v>411</v>
      </c>
      <c r="T114" s="9">
        <v>30</v>
      </c>
      <c r="U114" s="1">
        <v>300</v>
      </c>
      <c r="V114" s="1">
        <v>300</v>
      </c>
      <c r="W114" s="5"/>
      <c r="X114" s="19"/>
      <c r="Y114" s="5"/>
      <c r="Z114" s="5"/>
      <c r="AA114" s="3"/>
      <c r="AB114" s="5"/>
      <c r="AC114" s="5"/>
      <c r="AD114" s="3"/>
      <c r="AE114" s="5"/>
    </row>
    <row r="115" spans="1:31" ht="15" hidden="1" customHeight="1" x14ac:dyDescent="0.2">
      <c r="A115" s="3"/>
      <c r="B115" s="338"/>
      <c r="C115" s="342"/>
      <c r="D115" s="8" t="s">
        <v>419</v>
      </c>
      <c r="E115" s="9" t="s">
        <v>34</v>
      </c>
      <c r="F115" s="9" t="s">
        <v>86</v>
      </c>
      <c r="G115" s="17" t="s">
        <v>425</v>
      </c>
      <c r="H115" s="9" t="s">
        <v>84</v>
      </c>
      <c r="I115" s="9" t="s">
        <v>390</v>
      </c>
      <c r="J115" s="9" t="s">
        <v>392</v>
      </c>
      <c r="K115" s="9" t="s">
        <v>33</v>
      </c>
      <c r="L115" s="9" t="s">
        <v>445</v>
      </c>
      <c r="M115" s="18" t="s">
        <v>90</v>
      </c>
      <c r="N115" s="12" t="str">
        <f t="shared" si="4"/>
        <v>RR4.P3.4-TED-CCVS-KCT -M3-S3-0003</v>
      </c>
      <c r="O115" s="9" t="s">
        <v>498</v>
      </c>
      <c r="P115" s="9">
        <v>150</v>
      </c>
      <c r="Q115" s="1">
        <v>300</v>
      </c>
      <c r="R115" s="1">
        <v>300</v>
      </c>
      <c r="S115" s="9" t="s">
        <v>411</v>
      </c>
      <c r="T115" s="9">
        <v>30</v>
      </c>
      <c r="U115" s="1">
        <v>300</v>
      </c>
      <c r="V115" s="1">
        <v>300</v>
      </c>
      <c r="W115" s="5"/>
      <c r="X115" s="19"/>
      <c r="Y115" s="5"/>
      <c r="Z115" s="5"/>
      <c r="AA115" s="3"/>
      <c r="AB115" s="5"/>
      <c r="AC115" s="5"/>
      <c r="AD115" s="3"/>
      <c r="AE115" s="5"/>
    </row>
    <row r="116" spans="1:31" ht="15" hidden="1" customHeight="1" x14ac:dyDescent="0.2">
      <c r="A116" s="3"/>
      <c r="B116" s="338"/>
      <c r="C116" s="342"/>
      <c r="D116" s="8" t="s">
        <v>413</v>
      </c>
      <c r="E116" s="9" t="s">
        <v>34</v>
      </c>
      <c r="F116" s="9" t="s">
        <v>86</v>
      </c>
      <c r="G116" s="17" t="s">
        <v>425</v>
      </c>
      <c r="H116" s="9" t="s">
        <v>84</v>
      </c>
      <c r="I116" s="9" t="s">
        <v>390</v>
      </c>
      <c r="J116" s="9" t="s">
        <v>46</v>
      </c>
      <c r="K116" s="9" t="s">
        <v>33</v>
      </c>
      <c r="L116" s="9" t="s">
        <v>445</v>
      </c>
      <c r="M116" s="18" t="s">
        <v>13</v>
      </c>
      <c r="N116" s="12" t="str">
        <f t="shared" si="4"/>
        <v>RR4.P3.4-TED-CCVS-MIS-M3-S3-0001</v>
      </c>
      <c r="O116" s="9" t="s">
        <v>498</v>
      </c>
      <c r="P116" s="9">
        <v>150</v>
      </c>
      <c r="Q116" s="1">
        <v>300</v>
      </c>
      <c r="R116" s="1">
        <v>300</v>
      </c>
      <c r="S116" s="9" t="s">
        <v>411</v>
      </c>
      <c r="T116" s="9">
        <v>30</v>
      </c>
      <c r="U116" s="1">
        <v>300</v>
      </c>
      <c r="V116" s="1">
        <v>300</v>
      </c>
      <c r="W116" s="5"/>
      <c r="X116" s="19"/>
      <c r="Y116" s="5"/>
      <c r="Z116" s="5"/>
      <c r="AA116" s="3"/>
      <c r="AB116" s="5"/>
      <c r="AC116" s="5"/>
      <c r="AD116" s="3"/>
      <c r="AE116" s="5"/>
    </row>
    <row r="117" spans="1:31" ht="15" hidden="1" customHeight="1" x14ac:dyDescent="0.2">
      <c r="A117" s="3"/>
      <c r="B117" s="338"/>
      <c r="C117" s="340"/>
      <c r="D117" s="8" t="s">
        <v>308</v>
      </c>
      <c r="E117" s="9" t="s">
        <v>34</v>
      </c>
      <c r="F117" s="9" t="s">
        <v>86</v>
      </c>
      <c r="G117" s="17" t="s">
        <v>425</v>
      </c>
      <c r="H117" s="9" t="s">
        <v>84</v>
      </c>
      <c r="I117" s="9" t="s">
        <v>390</v>
      </c>
      <c r="J117" s="9" t="s">
        <v>46</v>
      </c>
      <c r="K117" s="9" t="s">
        <v>33</v>
      </c>
      <c r="L117" s="9" t="s">
        <v>445</v>
      </c>
      <c r="M117" s="18" t="s">
        <v>13</v>
      </c>
      <c r="N117" s="12" t="str">
        <f t="shared" si="4"/>
        <v>RR4.P3.4-TED-CCVS-MIS-M3-S3-0001</v>
      </c>
      <c r="O117" s="9" t="s">
        <v>498</v>
      </c>
      <c r="P117" s="9">
        <v>120</v>
      </c>
      <c r="Q117" s="1">
        <v>300</v>
      </c>
      <c r="R117" s="1">
        <v>300</v>
      </c>
      <c r="S117" s="9" t="s">
        <v>411</v>
      </c>
      <c r="T117" s="9">
        <v>30</v>
      </c>
      <c r="U117" s="1">
        <v>300</v>
      </c>
      <c r="V117" s="1">
        <v>300</v>
      </c>
      <c r="W117" s="5"/>
      <c r="X117" s="19"/>
      <c r="Y117" s="5"/>
      <c r="Z117" s="5"/>
      <c r="AA117" s="3"/>
      <c r="AB117" s="5"/>
      <c r="AC117" s="5"/>
      <c r="AD117" s="3"/>
      <c r="AE117" s="5"/>
    </row>
    <row r="118" spans="1:31" ht="15" hidden="1" customHeight="1" x14ac:dyDescent="0.2">
      <c r="A118" s="3"/>
      <c r="B118" s="338"/>
      <c r="C118" s="339" t="s">
        <v>432</v>
      </c>
      <c r="D118" s="8" t="s">
        <v>409</v>
      </c>
      <c r="E118" s="9" t="s">
        <v>34</v>
      </c>
      <c r="F118" s="9" t="s">
        <v>86</v>
      </c>
      <c r="G118" s="17" t="s">
        <v>425</v>
      </c>
      <c r="H118" s="9" t="s">
        <v>84</v>
      </c>
      <c r="I118" s="9" t="s">
        <v>388</v>
      </c>
      <c r="J118" s="9" t="s">
        <v>394</v>
      </c>
      <c r="K118" s="9" t="s">
        <v>33</v>
      </c>
      <c r="L118" s="9" t="s">
        <v>445</v>
      </c>
      <c r="M118" s="18" t="s">
        <v>13</v>
      </c>
      <c r="N118" s="12" t="str">
        <f t="shared" si="4"/>
        <v>RR4.P3.4-TED-CBS2-KCD -M3-S3-0001</v>
      </c>
      <c r="O118" s="9" t="s">
        <v>498</v>
      </c>
      <c r="P118" s="9">
        <v>120</v>
      </c>
      <c r="Q118" s="1">
        <v>300</v>
      </c>
      <c r="R118" s="1">
        <v>300</v>
      </c>
      <c r="S118" s="9" t="s">
        <v>411</v>
      </c>
      <c r="T118" s="9">
        <v>30</v>
      </c>
      <c r="U118" s="1">
        <v>300</v>
      </c>
      <c r="V118" s="1">
        <v>300</v>
      </c>
      <c r="W118" s="5"/>
      <c r="X118" s="19"/>
      <c r="Y118" s="5"/>
      <c r="Z118" s="5"/>
      <c r="AA118" s="3"/>
      <c r="AB118" s="5"/>
      <c r="AC118" s="5"/>
      <c r="AD118" s="3"/>
      <c r="AE118" s="5"/>
    </row>
    <row r="119" spans="1:31" ht="15" hidden="1" customHeight="1" x14ac:dyDescent="0.2">
      <c r="A119" s="3"/>
      <c r="B119" s="338"/>
      <c r="C119" s="340"/>
      <c r="D119" s="8" t="s">
        <v>393</v>
      </c>
      <c r="E119" s="9" t="s">
        <v>34</v>
      </c>
      <c r="F119" s="9" t="s">
        <v>86</v>
      </c>
      <c r="G119" s="17" t="s">
        <v>425</v>
      </c>
      <c r="H119" s="9" t="s">
        <v>84</v>
      </c>
      <c r="I119" s="9" t="s">
        <v>388</v>
      </c>
      <c r="J119" s="9" t="s">
        <v>392</v>
      </c>
      <c r="K119" s="9" t="s">
        <v>33</v>
      </c>
      <c r="L119" s="9" t="s">
        <v>445</v>
      </c>
      <c r="M119" s="18" t="s">
        <v>13</v>
      </c>
      <c r="N119" s="12" t="str">
        <f t="shared" si="4"/>
        <v>RR4.P3.4-TED-CBS2-KCT -M3-S3-0001</v>
      </c>
      <c r="O119" s="9" t="s">
        <v>498</v>
      </c>
      <c r="P119" s="9">
        <v>120</v>
      </c>
      <c r="Q119" s="1">
        <v>350</v>
      </c>
      <c r="R119" s="1">
        <v>350</v>
      </c>
      <c r="S119" s="9" t="s">
        <v>411</v>
      </c>
      <c r="T119" s="9">
        <v>30</v>
      </c>
      <c r="U119" s="1">
        <v>350</v>
      </c>
      <c r="V119" s="1">
        <v>350</v>
      </c>
      <c r="W119" s="5"/>
      <c r="X119" s="19"/>
      <c r="Y119" s="5"/>
      <c r="Z119" s="5"/>
      <c r="AA119" s="3"/>
      <c r="AB119" s="5"/>
      <c r="AC119" s="5"/>
      <c r="AD119" s="3"/>
      <c r="AE119" s="5"/>
    </row>
    <row r="120" spans="1:31" ht="15" hidden="1" customHeight="1" x14ac:dyDescent="0.2">
      <c r="A120" s="3"/>
      <c r="B120" s="338"/>
      <c r="C120" s="340"/>
      <c r="D120" s="8" t="s">
        <v>413</v>
      </c>
      <c r="E120" s="9" t="s">
        <v>34</v>
      </c>
      <c r="F120" s="9" t="s">
        <v>86</v>
      </c>
      <c r="G120" s="17" t="s">
        <v>425</v>
      </c>
      <c r="H120" s="9" t="s">
        <v>84</v>
      </c>
      <c r="I120" s="9" t="s">
        <v>388</v>
      </c>
      <c r="J120" s="9" t="s">
        <v>46</v>
      </c>
      <c r="K120" s="9" t="s">
        <v>33</v>
      </c>
      <c r="L120" s="9" t="s">
        <v>445</v>
      </c>
      <c r="M120" s="18" t="s">
        <v>13</v>
      </c>
      <c r="N120" s="12" t="str">
        <f t="shared" si="4"/>
        <v>RR4.P3.4-TED-CBS2-MIS-M3-S3-0001</v>
      </c>
      <c r="O120" s="9" t="s">
        <v>498</v>
      </c>
      <c r="P120" s="9">
        <v>120</v>
      </c>
      <c r="Q120" s="1">
        <v>350</v>
      </c>
      <c r="R120" s="1">
        <v>350</v>
      </c>
      <c r="S120" s="9" t="s">
        <v>411</v>
      </c>
      <c r="T120" s="9">
        <v>30</v>
      </c>
      <c r="U120" s="1">
        <v>350</v>
      </c>
      <c r="V120" s="1">
        <v>350</v>
      </c>
      <c r="W120" s="5"/>
      <c r="X120" s="19"/>
      <c r="Y120" s="5"/>
      <c r="Z120" s="5"/>
      <c r="AA120" s="3"/>
      <c r="AB120" s="5"/>
      <c r="AC120" s="5"/>
      <c r="AD120" s="3"/>
      <c r="AE120" s="5"/>
    </row>
    <row r="121" spans="1:31" ht="15" hidden="1" customHeight="1" x14ac:dyDescent="0.2">
      <c r="A121" s="3"/>
      <c r="B121" s="338"/>
      <c r="C121" s="340"/>
      <c r="D121" s="8" t="s">
        <v>308</v>
      </c>
      <c r="E121" s="9" t="s">
        <v>34</v>
      </c>
      <c r="F121" s="9" t="s">
        <v>86</v>
      </c>
      <c r="G121" s="17" t="s">
        <v>425</v>
      </c>
      <c r="H121" s="9" t="s">
        <v>84</v>
      </c>
      <c r="I121" s="9" t="s">
        <v>388</v>
      </c>
      <c r="J121" s="9" t="s">
        <v>46</v>
      </c>
      <c r="K121" s="9" t="s">
        <v>33</v>
      </c>
      <c r="L121" s="9" t="s">
        <v>445</v>
      </c>
      <c r="M121" s="18" t="s">
        <v>13</v>
      </c>
      <c r="N121" s="12" t="str">
        <f t="shared" si="4"/>
        <v>RR4.P3.4-TED-CBS2-MIS-M3-S3-0001</v>
      </c>
      <c r="O121" s="9" t="s">
        <v>498</v>
      </c>
      <c r="P121" s="9">
        <v>120</v>
      </c>
      <c r="Q121" s="1">
        <v>350</v>
      </c>
      <c r="R121" s="1">
        <v>350</v>
      </c>
      <c r="S121" s="9" t="s">
        <v>411</v>
      </c>
      <c r="T121" s="9">
        <v>30</v>
      </c>
      <c r="U121" s="1">
        <v>350</v>
      </c>
      <c r="V121" s="1">
        <v>350</v>
      </c>
      <c r="W121" s="5"/>
      <c r="X121" s="19"/>
      <c r="Y121" s="5"/>
      <c r="Z121" s="5"/>
      <c r="AA121" s="3"/>
      <c r="AB121" s="5"/>
      <c r="AC121" s="5"/>
      <c r="AD121" s="3"/>
      <c r="AE121" s="5"/>
    </row>
    <row r="122" spans="1:31" ht="15" hidden="1" customHeight="1" x14ac:dyDescent="0.2">
      <c r="A122" s="3"/>
      <c r="B122" s="338"/>
      <c r="C122" s="339" t="s">
        <v>433</v>
      </c>
      <c r="D122" s="8" t="s">
        <v>409</v>
      </c>
      <c r="E122" s="9" t="s">
        <v>34</v>
      </c>
      <c r="F122" s="9" t="s">
        <v>86</v>
      </c>
      <c r="G122" s="17" t="s">
        <v>425</v>
      </c>
      <c r="H122" s="9" t="s">
        <v>84</v>
      </c>
      <c r="I122" s="9" t="s">
        <v>384</v>
      </c>
      <c r="J122" s="9" t="s">
        <v>394</v>
      </c>
      <c r="K122" s="9" t="s">
        <v>33</v>
      </c>
      <c r="L122" s="9" t="s">
        <v>445</v>
      </c>
      <c r="M122" s="18" t="s">
        <v>13</v>
      </c>
      <c r="N122" s="12" t="str">
        <f t="shared" si="4"/>
        <v>RR4.P3.4-TED-CVD2-KCD -M3-S3-0001</v>
      </c>
      <c r="O122" s="9" t="s">
        <v>498</v>
      </c>
      <c r="P122" s="9">
        <v>120</v>
      </c>
      <c r="Q122" s="1">
        <v>350</v>
      </c>
      <c r="R122" s="1">
        <v>350</v>
      </c>
      <c r="S122" s="9" t="s">
        <v>411</v>
      </c>
      <c r="T122" s="9">
        <v>30</v>
      </c>
      <c r="U122" s="1">
        <v>350</v>
      </c>
      <c r="V122" s="1">
        <v>350</v>
      </c>
      <c r="W122" s="5"/>
      <c r="X122" s="19"/>
      <c r="Y122" s="5"/>
      <c r="Z122" s="5"/>
      <c r="AA122" s="3"/>
      <c r="AB122" s="5"/>
      <c r="AC122" s="5"/>
      <c r="AD122" s="3"/>
      <c r="AE122" s="5"/>
    </row>
    <row r="123" spans="1:31" ht="15" hidden="1" customHeight="1" x14ac:dyDescent="0.2">
      <c r="A123" s="3"/>
      <c r="B123" s="338"/>
      <c r="C123" s="340"/>
      <c r="D123" s="8" t="s">
        <v>393</v>
      </c>
      <c r="E123" s="9" t="s">
        <v>34</v>
      </c>
      <c r="F123" s="9" t="s">
        <v>86</v>
      </c>
      <c r="G123" s="17" t="s">
        <v>425</v>
      </c>
      <c r="H123" s="9" t="s">
        <v>84</v>
      </c>
      <c r="I123" s="9" t="s">
        <v>384</v>
      </c>
      <c r="J123" s="9" t="s">
        <v>392</v>
      </c>
      <c r="K123" s="9" t="s">
        <v>33</v>
      </c>
      <c r="L123" s="9" t="s">
        <v>445</v>
      </c>
      <c r="M123" s="18" t="s">
        <v>13</v>
      </c>
      <c r="N123" s="12" t="str">
        <f t="shared" si="4"/>
        <v>RR4.P3.4-TED-CVD2-KCT -M3-S3-0001</v>
      </c>
      <c r="O123" s="9" t="s">
        <v>498</v>
      </c>
      <c r="P123" s="9">
        <v>120</v>
      </c>
      <c r="Q123" s="1">
        <v>350</v>
      </c>
      <c r="R123" s="1">
        <v>350</v>
      </c>
      <c r="S123" s="9" t="s">
        <v>411</v>
      </c>
      <c r="T123" s="9">
        <v>30</v>
      </c>
      <c r="U123" s="1">
        <v>350</v>
      </c>
      <c r="V123" s="1">
        <v>350</v>
      </c>
      <c r="W123" s="5"/>
      <c r="X123" s="19"/>
      <c r="Y123" s="5"/>
      <c r="Z123" s="5"/>
      <c r="AA123" s="3"/>
      <c r="AB123" s="5"/>
      <c r="AC123" s="5"/>
      <c r="AD123" s="3"/>
      <c r="AE123" s="5"/>
    </row>
    <row r="124" spans="1:31" ht="15" hidden="1" customHeight="1" x14ac:dyDescent="0.2">
      <c r="A124" s="3"/>
      <c r="B124" s="338"/>
      <c r="C124" s="340"/>
      <c r="D124" s="8" t="s">
        <v>413</v>
      </c>
      <c r="E124" s="9" t="s">
        <v>34</v>
      </c>
      <c r="F124" s="9" t="s">
        <v>86</v>
      </c>
      <c r="G124" s="17" t="s">
        <v>425</v>
      </c>
      <c r="H124" s="9" t="s">
        <v>84</v>
      </c>
      <c r="I124" s="9" t="s">
        <v>384</v>
      </c>
      <c r="J124" s="9" t="s">
        <v>46</v>
      </c>
      <c r="K124" s="9" t="s">
        <v>33</v>
      </c>
      <c r="L124" s="9" t="s">
        <v>445</v>
      </c>
      <c r="M124" s="18" t="s">
        <v>13</v>
      </c>
      <c r="N124" s="12" t="str">
        <f t="shared" si="4"/>
        <v>RR4.P3.4-TED-CVD2-MIS-M3-S3-0001</v>
      </c>
      <c r="O124" s="9" t="s">
        <v>498</v>
      </c>
      <c r="P124" s="9">
        <v>120</v>
      </c>
      <c r="Q124" s="1">
        <v>300</v>
      </c>
      <c r="R124" s="1">
        <v>300</v>
      </c>
      <c r="S124" s="9" t="s">
        <v>411</v>
      </c>
      <c r="T124" s="9">
        <v>30</v>
      </c>
      <c r="U124" s="1">
        <v>300</v>
      </c>
      <c r="V124" s="1">
        <v>300</v>
      </c>
      <c r="W124" s="5"/>
      <c r="X124" s="19"/>
      <c r="Y124" s="5"/>
      <c r="Z124" s="5"/>
      <c r="AA124" s="3"/>
      <c r="AB124" s="5"/>
      <c r="AC124" s="5"/>
      <c r="AD124" s="3"/>
      <c r="AE124" s="5"/>
    </row>
    <row r="125" spans="1:31" ht="15" hidden="1" customHeight="1" x14ac:dyDescent="0.2">
      <c r="A125" s="3"/>
      <c r="B125" s="338"/>
      <c r="C125" s="340"/>
      <c r="D125" s="8" t="s">
        <v>308</v>
      </c>
      <c r="E125" s="9" t="s">
        <v>34</v>
      </c>
      <c r="F125" s="9" t="s">
        <v>86</v>
      </c>
      <c r="G125" s="17" t="s">
        <v>425</v>
      </c>
      <c r="H125" s="9" t="s">
        <v>84</v>
      </c>
      <c r="I125" s="9" t="s">
        <v>384</v>
      </c>
      <c r="J125" s="9" t="s">
        <v>46</v>
      </c>
      <c r="K125" s="9" t="s">
        <v>33</v>
      </c>
      <c r="L125" s="9" t="s">
        <v>445</v>
      </c>
      <c r="M125" s="18" t="s">
        <v>13</v>
      </c>
      <c r="N125" s="12" t="str">
        <f t="shared" si="4"/>
        <v>RR4.P3.4-TED-CVD2-MIS-M3-S3-0001</v>
      </c>
      <c r="O125" s="9" t="s">
        <v>498</v>
      </c>
      <c r="P125" s="9">
        <v>120</v>
      </c>
      <c r="Q125" s="1">
        <v>300</v>
      </c>
      <c r="R125" s="1">
        <v>300</v>
      </c>
      <c r="S125" s="9" t="s">
        <v>411</v>
      </c>
      <c r="T125" s="9">
        <v>30</v>
      </c>
      <c r="U125" s="1">
        <v>300</v>
      </c>
      <c r="V125" s="1">
        <v>300</v>
      </c>
      <c r="W125" s="5"/>
      <c r="X125" s="19"/>
      <c r="Y125" s="5"/>
      <c r="Z125" s="5"/>
      <c r="AA125" s="3"/>
      <c r="AB125" s="5"/>
      <c r="AC125" s="5"/>
      <c r="AD125" s="3"/>
      <c r="AE125" s="5"/>
    </row>
    <row r="126" spans="1:31" ht="15" hidden="1" customHeight="1" x14ac:dyDescent="0.2">
      <c r="A126" s="3"/>
      <c r="B126" s="338"/>
      <c r="C126" s="339" t="s">
        <v>434</v>
      </c>
      <c r="D126" s="8" t="s">
        <v>409</v>
      </c>
      <c r="E126" s="9" t="s">
        <v>34</v>
      </c>
      <c r="F126" s="9" t="s">
        <v>86</v>
      </c>
      <c r="G126" s="17" t="s">
        <v>425</v>
      </c>
      <c r="H126" s="9" t="s">
        <v>84</v>
      </c>
      <c r="I126" s="9" t="s">
        <v>388</v>
      </c>
      <c r="J126" s="9" t="s">
        <v>394</v>
      </c>
      <c r="K126" s="9" t="s">
        <v>33</v>
      </c>
      <c r="L126" s="9" t="s">
        <v>445</v>
      </c>
      <c r="M126" s="18" t="s">
        <v>13</v>
      </c>
      <c r="N126" s="12" t="str">
        <f t="shared" si="4"/>
        <v>RR4.P3.4-TED-CBS2-KCD -M3-S3-0001</v>
      </c>
      <c r="O126" s="9" t="s">
        <v>498</v>
      </c>
      <c r="P126" s="9">
        <v>120</v>
      </c>
      <c r="Q126" s="1">
        <v>300</v>
      </c>
      <c r="R126" s="1">
        <v>300</v>
      </c>
      <c r="S126" s="9" t="s">
        <v>411</v>
      </c>
      <c r="T126" s="9">
        <v>30</v>
      </c>
      <c r="U126" s="1">
        <v>300</v>
      </c>
      <c r="V126" s="1">
        <v>300</v>
      </c>
      <c r="W126" s="5"/>
      <c r="X126" s="19"/>
      <c r="Y126" s="5"/>
      <c r="Z126" s="5"/>
      <c r="AA126" s="3"/>
      <c r="AB126" s="5"/>
      <c r="AC126" s="5"/>
      <c r="AD126" s="3"/>
      <c r="AE126" s="5"/>
    </row>
    <row r="127" spans="1:31" ht="15" hidden="1" customHeight="1" x14ac:dyDescent="0.2">
      <c r="A127" s="3"/>
      <c r="B127" s="338"/>
      <c r="C127" s="340"/>
      <c r="D127" s="8" t="s">
        <v>393</v>
      </c>
      <c r="E127" s="9" t="s">
        <v>34</v>
      </c>
      <c r="F127" s="9" t="s">
        <v>86</v>
      </c>
      <c r="G127" s="17" t="s">
        <v>425</v>
      </c>
      <c r="H127" s="9" t="s">
        <v>84</v>
      </c>
      <c r="I127" s="9" t="s">
        <v>388</v>
      </c>
      <c r="J127" s="9" t="s">
        <v>392</v>
      </c>
      <c r="K127" s="9" t="s">
        <v>33</v>
      </c>
      <c r="L127" s="9" t="s">
        <v>445</v>
      </c>
      <c r="M127" s="18" t="s">
        <v>13</v>
      </c>
      <c r="N127" s="12" t="str">
        <f t="shared" si="4"/>
        <v>RR4.P3.4-TED-CBS2-KCT -M3-S3-0001</v>
      </c>
      <c r="O127" s="9" t="s">
        <v>498</v>
      </c>
      <c r="P127" s="9">
        <v>120</v>
      </c>
      <c r="Q127" s="1">
        <v>350</v>
      </c>
      <c r="R127" s="1">
        <v>350</v>
      </c>
      <c r="S127" s="9" t="s">
        <v>411</v>
      </c>
      <c r="T127" s="9">
        <v>30</v>
      </c>
      <c r="U127" s="1">
        <v>350</v>
      </c>
      <c r="V127" s="1">
        <v>350</v>
      </c>
      <c r="W127" s="5"/>
      <c r="X127" s="19"/>
      <c r="Y127" s="5"/>
      <c r="Z127" s="5"/>
      <c r="AA127" s="3"/>
      <c r="AB127" s="5"/>
      <c r="AC127" s="5"/>
      <c r="AD127" s="3"/>
      <c r="AE127" s="5"/>
    </row>
    <row r="128" spans="1:31" ht="15" hidden="1" customHeight="1" x14ac:dyDescent="0.2">
      <c r="A128" s="3"/>
      <c r="B128" s="338"/>
      <c r="C128" s="340"/>
      <c r="D128" s="8" t="s">
        <v>413</v>
      </c>
      <c r="E128" s="9" t="s">
        <v>34</v>
      </c>
      <c r="F128" s="9" t="s">
        <v>86</v>
      </c>
      <c r="G128" s="17" t="s">
        <v>425</v>
      </c>
      <c r="H128" s="9" t="s">
        <v>84</v>
      </c>
      <c r="I128" s="9" t="s">
        <v>388</v>
      </c>
      <c r="J128" s="9" t="s">
        <v>46</v>
      </c>
      <c r="K128" s="9" t="s">
        <v>33</v>
      </c>
      <c r="L128" s="9" t="s">
        <v>445</v>
      </c>
      <c r="M128" s="18" t="s">
        <v>13</v>
      </c>
      <c r="N128" s="12" t="str">
        <f t="shared" si="4"/>
        <v>RR4.P3.4-TED-CBS2-MIS-M3-S3-0001</v>
      </c>
      <c r="O128" s="9" t="s">
        <v>498</v>
      </c>
      <c r="P128" s="9">
        <v>120</v>
      </c>
      <c r="Q128" s="1">
        <v>350</v>
      </c>
      <c r="R128" s="1">
        <v>350</v>
      </c>
      <c r="S128" s="9" t="s">
        <v>411</v>
      </c>
      <c r="T128" s="9">
        <v>30</v>
      </c>
      <c r="U128" s="1">
        <v>350</v>
      </c>
      <c r="V128" s="1">
        <v>350</v>
      </c>
      <c r="W128" s="5"/>
      <c r="X128" s="19"/>
      <c r="Y128" s="5"/>
      <c r="Z128" s="5"/>
      <c r="AA128" s="3"/>
      <c r="AB128" s="5"/>
      <c r="AC128" s="5"/>
      <c r="AD128" s="3"/>
      <c r="AE128" s="5"/>
    </row>
    <row r="129" spans="1:31" ht="15" hidden="1" customHeight="1" x14ac:dyDescent="0.2">
      <c r="A129" s="3"/>
      <c r="B129" s="338"/>
      <c r="C129" s="340"/>
      <c r="D129" s="8" t="s">
        <v>308</v>
      </c>
      <c r="E129" s="9" t="s">
        <v>34</v>
      </c>
      <c r="F129" s="9" t="s">
        <v>86</v>
      </c>
      <c r="G129" s="17" t="s">
        <v>425</v>
      </c>
      <c r="H129" s="9" t="s">
        <v>84</v>
      </c>
      <c r="I129" s="9" t="s">
        <v>388</v>
      </c>
      <c r="J129" s="9" t="s">
        <v>46</v>
      </c>
      <c r="K129" s="9" t="s">
        <v>33</v>
      </c>
      <c r="L129" s="9" t="s">
        <v>445</v>
      </c>
      <c r="M129" s="18" t="s">
        <v>13</v>
      </c>
      <c r="N129" s="12" t="str">
        <f t="shared" si="4"/>
        <v>RR4.P3.4-TED-CBS2-MIS-M3-S3-0001</v>
      </c>
      <c r="O129" s="9" t="s">
        <v>498</v>
      </c>
      <c r="P129" s="9">
        <v>120</v>
      </c>
      <c r="Q129" s="1">
        <v>350</v>
      </c>
      <c r="R129" s="1">
        <v>350</v>
      </c>
      <c r="S129" s="9" t="s">
        <v>411</v>
      </c>
      <c r="T129" s="9">
        <v>30</v>
      </c>
      <c r="U129" s="1">
        <v>350</v>
      </c>
      <c r="V129" s="1">
        <v>350</v>
      </c>
      <c r="W129" s="5"/>
      <c r="X129" s="19"/>
      <c r="Y129" s="5"/>
      <c r="Z129" s="5"/>
      <c r="AA129" s="3"/>
      <c r="AB129" s="5"/>
      <c r="AC129" s="5"/>
      <c r="AD129" s="3"/>
      <c r="AE129" s="5"/>
    </row>
    <row r="130" spans="1:31" ht="15" hidden="1" customHeight="1" x14ac:dyDescent="0.2">
      <c r="A130" s="3"/>
      <c r="B130" s="338"/>
      <c r="C130" s="339" t="s">
        <v>435</v>
      </c>
      <c r="D130" s="8" t="s">
        <v>409</v>
      </c>
      <c r="E130" s="9" t="s">
        <v>34</v>
      </c>
      <c r="F130" s="9" t="s">
        <v>86</v>
      </c>
      <c r="G130" s="17" t="s">
        <v>425</v>
      </c>
      <c r="H130" s="9" t="s">
        <v>84</v>
      </c>
      <c r="I130" s="9" t="s">
        <v>384</v>
      </c>
      <c r="J130" s="9" t="s">
        <v>394</v>
      </c>
      <c r="K130" s="9" t="s">
        <v>33</v>
      </c>
      <c r="L130" s="9" t="s">
        <v>445</v>
      </c>
      <c r="M130" s="18" t="s">
        <v>13</v>
      </c>
      <c r="N130" s="12" t="str">
        <f t="shared" si="4"/>
        <v>RR4.P3.4-TED-CVD2-KCD -M3-S3-0001</v>
      </c>
      <c r="O130" s="9" t="s">
        <v>498</v>
      </c>
      <c r="P130" s="9">
        <v>120</v>
      </c>
      <c r="Q130" s="1">
        <v>350</v>
      </c>
      <c r="R130" s="1">
        <v>350</v>
      </c>
      <c r="S130" s="9" t="s">
        <v>411</v>
      </c>
      <c r="T130" s="9">
        <v>30</v>
      </c>
      <c r="U130" s="1">
        <v>350</v>
      </c>
      <c r="V130" s="1">
        <v>350</v>
      </c>
      <c r="W130" s="5"/>
      <c r="X130" s="19"/>
      <c r="Y130" s="5"/>
      <c r="Z130" s="5"/>
      <c r="AA130" s="3"/>
      <c r="AB130" s="5"/>
      <c r="AC130" s="5"/>
      <c r="AD130" s="3"/>
      <c r="AE130" s="5"/>
    </row>
    <row r="131" spans="1:31" ht="15" hidden="1" customHeight="1" x14ac:dyDescent="0.2">
      <c r="A131" s="3"/>
      <c r="B131" s="338"/>
      <c r="C131" s="340"/>
      <c r="D131" s="8" t="s">
        <v>393</v>
      </c>
      <c r="E131" s="9" t="s">
        <v>34</v>
      </c>
      <c r="F131" s="9" t="s">
        <v>86</v>
      </c>
      <c r="G131" s="17" t="s">
        <v>425</v>
      </c>
      <c r="H131" s="9" t="s">
        <v>84</v>
      </c>
      <c r="I131" s="9" t="s">
        <v>384</v>
      </c>
      <c r="J131" s="9" t="s">
        <v>392</v>
      </c>
      <c r="K131" s="9" t="s">
        <v>33</v>
      </c>
      <c r="L131" s="9" t="s">
        <v>445</v>
      </c>
      <c r="M131" s="18" t="s">
        <v>13</v>
      </c>
      <c r="N131" s="12" t="str">
        <f t="shared" si="4"/>
        <v>RR4.P3.4-TED-CVD2-KCT -M3-S3-0001</v>
      </c>
      <c r="O131" s="9" t="s">
        <v>498</v>
      </c>
      <c r="P131" s="9">
        <v>120</v>
      </c>
      <c r="Q131" s="1">
        <v>350</v>
      </c>
      <c r="R131" s="1">
        <v>350</v>
      </c>
      <c r="S131" s="9" t="s">
        <v>411</v>
      </c>
      <c r="T131" s="9">
        <v>30</v>
      </c>
      <c r="U131" s="1">
        <v>350</v>
      </c>
      <c r="V131" s="1">
        <v>350</v>
      </c>
      <c r="W131" s="5"/>
      <c r="X131" s="19"/>
      <c r="Y131" s="5"/>
      <c r="Z131" s="5"/>
      <c r="AA131" s="3"/>
      <c r="AB131" s="5"/>
      <c r="AC131" s="5"/>
      <c r="AD131" s="3"/>
      <c r="AE131" s="5"/>
    </row>
    <row r="132" spans="1:31" ht="15" hidden="1" customHeight="1" x14ac:dyDescent="0.2">
      <c r="A132" s="3"/>
      <c r="B132" s="338"/>
      <c r="C132" s="340"/>
      <c r="D132" s="8" t="s">
        <v>413</v>
      </c>
      <c r="E132" s="9" t="s">
        <v>34</v>
      </c>
      <c r="F132" s="9" t="s">
        <v>86</v>
      </c>
      <c r="G132" s="17" t="s">
        <v>425</v>
      </c>
      <c r="H132" s="9" t="s">
        <v>84</v>
      </c>
      <c r="I132" s="9" t="s">
        <v>384</v>
      </c>
      <c r="J132" s="9" t="s">
        <v>46</v>
      </c>
      <c r="K132" s="9" t="s">
        <v>33</v>
      </c>
      <c r="L132" s="9" t="s">
        <v>445</v>
      </c>
      <c r="M132" s="18" t="s">
        <v>13</v>
      </c>
      <c r="N132" s="12" t="str">
        <f t="shared" si="4"/>
        <v>RR4.P3.4-TED-CVD2-MIS-M3-S3-0001</v>
      </c>
      <c r="O132" s="9" t="s">
        <v>498</v>
      </c>
      <c r="P132" s="9">
        <v>120</v>
      </c>
      <c r="Q132" s="1">
        <v>300</v>
      </c>
      <c r="R132" s="1">
        <v>300</v>
      </c>
      <c r="S132" s="9" t="s">
        <v>411</v>
      </c>
      <c r="T132" s="9">
        <v>30</v>
      </c>
      <c r="U132" s="1">
        <v>300</v>
      </c>
      <c r="V132" s="1">
        <v>300</v>
      </c>
      <c r="W132" s="5"/>
      <c r="X132" s="19"/>
      <c r="Y132" s="5"/>
      <c r="Z132" s="5"/>
      <c r="AA132" s="3"/>
      <c r="AB132" s="5"/>
      <c r="AC132" s="5"/>
      <c r="AD132" s="3"/>
      <c r="AE132" s="5"/>
    </row>
    <row r="133" spans="1:31" ht="15" hidden="1" customHeight="1" x14ac:dyDescent="0.2">
      <c r="A133" s="3"/>
      <c r="B133" s="367"/>
      <c r="C133" s="340"/>
      <c r="D133" s="8" t="s">
        <v>308</v>
      </c>
      <c r="E133" s="9" t="s">
        <v>34</v>
      </c>
      <c r="F133" s="9" t="s">
        <v>86</v>
      </c>
      <c r="G133" s="17" t="s">
        <v>425</v>
      </c>
      <c r="H133" s="9" t="s">
        <v>84</v>
      </c>
      <c r="I133" s="9" t="s">
        <v>384</v>
      </c>
      <c r="J133" s="9" t="s">
        <v>46</v>
      </c>
      <c r="K133" s="9" t="s">
        <v>33</v>
      </c>
      <c r="L133" s="9" t="s">
        <v>445</v>
      </c>
      <c r="M133" s="18" t="s">
        <v>13</v>
      </c>
      <c r="N133" s="12" t="str">
        <f t="shared" si="4"/>
        <v>RR4.P3.4-TED-CVD2-MIS-M3-S3-0001</v>
      </c>
      <c r="O133" s="9" t="s">
        <v>498</v>
      </c>
      <c r="P133" s="9">
        <v>120</v>
      </c>
      <c r="Q133" s="1">
        <v>300</v>
      </c>
      <c r="R133" s="1">
        <v>300</v>
      </c>
      <c r="S133" s="9" t="s">
        <v>411</v>
      </c>
      <c r="T133" s="9">
        <v>30</v>
      </c>
      <c r="U133" s="1">
        <v>300</v>
      </c>
      <c r="V133" s="1">
        <v>300</v>
      </c>
      <c r="W133" s="5"/>
      <c r="X133" s="19"/>
      <c r="Y133" s="5"/>
      <c r="Z133" s="5"/>
      <c r="AA133" s="3"/>
      <c r="AB133" s="5"/>
      <c r="AC133" s="5"/>
      <c r="AD133" s="3"/>
      <c r="AE133" s="5"/>
    </row>
    <row r="134" spans="1:31" ht="15" customHeight="1" x14ac:dyDescent="0.2">
      <c r="A134" s="3"/>
      <c r="B134" s="21" t="s">
        <v>500</v>
      </c>
      <c r="C134" s="7"/>
      <c r="D134" s="8"/>
      <c r="E134" s="9"/>
      <c r="F134" s="9"/>
      <c r="G134" s="10"/>
      <c r="H134" s="7"/>
      <c r="I134" s="9"/>
      <c r="J134" s="7"/>
      <c r="K134" s="7"/>
      <c r="L134" s="7"/>
      <c r="M134" s="11"/>
      <c r="N134" s="12"/>
      <c r="O134" s="9"/>
      <c r="P134" s="9"/>
      <c r="Q134" s="7"/>
      <c r="R134" s="9"/>
      <c r="S134" s="9"/>
      <c r="T134" s="7"/>
      <c r="U134" s="7"/>
      <c r="V134" s="9"/>
      <c r="W134" s="5"/>
      <c r="X134" s="3"/>
      <c r="Y134" s="5"/>
      <c r="Z134" s="5"/>
      <c r="AA134" s="3"/>
      <c r="AB134" s="5"/>
      <c r="AC134" s="5"/>
      <c r="AD134" s="3"/>
      <c r="AE134" s="5"/>
    </row>
    <row r="135" spans="1:31" ht="15" customHeight="1" x14ac:dyDescent="0.2">
      <c r="A135" s="3"/>
      <c r="B135" s="21"/>
      <c r="C135" s="13" t="s">
        <v>410</v>
      </c>
      <c r="D135" s="8"/>
      <c r="E135" s="9" t="s">
        <v>39</v>
      </c>
      <c r="F135" s="9" t="s">
        <v>89</v>
      </c>
      <c r="G135" s="17" t="s">
        <v>452</v>
      </c>
      <c r="H135" s="9" t="s">
        <v>446</v>
      </c>
      <c r="I135" s="9" t="s">
        <v>11</v>
      </c>
      <c r="J135" s="9" t="s">
        <v>14</v>
      </c>
      <c r="K135" s="9" t="s">
        <v>24</v>
      </c>
      <c r="L135" s="9" t="s">
        <v>40</v>
      </c>
      <c r="M135" s="11" t="s">
        <v>13</v>
      </c>
      <c r="N135" s="12" t="str">
        <f t="shared" ref="N135:N138" si="5">IF(G135="","-",CONCATENATE(G135,"-",H135,"-",I135,"-",J135,"-",K135,"-",L135,"-",M135))</f>
        <v>XVNT-IICM-ZZ-XX-CR-Z-0001</v>
      </c>
      <c r="O135" s="9" t="s">
        <v>498</v>
      </c>
      <c r="P135" s="9">
        <v>45</v>
      </c>
      <c r="Q135" s="7"/>
      <c r="R135" s="7"/>
      <c r="S135" s="9" t="s">
        <v>498</v>
      </c>
      <c r="T135" s="9">
        <v>30</v>
      </c>
      <c r="U135" s="7"/>
      <c r="V135" s="7"/>
      <c r="W135" s="5"/>
      <c r="X135" s="3"/>
      <c r="Y135" s="5"/>
      <c r="Z135" s="5"/>
      <c r="AA135" s="3"/>
      <c r="AB135" s="5"/>
      <c r="AC135" s="5"/>
      <c r="AD135" s="3"/>
      <c r="AE135" s="5"/>
    </row>
    <row r="136" spans="1:31" ht="15" customHeight="1" x14ac:dyDescent="0.2">
      <c r="A136" s="3"/>
      <c r="B136" s="21"/>
      <c r="C136" s="13" t="s">
        <v>488</v>
      </c>
      <c r="D136" s="8"/>
      <c r="E136" s="9" t="s">
        <v>39</v>
      </c>
      <c r="F136" s="9" t="s">
        <v>89</v>
      </c>
      <c r="G136" s="17" t="s">
        <v>452</v>
      </c>
      <c r="H136" s="9" t="s">
        <v>446</v>
      </c>
      <c r="I136" s="9" t="s">
        <v>11</v>
      </c>
      <c r="J136" s="9" t="s">
        <v>14</v>
      </c>
      <c r="K136" s="9" t="s">
        <v>15</v>
      </c>
      <c r="L136" s="9" t="s">
        <v>40</v>
      </c>
      <c r="M136" s="11" t="s">
        <v>13</v>
      </c>
      <c r="N136" s="12" t="str">
        <f t="shared" si="5"/>
        <v>XVNT-IICM-ZZ-XX-BQ-Z-0001</v>
      </c>
      <c r="O136" s="9" t="s">
        <v>498</v>
      </c>
      <c r="P136" s="9">
        <v>45</v>
      </c>
      <c r="Q136" s="7"/>
      <c r="R136" s="7"/>
      <c r="S136" s="9" t="s">
        <v>498</v>
      </c>
      <c r="T136" s="9">
        <v>30</v>
      </c>
      <c r="U136" s="7"/>
      <c r="V136" s="7"/>
      <c r="W136" s="5"/>
      <c r="X136" s="3"/>
      <c r="Y136" s="5"/>
      <c r="Z136" s="5"/>
      <c r="AA136" s="3"/>
      <c r="AB136" s="5"/>
      <c r="AC136" s="5"/>
      <c r="AD136" s="3"/>
      <c r="AE136" s="5"/>
    </row>
    <row r="137" spans="1:31" ht="15" customHeight="1" x14ac:dyDescent="0.2">
      <c r="A137" s="3"/>
      <c r="B137" s="7"/>
      <c r="C137" s="7" t="s">
        <v>487</v>
      </c>
      <c r="D137" s="8"/>
      <c r="E137" s="9" t="s">
        <v>39</v>
      </c>
      <c r="F137" s="9" t="s">
        <v>89</v>
      </c>
      <c r="G137" s="17" t="s">
        <v>452</v>
      </c>
      <c r="H137" s="9" t="s">
        <v>446</v>
      </c>
      <c r="I137" s="9" t="s">
        <v>11</v>
      </c>
      <c r="J137" s="9" t="s">
        <v>14</v>
      </c>
      <c r="K137" s="9" t="s">
        <v>38</v>
      </c>
      <c r="L137" s="9" t="s">
        <v>40</v>
      </c>
      <c r="M137" s="11" t="s">
        <v>13</v>
      </c>
      <c r="N137" s="12" t="str">
        <f t="shared" si="5"/>
        <v>XVNT-IICM-ZZ-XX-RP-Z-0001</v>
      </c>
      <c r="O137" s="9" t="s">
        <v>498</v>
      </c>
      <c r="P137" s="9">
        <v>45</v>
      </c>
      <c r="Q137" s="7"/>
      <c r="R137" s="7"/>
      <c r="S137" s="9" t="s">
        <v>498</v>
      </c>
      <c r="T137" s="9">
        <v>30</v>
      </c>
      <c r="U137" s="7"/>
      <c r="V137" s="7"/>
      <c r="W137" s="5"/>
      <c r="X137" s="3"/>
      <c r="Y137" s="3"/>
      <c r="Z137" s="5"/>
      <c r="AA137" s="3"/>
      <c r="AB137" s="3"/>
      <c r="AC137" s="5"/>
      <c r="AD137" s="3"/>
      <c r="AE137" s="5"/>
    </row>
    <row r="138" spans="1:31" ht="15.75" customHeight="1" x14ac:dyDescent="0.2">
      <c r="A138" s="3"/>
      <c r="B138" s="7"/>
      <c r="C138" s="7" t="s">
        <v>91</v>
      </c>
      <c r="D138" s="8"/>
      <c r="E138" s="9" t="s">
        <v>39</v>
      </c>
      <c r="F138" s="9" t="s">
        <v>89</v>
      </c>
      <c r="G138" s="17" t="s">
        <v>452</v>
      </c>
      <c r="H138" s="9" t="s">
        <v>446</v>
      </c>
      <c r="I138" s="9" t="s">
        <v>11</v>
      </c>
      <c r="J138" s="9" t="s">
        <v>14</v>
      </c>
      <c r="K138" s="9" t="s">
        <v>38</v>
      </c>
      <c r="L138" s="9" t="s">
        <v>40</v>
      </c>
      <c r="M138" s="11" t="s">
        <v>13</v>
      </c>
      <c r="N138" s="12" t="str">
        <f t="shared" si="5"/>
        <v>XVNT-IICM-ZZ-XX-RP-Z-0001</v>
      </c>
      <c r="O138" s="9" t="s">
        <v>498</v>
      </c>
      <c r="P138" s="9">
        <v>45</v>
      </c>
      <c r="Q138" s="7"/>
      <c r="R138" s="7"/>
      <c r="S138" s="9" t="s">
        <v>498</v>
      </c>
      <c r="T138" s="9">
        <v>30</v>
      </c>
      <c r="U138" s="7"/>
      <c r="V138" s="7"/>
      <c r="W138" s="5"/>
      <c r="X138" s="3"/>
      <c r="Y138" s="3"/>
      <c r="Z138" s="5"/>
      <c r="AA138" s="3"/>
      <c r="AB138" s="3"/>
      <c r="AC138" s="5"/>
      <c r="AD138" s="3"/>
      <c r="AE138" s="5"/>
    </row>
    <row r="139" spans="1:31" ht="15.75" customHeight="1" x14ac:dyDescent="0.2">
      <c r="A139" s="3"/>
      <c r="B139" s="3"/>
      <c r="C139" s="3"/>
      <c r="D139" s="4"/>
      <c r="E139" s="3"/>
      <c r="F139" s="5"/>
      <c r="G139" s="22"/>
      <c r="H139" s="3"/>
      <c r="I139" s="5"/>
      <c r="J139" s="3"/>
      <c r="K139" s="3"/>
      <c r="L139" s="3"/>
      <c r="M139" s="23"/>
      <c r="N139" s="24"/>
      <c r="O139" s="3"/>
      <c r="P139" s="3"/>
      <c r="Q139" s="3"/>
      <c r="R139" s="3"/>
      <c r="S139" s="3"/>
      <c r="T139" s="3"/>
      <c r="U139" s="3"/>
      <c r="V139" s="3"/>
      <c r="W139" s="5"/>
      <c r="X139" s="3"/>
      <c r="Y139" s="3"/>
      <c r="Z139" s="5"/>
      <c r="AA139" s="3"/>
      <c r="AB139" s="3"/>
      <c r="AC139" s="5"/>
      <c r="AD139" s="3"/>
      <c r="AE139" s="5"/>
    </row>
    <row r="140" spans="1:31" ht="15.75" customHeight="1" x14ac:dyDescent="0.2">
      <c r="A140" s="3"/>
      <c r="B140" s="3"/>
      <c r="C140" s="3"/>
      <c r="D140" s="4"/>
      <c r="E140" s="3"/>
      <c r="F140" s="5"/>
      <c r="G140" s="22"/>
      <c r="H140" s="3"/>
      <c r="I140" s="5"/>
      <c r="J140" s="3"/>
      <c r="K140" s="3"/>
      <c r="L140" s="3"/>
      <c r="M140" s="23"/>
      <c r="N140" s="24"/>
      <c r="O140" s="3"/>
      <c r="P140" s="3"/>
      <c r="Q140" s="3"/>
      <c r="R140" s="3"/>
      <c r="S140" s="3"/>
      <c r="T140" s="3"/>
      <c r="U140" s="3"/>
      <c r="V140" s="3"/>
      <c r="W140" s="5"/>
      <c r="X140" s="3"/>
      <c r="Y140" s="3"/>
      <c r="Z140" s="5"/>
      <c r="AA140" s="3"/>
      <c r="AB140" s="3"/>
      <c r="AC140" s="5"/>
      <c r="AD140" s="3"/>
      <c r="AE140" s="5"/>
    </row>
    <row r="141" spans="1:31" ht="15.75" customHeight="1" x14ac:dyDescent="0.2">
      <c r="A141" s="3"/>
      <c r="B141" s="3"/>
      <c r="C141" s="3"/>
      <c r="D141" s="4"/>
      <c r="E141" s="3"/>
      <c r="F141" s="5"/>
      <c r="G141" s="22"/>
      <c r="H141" s="3"/>
      <c r="I141" s="5"/>
      <c r="J141" s="3"/>
      <c r="K141" s="3"/>
      <c r="L141" s="3"/>
      <c r="M141" s="23"/>
      <c r="N141" s="24"/>
      <c r="O141" s="3"/>
      <c r="P141" s="3"/>
      <c r="Q141" s="3"/>
      <c r="R141" s="3"/>
      <c r="S141" s="3"/>
      <c r="T141" s="3"/>
      <c r="U141" s="3"/>
      <c r="V141" s="3"/>
      <c r="W141" s="5"/>
      <c r="X141" s="3"/>
      <c r="Y141" s="3"/>
      <c r="Z141" s="5"/>
      <c r="AA141" s="3"/>
      <c r="AB141" s="3"/>
      <c r="AC141" s="5"/>
      <c r="AD141" s="3"/>
      <c r="AE141" s="5"/>
    </row>
    <row r="142" spans="1:31" ht="15.75" customHeight="1" x14ac:dyDescent="0.2">
      <c r="A142" s="3"/>
      <c r="B142" s="3"/>
      <c r="C142" s="3"/>
      <c r="D142" s="4"/>
      <c r="E142" s="3"/>
      <c r="F142" s="5"/>
      <c r="G142" s="22"/>
      <c r="H142" s="3"/>
      <c r="I142" s="5"/>
      <c r="J142" s="3"/>
      <c r="K142" s="3"/>
      <c r="L142" s="3"/>
      <c r="M142" s="23"/>
      <c r="N142" s="24"/>
      <c r="O142" s="3"/>
      <c r="P142" s="3"/>
      <c r="Q142" s="3"/>
      <c r="R142" s="3"/>
      <c r="S142" s="3"/>
      <c r="T142" s="3"/>
      <c r="U142" s="3"/>
      <c r="V142" s="3"/>
      <c r="W142" s="5"/>
      <c r="X142" s="3"/>
      <c r="Y142" s="3"/>
      <c r="Z142" s="5"/>
      <c r="AA142" s="3"/>
      <c r="AB142" s="3"/>
      <c r="AC142" s="5"/>
      <c r="AD142" s="3"/>
      <c r="AE142" s="5"/>
    </row>
    <row r="143" spans="1:31" ht="15.75" customHeight="1" x14ac:dyDescent="0.2">
      <c r="A143" s="3"/>
      <c r="B143" s="3"/>
      <c r="C143" s="3"/>
      <c r="D143" s="4"/>
      <c r="E143" s="3"/>
      <c r="F143" s="5"/>
      <c r="G143" s="22"/>
      <c r="H143" s="3"/>
      <c r="I143" s="5"/>
      <c r="J143" s="3"/>
      <c r="K143" s="3"/>
      <c r="L143" s="3"/>
      <c r="M143" s="23"/>
      <c r="N143" s="24"/>
      <c r="O143" s="3"/>
      <c r="P143" s="3"/>
      <c r="Q143" s="3"/>
      <c r="R143" s="3"/>
      <c r="S143" s="3"/>
      <c r="T143" s="3"/>
      <c r="U143" s="3"/>
      <c r="V143" s="3"/>
      <c r="W143" s="5"/>
      <c r="X143" s="3"/>
      <c r="Y143" s="3"/>
      <c r="Z143" s="5"/>
      <c r="AA143" s="3"/>
      <c r="AB143" s="3"/>
      <c r="AC143" s="5"/>
      <c r="AD143" s="3"/>
      <c r="AE143" s="5"/>
    </row>
    <row r="144" spans="1:31" ht="15.75" customHeight="1" x14ac:dyDescent="0.2">
      <c r="A144" s="3"/>
      <c r="B144" s="3"/>
      <c r="C144" s="3"/>
      <c r="D144" s="4"/>
      <c r="E144" s="3"/>
      <c r="F144" s="5"/>
      <c r="G144" s="22"/>
      <c r="H144" s="3"/>
      <c r="I144" s="5"/>
      <c r="J144" s="3"/>
      <c r="K144" s="3"/>
      <c r="L144" s="3"/>
      <c r="M144" s="23"/>
      <c r="N144" s="24"/>
      <c r="O144" s="3"/>
      <c r="P144" s="3"/>
      <c r="Q144" s="3"/>
      <c r="R144" s="3"/>
      <c r="S144" s="3"/>
      <c r="T144" s="3"/>
      <c r="U144" s="3"/>
      <c r="V144" s="3"/>
      <c r="W144" s="5"/>
      <c r="X144" s="3"/>
      <c r="Y144" s="3"/>
      <c r="Z144" s="5"/>
      <c r="AA144" s="3"/>
      <c r="AB144" s="3"/>
      <c r="AC144" s="5"/>
      <c r="AD144" s="3"/>
      <c r="AE144" s="5"/>
    </row>
    <row r="145" spans="1:31" ht="15.75" customHeight="1" x14ac:dyDescent="0.2">
      <c r="A145" s="3"/>
      <c r="B145" s="3"/>
      <c r="C145" s="3"/>
      <c r="D145" s="4"/>
      <c r="E145" s="3"/>
      <c r="F145" s="5"/>
      <c r="G145" s="22"/>
      <c r="H145" s="3"/>
      <c r="I145" s="5"/>
      <c r="J145" s="3"/>
      <c r="K145" s="3"/>
      <c r="L145" s="3"/>
      <c r="M145" s="23"/>
      <c r="N145" s="24"/>
      <c r="O145" s="3"/>
      <c r="P145" s="3"/>
      <c r="Q145" s="3"/>
      <c r="R145" s="3"/>
      <c r="S145" s="3"/>
      <c r="T145" s="3"/>
      <c r="U145" s="3"/>
      <c r="V145" s="3"/>
      <c r="W145" s="5"/>
      <c r="X145" s="3"/>
      <c r="Y145" s="3"/>
      <c r="Z145" s="5"/>
      <c r="AA145" s="3"/>
      <c r="AB145" s="3"/>
      <c r="AC145" s="5"/>
      <c r="AD145" s="3"/>
      <c r="AE145" s="5"/>
    </row>
    <row r="146" spans="1:31" ht="15.75" customHeight="1" x14ac:dyDescent="0.2">
      <c r="A146" s="3"/>
      <c r="B146" s="3"/>
      <c r="C146" s="3"/>
      <c r="D146" s="4"/>
      <c r="E146" s="3"/>
      <c r="F146" s="5"/>
      <c r="G146" s="22"/>
      <c r="H146" s="3"/>
      <c r="I146" s="5"/>
      <c r="J146" s="3"/>
      <c r="K146" s="3"/>
      <c r="L146" s="3"/>
      <c r="M146" s="23"/>
      <c r="N146" s="24"/>
      <c r="O146" s="3"/>
      <c r="P146" s="3"/>
      <c r="Q146" s="3"/>
      <c r="R146" s="3"/>
      <c r="S146" s="3"/>
      <c r="T146" s="3"/>
      <c r="U146" s="3"/>
      <c r="V146" s="3"/>
      <c r="W146" s="5"/>
      <c r="X146" s="3"/>
      <c r="Y146" s="3"/>
      <c r="Z146" s="5"/>
      <c r="AA146" s="3"/>
      <c r="AB146" s="3"/>
      <c r="AC146" s="5"/>
      <c r="AD146" s="3"/>
      <c r="AE146" s="5"/>
    </row>
    <row r="147" spans="1:31" ht="15.75" customHeight="1" x14ac:dyDescent="0.2">
      <c r="A147" s="3"/>
      <c r="B147" s="3"/>
      <c r="C147" s="3"/>
      <c r="D147" s="4"/>
      <c r="E147" s="3"/>
      <c r="F147" s="5"/>
      <c r="G147" s="22"/>
      <c r="H147" s="3"/>
      <c r="I147" s="5"/>
      <c r="J147" s="3"/>
      <c r="K147" s="3"/>
      <c r="L147" s="3"/>
      <c r="M147" s="23"/>
      <c r="N147" s="24"/>
      <c r="O147" s="3"/>
      <c r="P147" s="3"/>
      <c r="Q147" s="3"/>
      <c r="R147" s="3"/>
      <c r="S147" s="3"/>
      <c r="T147" s="3"/>
      <c r="U147" s="3"/>
      <c r="V147" s="3"/>
      <c r="W147" s="5"/>
      <c r="X147" s="3"/>
      <c r="Y147" s="3"/>
      <c r="Z147" s="5"/>
      <c r="AA147" s="3"/>
      <c r="AB147" s="3"/>
      <c r="AC147" s="5"/>
      <c r="AD147" s="3"/>
      <c r="AE147" s="5"/>
    </row>
    <row r="148" spans="1:31" ht="15.75" customHeight="1" x14ac:dyDescent="0.2">
      <c r="A148" s="3"/>
      <c r="B148" s="3"/>
      <c r="C148" s="3"/>
      <c r="D148" s="4"/>
      <c r="E148" s="3"/>
      <c r="F148" s="5"/>
      <c r="G148" s="22"/>
      <c r="H148" s="3"/>
      <c r="I148" s="5"/>
      <c r="J148" s="3"/>
      <c r="K148" s="3"/>
      <c r="L148" s="3"/>
      <c r="M148" s="23"/>
      <c r="N148" s="24"/>
      <c r="O148" s="3"/>
      <c r="P148" s="3"/>
      <c r="Q148" s="3"/>
      <c r="R148" s="3"/>
      <c r="S148" s="3"/>
      <c r="T148" s="3"/>
      <c r="U148" s="3"/>
      <c r="V148" s="3"/>
      <c r="W148" s="5"/>
      <c r="X148" s="3"/>
      <c r="Y148" s="3"/>
      <c r="Z148" s="5"/>
      <c r="AA148" s="3"/>
      <c r="AB148" s="3"/>
      <c r="AC148" s="5"/>
      <c r="AD148" s="3"/>
      <c r="AE148" s="5"/>
    </row>
    <row r="149" spans="1:31" ht="15.75" customHeight="1" x14ac:dyDescent="0.2">
      <c r="A149" s="3"/>
      <c r="B149" s="3"/>
      <c r="C149" s="3"/>
      <c r="D149" s="4"/>
      <c r="E149" s="3"/>
      <c r="F149" s="5"/>
      <c r="G149" s="22"/>
      <c r="H149" s="3"/>
      <c r="I149" s="5"/>
      <c r="J149" s="3"/>
      <c r="K149" s="3"/>
      <c r="L149" s="3"/>
      <c r="M149" s="23"/>
      <c r="N149" s="24"/>
      <c r="O149" s="3"/>
      <c r="P149" s="3"/>
      <c r="Q149" s="3"/>
      <c r="R149" s="3"/>
      <c r="S149" s="3"/>
      <c r="T149" s="3"/>
      <c r="U149" s="3"/>
      <c r="V149" s="3"/>
      <c r="W149" s="5"/>
      <c r="X149" s="3"/>
      <c r="Y149" s="3"/>
      <c r="Z149" s="5"/>
      <c r="AA149" s="3"/>
      <c r="AB149" s="3"/>
      <c r="AC149" s="5"/>
      <c r="AD149" s="3"/>
      <c r="AE149" s="5"/>
    </row>
    <row r="150" spans="1:31" ht="15.75" customHeight="1" x14ac:dyDescent="0.2">
      <c r="A150" s="3"/>
      <c r="B150" s="3"/>
      <c r="C150" s="3"/>
      <c r="D150" s="4"/>
      <c r="E150" s="3"/>
      <c r="F150" s="5"/>
      <c r="G150" s="22"/>
      <c r="H150" s="3"/>
      <c r="I150" s="5"/>
      <c r="J150" s="3"/>
      <c r="K150" s="3"/>
      <c r="L150" s="3"/>
      <c r="M150" s="23"/>
      <c r="N150" s="24"/>
      <c r="O150" s="3"/>
      <c r="P150" s="3"/>
      <c r="Q150" s="3"/>
      <c r="R150" s="3"/>
      <c r="S150" s="3"/>
      <c r="T150" s="3"/>
      <c r="U150" s="3"/>
      <c r="V150" s="3"/>
      <c r="W150" s="5"/>
      <c r="X150" s="3"/>
      <c r="Y150" s="3"/>
      <c r="Z150" s="5"/>
      <c r="AA150" s="3"/>
      <c r="AB150" s="3"/>
      <c r="AC150" s="5"/>
      <c r="AD150" s="3"/>
      <c r="AE150" s="5"/>
    </row>
    <row r="151" spans="1:31" ht="15.75" customHeight="1" x14ac:dyDescent="0.2">
      <c r="A151" s="3"/>
      <c r="B151" s="3"/>
      <c r="C151" s="3"/>
      <c r="D151" s="4"/>
      <c r="E151" s="3"/>
      <c r="F151" s="5"/>
      <c r="G151" s="22"/>
      <c r="H151" s="3"/>
      <c r="I151" s="5"/>
      <c r="J151" s="3"/>
      <c r="K151" s="3"/>
      <c r="L151" s="3"/>
      <c r="M151" s="23"/>
      <c r="N151" s="24"/>
      <c r="O151" s="3"/>
      <c r="P151" s="3"/>
      <c r="Q151" s="3"/>
      <c r="R151" s="3"/>
      <c r="S151" s="3"/>
      <c r="T151" s="3"/>
      <c r="U151" s="3"/>
      <c r="V151" s="3"/>
      <c r="W151" s="5"/>
      <c r="X151" s="3"/>
      <c r="Y151" s="3"/>
      <c r="Z151" s="5"/>
      <c r="AA151" s="3"/>
      <c r="AB151" s="3"/>
      <c r="AC151" s="5"/>
      <c r="AD151" s="3"/>
      <c r="AE151" s="5"/>
    </row>
    <row r="152" spans="1:31" ht="15.75" customHeight="1" x14ac:dyDescent="0.2">
      <c r="A152" s="3"/>
      <c r="B152" s="3"/>
      <c r="C152" s="3"/>
      <c r="D152" s="4"/>
      <c r="E152" s="3"/>
      <c r="F152" s="5"/>
      <c r="G152" s="22"/>
      <c r="H152" s="3"/>
      <c r="I152" s="5"/>
      <c r="J152" s="3"/>
      <c r="K152" s="3"/>
      <c r="L152" s="3"/>
      <c r="M152" s="23"/>
      <c r="N152" s="24"/>
      <c r="O152" s="3"/>
      <c r="P152" s="3"/>
      <c r="Q152" s="3"/>
      <c r="R152" s="3"/>
      <c r="S152" s="3"/>
      <c r="T152" s="3"/>
      <c r="U152" s="3"/>
      <c r="V152" s="3"/>
      <c r="W152" s="5"/>
      <c r="X152" s="3"/>
      <c r="Y152" s="3"/>
      <c r="Z152" s="5"/>
      <c r="AA152" s="3"/>
      <c r="AB152" s="3"/>
      <c r="AC152" s="5"/>
      <c r="AD152" s="3"/>
      <c r="AE152" s="5"/>
    </row>
    <row r="153" spans="1:31" ht="15.75" customHeight="1" x14ac:dyDescent="0.2">
      <c r="A153" s="3"/>
      <c r="B153" s="3"/>
      <c r="C153" s="3"/>
      <c r="D153" s="4"/>
      <c r="E153" s="3"/>
      <c r="F153" s="5"/>
      <c r="G153" s="22"/>
      <c r="H153" s="3"/>
      <c r="I153" s="5"/>
      <c r="J153" s="3"/>
      <c r="K153" s="3"/>
      <c r="L153" s="3"/>
      <c r="M153" s="23"/>
      <c r="N153" s="24"/>
      <c r="O153" s="3"/>
      <c r="P153" s="3"/>
      <c r="Q153" s="3"/>
      <c r="R153" s="3"/>
      <c r="S153" s="3"/>
      <c r="T153" s="3"/>
      <c r="U153" s="3"/>
      <c r="V153" s="3"/>
      <c r="W153" s="5"/>
      <c r="X153" s="3"/>
      <c r="Y153" s="3"/>
      <c r="Z153" s="5"/>
      <c r="AA153" s="3"/>
      <c r="AB153" s="3"/>
      <c r="AC153" s="5"/>
      <c r="AD153" s="3"/>
      <c r="AE153" s="5"/>
    </row>
    <row r="154" spans="1:31" ht="15.75" customHeight="1" x14ac:dyDescent="0.2">
      <c r="A154" s="3"/>
      <c r="B154" s="3"/>
      <c r="C154" s="3"/>
      <c r="D154" s="4"/>
      <c r="E154" s="3"/>
      <c r="F154" s="5"/>
      <c r="G154" s="22"/>
      <c r="H154" s="3"/>
      <c r="I154" s="5"/>
      <c r="J154" s="3"/>
      <c r="K154" s="3"/>
      <c r="L154" s="3"/>
      <c r="M154" s="23"/>
      <c r="N154" s="24"/>
      <c r="O154" s="3"/>
      <c r="P154" s="3"/>
      <c r="Q154" s="3"/>
      <c r="R154" s="3"/>
      <c r="S154" s="3"/>
      <c r="T154" s="3"/>
      <c r="U154" s="3"/>
      <c r="V154" s="3"/>
      <c r="W154" s="5"/>
      <c r="X154" s="3"/>
      <c r="Y154" s="3"/>
      <c r="Z154" s="5"/>
      <c r="AA154" s="3"/>
      <c r="AB154" s="3"/>
      <c r="AC154" s="5"/>
      <c r="AD154" s="3"/>
      <c r="AE154" s="5"/>
    </row>
    <row r="155" spans="1:31" ht="15.75" customHeight="1" x14ac:dyDescent="0.2">
      <c r="A155" s="3"/>
      <c r="B155" s="3"/>
      <c r="C155" s="3"/>
      <c r="D155" s="4"/>
      <c r="E155" s="3"/>
      <c r="F155" s="5"/>
      <c r="G155" s="22"/>
      <c r="H155" s="3"/>
      <c r="I155" s="5"/>
      <c r="J155" s="3"/>
      <c r="K155" s="3"/>
      <c r="L155" s="3"/>
      <c r="M155" s="23"/>
      <c r="N155" s="24"/>
      <c r="O155" s="3"/>
      <c r="P155" s="3"/>
      <c r="Q155" s="3"/>
      <c r="R155" s="3"/>
      <c r="S155" s="3"/>
      <c r="T155" s="3"/>
      <c r="U155" s="3"/>
      <c r="V155" s="3"/>
      <c r="W155" s="5"/>
      <c r="X155" s="3"/>
      <c r="Y155" s="3"/>
      <c r="Z155" s="5"/>
      <c r="AA155" s="3"/>
      <c r="AB155" s="3"/>
      <c r="AC155" s="5"/>
      <c r="AD155" s="3"/>
      <c r="AE155" s="5"/>
    </row>
    <row r="156" spans="1:31" ht="15.75" customHeight="1" x14ac:dyDescent="0.2">
      <c r="A156" s="3"/>
      <c r="B156" s="3"/>
      <c r="C156" s="3"/>
      <c r="D156" s="4"/>
      <c r="E156" s="3"/>
      <c r="F156" s="5"/>
      <c r="G156" s="22"/>
      <c r="H156" s="3"/>
      <c r="I156" s="5"/>
      <c r="J156" s="3"/>
      <c r="K156" s="3"/>
      <c r="L156" s="3"/>
      <c r="M156" s="23"/>
      <c r="N156" s="24"/>
      <c r="O156" s="3"/>
      <c r="P156" s="3"/>
      <c r="Q156" s="3"/>
      <c r="R156" s="3"/>
      <c r="S156" s="3"/>
      <c r="T156" s="3"/>
      <c r="U156" s="3"/>
      <c r="V156" s="3"/>
      <c r="W156" s="5"/>
      <c r="X156" s="3"/>
      <c r="Y156" s="3"/>
      <c r="Z156" s="5"/>
      <c r="AA156" s="3"/>
      <c r="AB156" s="3"/>
      <c r="AC156" s="5"/>
      <c r="AD156" s="3"/>
      <c r="AE156" s="5"/>
    </row>
    <row r="157" spans="1:31" ht="15.75" customHeight="1" x14ac:dyDescent="0.2">
      <c r="A157" s="3"/>
      <c r="B157" s="3"/>
      <c r="C157" s="3"/>
      <c r="D157" s="4"/>
      <c r="E157" s="3"/>
      <c r="F157" s="5"/>
      <c r="G157" s="22"/>
      <c r="H157" s="3"/>
      <c r="I157" s="5"/>
      <c r="J157" s="3"/>
      <c r="K157" s="3"/>
      <c r="L157" s="3"/>
      <c r="M157" s="23"/>
      <c r="N157" s="24"/>
      <c r="O157" s="3"/>
      <c r="P157" s="3"/>
      <c r="Q157" s="3"/>
      <c r="R157" s="3"/>
      <c r="S157" s="3"/>
      <c r="T157" s="3"/>
      <c r="U157" s="3"/>
      <c r="V157" s="3"/>
      <c r="W157" s="5"/>
      <c r="X157" s="3"/>
      <c r="Y157" s="3"/>
      <c r="Z157" s="5"/>
      <c r="AA157" s="3"/>
      <c r="AB157" s="3"/>
      <c r="AC157" s="5"/>
      <c r="AD157" s="3"/>
      <c r="AE157" s="5"/>
    </row>
    <row r="158" spans="1:31" ht="15.75" customHeight="1" x14ac:dyDescent="0.2">
      <c r="A158" s="3"/>
      <c r="B158" s="3"/>
      <c r="C158" s="3"/>
      <c r="D158" s="4"/>
      <c r="E158" s="3"/>
      <c r="F158" s="5"/>
      <c r="G158" s="22"/>
      <c r="H158" s="3"/>
      <c r="I158" s="5"/>
      <c r="J158" s="3"/>
      <c r="K158" s="3"/>
      <c r="L158" s="3"/>
      <c r="M158" s="23"/>
      <c r="N158" s="24"/>
      <c r="O158" s="3"/>
      <c r="P158" s="3"/>
      <c r="Q158" s="3"/>
      <c r="R158" s="3"/>
      <c r="S158" s="3"/>
      <c r="T158" s="3"/>
      <c r="U158" s="3"/>
      <c r="V158" s="3"/>
      <c r="W158" s="5"/>
      <c r="X158" s="3"/>
      <c r="Y158" s="3"/>
      <c r="Z158" s="5"/>
      <c r="AA158" s="3"/>
      <c r="AB158" s="3"/>
      <c r="AC158" s="5"/>
      <c r="AD158" s="3"/>
      <c r="AE158" s="5"/>
    </row>
    <row r="159" spans="1:31" ht="15.75" customHeight="1" x14ac:dyDescent="0.2">
      <c r="A159" s="3"/>
      <c r="B159" s="3"/>
      <c r="C159" s="3"/>
      <c r="D159" s="4"/>
      <c r="E159" s="3"/>
      <c r="F159" s="5"/>
      <c r="G159" s="22"/>
      <c r="H159" s="3"/>
      <c r="I159" s="5"/>
      <c r="J159" s="3"/>
      <c r="K159" s="3"/>
      <c r="L159" s="3"/>
      <c r="M159" s="23"/>
      <c r="N159" s="24"/>
      <c r="O159" s="3"/>
      <c r="P159" s="3"/>
      <c r="Q159" s="3"/>
      <c r="R159" s="3"/>
      <c r="S159" s="3"/>
      <c r="T159" s="3"/>
      <c r="U159" s="3"/>
      <c r="V159" s="3"/>
      <c r="W159" s="5"/>
      <c r="X159" s="3"/>
      <c r="Y159" s="3"/>
      <c r="Z159" s="5"/>
      <c r="AA159" s="3"/>
      <c r="AB159" s="3"/>
      <c r="AC159" s="5"/>
      <c r="AD159" s="3"/>
      <c r="AE159" s="5"/>
    </row>
    <row r="160" spans="1:31" ht="15.75" customHeight="1" x14ac:dyDescent="0.2">
      <c r="A160" s="3"/>
      <c r="B160" s="3"/>
      <c r="C160" s="3"/>
      <c r="D160" s="4"/>
      <c r="E160" s="3"/>
      <c r="F160" s="5"/>
      <c r="G160" s="22"/>
      <c r="H160" s="3"/>
      <c r="I160" s="5"/>
      <c r="J160" s="3"/>
      <c r="K160" s="3"/>
      <c r="L160" s="3"/>
      <c r="M160" s="23"/>
      <c r="N160" s="24"/>
      <c r="O160" s="3"/>
      <c r="P160" s="3"/>
      <c r="Q160" s="3"/>
      <c r="R160" s="3"/>
      <c r="S160" s="3"/>
      <c r="T160" s="3"/>
      <c r="U160" s="3"/>
      <c r="V160" s="3"/>
      <c r="W160" s="5"/>
      <c r="X160" s="3"/>
      <c r="Y160" s="3"/>
      <c r="Z160" s="5"/>
      <c r="AA160" s="3"/>
      <c r="AB160" s="3"/>
      <c r="AC160" s="5"/>
      <c r="AD160" s="3"/>
      <c r="AE160" s="5"/>
    </row>
    <row r="161" spans="1:31" ht="15.75" customHeight="1" x14ac:dyDescent="0.2">
      <c r="A161" s="3"/>
      <c r="B161" s="3"/>
      <c r="C161" s="3"/>
      <c r="D161" s="4"/>
      <c r="E161" s="3"/>
      <c r="F161" s="5"/>
      <c r="G161" s="22"/>
      <c r="H161" s="3"/>
      <c r="I161" s="5"/>
      <c r="J161" s="3"/>
      <c r="K161" s="3"/>
      <c r="L161" s="3"/>
      <c r="M161" s="23"/>
      <c r="N161" s="24"/>
      <c r="O161" s="3"/>
      <c r="P161" s="3"/>
      <c r="Q161" s="3"/>
      <c r="R161" s="3"/>
      <c r="S161" s="3"/>
      <c r="T161" s="3"/>
      <c r="U161" s="3"/>
      <c r="V161" s="3"/>
      <c r="W161" s="5"/>
      <c r="X161" s="3"/>
      <c r="Y161" s="3"/>
      <c r="Z161" s="5"/>
      <c r="AA161" s="3"/>
      <c r="AB161" s="3"/>
      <c r="AC161" s="5"/>
      <c r="AD161" s="3"/>
      <c r="AE161" s="5"/>
    </row>
    <row r="162" spans="1:31" ht="15.75" customHeight="1" x14ac:dyDescent="0.2">
      <c r="A162" s="3"/>
      <c r="B162" s="3"/>
      <c r="C162" s="3"/>
      <c r="D162" s="4"/>
      <c r="E162" s="3"/>
      <c r="F162" s="5"/>
      <c r="G162" s="22"/>
      <c r="H162" s="3"/>
      <c r="I162" s="5"/>
      <c r="J162" s="3"/>
      <c r="K162" s="3"/>
      <c r="L162" s="3"/>
      <c r="M162" s="23"/>
      <c r="N162" s="24"/>
      <c r="O162" s="3"/>
      <c r="P162" s="3"/>
      <c r="Q162" s="3"/>
      <c r="R162" s="3"/>
      <c r="S162" s="3"/>
      <c r="T162" s="3"/>
      <c r="U162" s="3"/>
      <c r="V162" s="3"/>
      <c r="W162" s="5"/>
      <c r="X162" s="3"/>
      <c r="Y162" s="3"/>
      <c r="Z162" s="5"/>
      <c r="AA162" s="3"/>
      <c r="AB162" s="3"/>
      <c r="AC162" s="5"/>
      <c r="AD162" s="3"/>
      <c r="AE162" s="5"/>
    </row>
    <row r="163" spans="1:31" ht="15.75" customHeight="1" x14ac:dyDescent="0.2">
      <c r="A163" s="3"/>
      <c r="B163" s="3"/>
      <c r="C163" s="3"/>
      <c r="D163" s="4"/>
      <c r="E163" s="3"/>
      <c r="F163" s="5"/>
      <c r="G163" s="22"/>
      <c r="H163" s="3"/>
      <c r="I163" s="5"/>
      <c r="J163" s="3"/>
      <c r="K163" s="3"/>
      <c r="L163" s="3"/>
      <c r="M163" s="23"/>
      <c r="N163" s="24"/>
      <c r="O163" s="3"/>
      <c r="P163" s="3"/>
      <c r="Q163" s="3"/>
      <c r="R163" s="3"/>
      <c r="S163" s="3"/>
      <c r="T163" s="3"/>
      <c r="U163" s="3"/>
      <c r="V163" s="3"/>
      <c r="W163" s="5"/>
      <c r="X163" s="3"/>
      <c r="Y163" s="3"/>
      <c r="Z163" s="5"/>
      <c r="AA163" s="3"/>
      <c r="AB163" s="3"/>
      <c r="AC163" s="5"/>
      <c r="AD163" s="3"/>
      <c r="AE163" s="5"/>
    </row>
    <row r="164" spans="1:31" ht="15.75" customHeight="1" x14ac:dyDescent="0.2">
      <c r="A164" s="3"/>
      <c r="B164" s="3"/>
      <c r="C164" s="3"/>
      <c r="D164" s="4"/>
      <c r="E164" s="3"/>
      <c r="F164" s="5"/>
      <c r="G164" s="22"/>
      <c r="H164" s="3"/>
      <c r="I164" s="5"/>
      <c r="J164" s="3"/>
      <c r="K164" s="3"/>
      <c r="L164" s="3"/>
      <c r="M164" s="23"/>
      <c r="N164" s="24"/>
      <c r="O164" s="3"/>
      <c r="P164" s="3"/>
      <c r="Q164" s="3"/>
      <c r="R164" s="3"/>
      <c r="S164" s="3"/>
      <c r="T164" s="3"/>
      <c r="U164" s="3"/>
      <c r="V164" s="3"/>
      <c r="W164" s="5"/>
      <c r="X164" s="3"/>
      <c r="Y164" s="3"/>
      <c r="Z164" s="5"/>
      <c r="AA164" s="3"/>
      <c r="AB164" s="3"/>
      <c r="AC164" s="5"/>
      <c r="AD164" s="3"/>
      <c r="AE164" s="5"/>
    </row>
    <row r="165" spans="1:31" ht="15.75" customHeight="1" x14ac:dyDescent="0.2">
      <c r="A165" s="3"/>
      <c r="B165" s="3"/>
      <c r="C165" s="3"/>
      <c r="D165" s="4"/>
      <c r="E165" s="3"/>
      <c r="F165" s="5"/>
      <c r="G165" s="22"/>
      <c r="H165" s="3"/>
      <c r="I165" s="5"/>
      <c r="J165" s="3"/>
      <c r="K165" s="3"/>
      <c r="L165" s="3"/>
      <c r="M165" s="23"/>
      <c r="N165" s="24"/>
      <c r="O165" s="3"/>
      <c r="P165" s="3"/>
      <c r="Q165" s="3"/>
      <c r="R165" s="3"/>
      <c r="S165" s="3"/>
      <c r="T165" s="3"/>
      <c r="U165" s="3"/>
      <c r="V165" s="3"/>
      <c r="W165" s="5"/>
      <c r="X165" s="3"/>
      <c r="Y165" s="3"/>
      <c r="Z165" s="5"/>
      <c r="AA165" s="3"/>
      <c r="AB165" s="3"/>
      <c r="AC165" s="5"/>
      <c r="AD165" s="3"/>
      <c r="AE165" s="5"/>
    </row>
    <row r="166" spans="1:31" ht="15.75" customHeight="1" x14ac:dyDescent="0.2">
      <c r="A166" s="3"/>
      <c r="B166" s="3"/>
      <c r="C166" s="3"/>
      <c r="D166" s="4"/>
      <c r="E166" s="3"/>
      <c r="F166" s="5"/>
      <c r="G166" s="22"/>
      <c r="H166" s="3"/>
      <c r="I166" s="5"/>
      <c r="J166" s="3"/>
      <c r="K166" s="3"/>
      <c r="L166" s="3"/>
      <c r="M166" s="23"/>
      <c r="N166" s="24"/>
      <c r="O166" s="3"/>
      <c r="P166" s="3"/>
      <c r="Q166" s="3"/>
      <c r="R166" s="3"/>
      <c r="S166" s="3"/>
      <c r="T166" s="3"/>
      <c r="U166" s="3"/>
      <c r="V166" s="3"/>
      <c r="W166" s="5"/>
      <c r="X166" s="3"/>
      <c r="Y166" s="3"/>
      <c r="Z166" s="5"/>
      <c r="AA166" s="3"/>
      <c r="AB166" s="3"/>
      <c r="AC166" s="5"/>
      <c r="AD166" s="3"/>
      <c r="AE166" s="5"/>
    </row>
    <row r="167" spans="1:31" ht="15.75" customHeight="1" x14ac:dyDescent="0.2">
      <c r="A167" s="3"/>
      <c r="B167" s="3"/>
      <c r="C167" s="3"/>
      <c r="D167" s="4"/>
      <c r="E167" s="3"/>
      <c r="F167" s="5"/>
      <c r="G167" s="22"/>
      <c r="H167" s="3"/>
      <c r="I167" s="5"/>
      <c r="J167" s="3"/>
      <c r="K167" s="3"/>
      <c r="L167" s="3"/>
      <c r="M167" s="23"/>
      <c r="N167" s="24"/>
      <c r="O167" s="3"/>
      <c r="P167" s="3"/>
      <c r="Q167" s="3"/>
      <c r="R167" s="3"/>
      <c r="S167" s="3"/>
      <c r="T167" s="3"/>
      <c r="U167" s="3"/>
      <c r="V167" s="3"/>
      <c r="W167" s="5"/>
      <c r="X167" s="3"/>
      <c r="Y167" s="3"/>
      <c r="Z167" s="5"/>
      <c r="AA167" s="3"/>
      <c r="AB167" s="3"/>
      <c r="AC167" s="5"/>
      <c r="AD167" s="3"/>
      <c r="AE167" s="5"/>
    </row>
    <row r="168" spans="1:31" ht="15.75" customHeight="1" x14ac:dyDescent="0.2">
      <c r="A168" s="3"/>
      <c r="B168" s="3"/>
      <c r="C168" s="3"/>
      <c r="D168" s="4"/>
      <c r="E168" s="3"/>
      <c r="F168" s="5"/>
      <c r="G168" s="22"/>
      <c r="H168" s="3"/>
      <c r="I168" s="5"/>
      <c r="J168" s="3"/>
      <c r="K168" s="3"/>
      <c r="L168" s="3"/>
      <c r="M168" s="23"/>
      <c r="N168" s="24"/>
      <c r="O168" s="3"/>
      <c r="P168" s="3"/>
      <c r="Q168" s="3"/>
      <c r="R168" s="3"/>
      <c r="S168" s="3"/>
      <c r="T168" s="3"/>
      <c r="U168" s="3"/>
      <c r="V168" s="3"/>
      <c r="W168" s="5"/>
      <c r="X168" s="3"/>
      <c r="Y168" s="3"/>
      <c r="Z168" s="5"/>
      <c r="AA168" s="3"/>
      <c r="AB168" s="3"/>
      <c r="AC168" s="5"/>
      <c r="AD168" s="3"/>
      <c r="AE168" s="5"/>
    </row>
    <row r="169" spans="1:31" ht="15.75" customHeight="1" x14ac:dyDescent="0.2">
      <c r="A169" s="3"/>
      <c r="B169" s="3"/>
      <c r="C169" s="3"/>
      <c r="D169" s="4"/>
      <c r="E169" s="3"/>
      <c r="F169" s="5"/>
      <c r="G169" s="22"/>
      <c r="H169" s="3"/>
      <c r="I169" s="5"/>
      <c r="J169" s="3"/>
      <c r="K169" s="3"/>
      <c r="L169" s="3"/>
      <c r="M169" s="23"/>
      <c r="N169" s="24"/>
      <c r="O169" s="3"/>
      <c r="P169" s="3"/>
      <c r="Q169" s="3"/>
      <c r="R169" s="3"/>
      <c r="S169" s="3"/>
      <c r="T169" s="3"/>
      <c r="U169" s="3"/>
      <c r="V169" s="3"/>
      <c r="W169" s="5"/>
      <c r="X169" s="3"/>
      <c r="Y169" s="3"/>
      <c r="Z169" s="5"/>
      <c r="AA169" s="3"/>
      <c r="AB169" s="3"/>
      <c r="AC169" s="5"/>
      <c r="AD169" s="3"/>
      <c r="AE169" s="5"/>
    </row>
    <row r="170" spans="1:31" ht="15.75" customHeight="1" x14ac:dyDescent="0.2">
      <c r="A170" s="3"/>
      <c r="B170" s="3"/>
      <c r="C170" s="3"/>
      <c r="D170" s="4"/>
      <c r="E170" s="3"/>
      <c r="F170" s="5"/>
      <c r="G170" s="22"/>
      <c r="H170" s="3"/>
      <c r="I170" s="5"/>
      <c r="J170" s="3"/>
      <c r="K170" s="3"/>
      <c r="L170" s="3"/>
      <c r="M170" s="23"/>
      <c r="N170" s="24"/>
      <c r="O170" s="3"/>
      <c r="P170" s="3"/>
      <c r="Q170" s="3"/>
      <c r="R170" s="3"/>
      <c r="S170" s="3"/>
      <c r="T170" s="3"/>
      <c r="U170" s="3"/>
      <c r="V170" s="3"/>
      <c r="W170" s="5"/>
      <c r="X170" s="3"/>
      <c r="Y170" s="3"/>
      <c r="Z170" s="5"/>
      <c r="AA170" s="3"/>
      <c r="AB170" s="3"/>
      <c r="AC170" s="5"/>
      <c r="AD170" s="3"/>
      <c r="AE170" s="5"/>
    </row>
    <row r="171" spans="1:31" ht="15.75" customHeight="1" x14ac:dyDescent="0.2">
      <c r="A171" s="3"/>
      <c r="B171" s="3"/>
      <c r="C171" s="3"/>
      <c r="D171" s="4"/>
      <c r="E171" s="3"/>
      <c r="F171" s="5"/>
      <c r="G171" s="22"/>
      <c r="H171" s="3"/>
      <c r="I171" s="5"/>
      <c r="J171" s="3"/>
      <c r="K171" s="3"/>
      <c r="L171" s="3"/>
      <c r="M171" s="23"/>
      <c r="N171" s="24"/>
      <c r="O171" s="3"/>
      <c r="P171" s="3"/>
      <c r="Q171" s="3"/>
      <c r="R171" s="3"/>
      <c r="S171" s="3"/>
      <c r="T171" s="3"/>
      <c r="U171" s="3"/>
      <c r="V171" s="3"/>
      <c r="W171" s="5"/>
      <c r="X171" s="3"/>
      <c r="Y171" s="3"/>
      <c r="Z171" s="5"/>
      <c r="AA171" s="3"/>
      <c r="AB171" s="3"/>
      <c r="AC171" s="5"/>
      <c r="AD171" s="3"/>
      <c r="AE171" s="5"/>
    </row>
    <row r="172" spans="1:31" ht="15.75" customHeight="1" x14ac:dyDescent="0.2">
      <c r="A172" s="3"/>
      <c r="B172" s="3"/>
      <c r="C172" s="3"/>
      <c r="D172" s="4"/>
      <c r="E172" s="3"/>
      <c r="F172" s="5"/>
      <c r="G172" s="22"/>
      <c r="H172" s="3"/>
      <c r="I172" s="5"/>
      <c r="J172" s="3"/>
      <c r="K172" s="3"/>
      <c r="L172" s="3"/>
      <c r="M172" s="23"/>
      <c r="N172" s="24"/>
      <c r="O172" s="3"/>
      <c r="P172" s="3"/>
      <c r="Q172" s="3"/>
      <c r="R172" s="3"/>
      <c r="S172" s="3"/>
      <c r="T172" s="3"/>
      <c r="U172" s="3"/>
      <c r="V172" s="3"/>
      <c r="W172" s="5"/>
      <c r="X172" s="3"/>
      <c r="Y172" s="3"/>
      <c r="Z172" s="5"/>
      <c r="AA172" s="3"/>
      <c r="AB172" s="3"/>
      <c r="AC172" s="5"/>
      <c r="AD172" s="3"/>
      <c r="AE172" s="5"/>
    </row>
    <row r="173" spans="1:31" ht="15.75" customHeight="1" x14ac:dyDescent="0.2">
      <c r="A173" s="3"/>
      <c r="B173" s="3"/>
      <c r="C173" s="3"/>
      <c r="D173" s="4"/>
      <c r="E173" s="3"/>
      <c r="F173" s="5"/>
      <c r="G173" s="22"/>
      <c r="H173" s="3"/>
      <c r="I173" s="5"/>
      <c r="J173" s="3"/>
      <c r="K173" s="3"/>
      <c r="L173" s="3"/>
      <c r="M173" s="23"/>
      <c r="N173" s="24"/>
      <c r="O173" s="3"/>
      <c r="P173" s="3"/>
      <c r="Q173" s="3"/>
      <c r="R173" s="3"/>
      <c r="S173" s="3"/>
      <c r="T173" s="3"/>
      <c r="U173" s="3"/>
      <c r="V173" s="3"/>
      <c r="W173" s="5"/>
      <c r="X173" s="3"/>
      <c r="Y173" s="3"/>
      <c r="Z173" s="5"/>
      <c r="AA173" s="3"/>
      <c r="AB173" s="3"/>
      <c r="AC173" s="5"/>
      <c r="AD173" s="3"/>
      <c r="AE173" s="5"/>
    </row>
    <row r="174" spans="1:31" ht="15.75" customHeight="1" x14ac:dyDescent="0.2">
      <c r="A174" s="3"/>
      <c r="B174" s="3"/>
      <c r="C174" s="3"/>
      <c r="D174" s="4"/>
      <c r="E174" s="3"/>
      <c r="F174" s="5"/>
      <c r="G174" s="22"/>
      <c r="H174" s="3"/>
      <c r="I174" s="5"/>
      <c r="J174" s="3"/>
      <c r="K174" s="3"/>
      <c r="L174" s="3"/>
      <c r="M174" s="23"/>
      <c r="N174" s="24"/>
      <c r="O174" s="3"/>
      <c r="P174" s="3"/>
      <c r="Q174" s="3"/>
      <c r="R174" s="3"/>
      <c r="S174" s="3"/>
      <c r="T174" s="3"/>
      <c r="U174" s="3"/>
      <c r="V174" s="3"/>
      <c r="W174" s="5"/>
      <c r="X174" s="3"/>
      <c r="Y174" s="3"/>
      <c r="Z174" s="5"/>
      <c r="AA174" s="3"/>
      <c r="AB174" s="3"/>
      <c r="AC174" s="5"/>
      <c r="AD174" s="3"/>
      <c r="AE174" s="5"/>
    </row>
    <row r="175" spans="1:31" ht="15.75" customHeight="1" x14ac:dyDescent="0.2">
      <c r="A175" s="3"/>
      <c r="B175" s="3"/>
      <c r="C175" s="3"/>
      <c r="D175" s="4"/>
      <c r="E175" s="3"/>
      <c r="F175" s="5"/>
      <c r="G175" s="22"/>
      <c r="H175" s="3"/>
      <c r="I175" s="5"/>
      <c r="J175" s="3"/>
      <c r="K175" s="3"/>
      <c r="L175" s="3"/>
      <c r="M175" s="23"/>
      <c r="N175" s="24"/>
      <c r="O175" s="3"/>
      <c r="P175" s="3"/>
      <c r="Q175" s="3"/>
      <c r="R175" s="3"/>
      <c r="S175" s="3"/>
      <c r="T175" s="3"/>
      <c r="U175" s="3"/>
      <c r="V175" s="3"/>
      <c r="W175" s="5"/>
      <c r="X175" s="3"/>
      <c r="Y175" s="3"/>
      <c r="Z175" s="5"/>
      <c r="AA175" s="3"/>
      <c r="AB175" s="3"/>
      <c r="AC175" s="5"/>
      <c r="AD175" s="3"/>
      <c r="AE175" s="5"/>
    </row>
    <row r="176" spans="1:31" ht="15.75" customHeight="1" x14ac:dyDescent="0.2">
      <c r="A176" s="3"/>
      <c r="B176" s="3"/>
      <c r="C176" s="3"/>
      <c r="D176" s="4"/>
      <c r="E176" s="3"/>
      <c r="F176" s="5"/>
      <c r="G176" s="22"/>
      <c r="H176" s="3"/>
      <c r="I176" s="5"/>
      <c r="J176" s="3"/>
      <c r="K176" s="3"/>
      <c r="L176" s="3"/>
      <c r="M176" s="23"/>
      <c r="N176" s="24"/>
      <c r="O176" s="3"/>
      <c r="P176" s="3"/>
      <c r="Q176" s="3"/>
      <c r="R176" s="3"/>
      <c r="S176" s="3"/>
      <c r="T176" s="3"/>
      <c r="U176" s="3"/>
      <c r="V176" s="3"/>
      <c r="W176" s="5"/>
      <c r="X176" s="3"/>
      <c r="Y176" s="3"/>
      <c r="Z176" s="5"/>
      <c r="AA176" s="3"/>
      <c r="AB176" s="3"/>
      <c r="AC176" s="5"/>
      <c r="AD176" s="3"/>
      <c r="AE176" s="5"/>
    </row>
    <row r="177" spans="1:31" ht="15.75" customHeight="1" x14ac:dyDescent="0.2">
      <c r="A177" s="3"/>
      <c r="B177" s="3"/>
      <c r="C177" s="3"/>
      <c r="D177" s="4"/>
      <c r="E177" s="3"/>
      <c r="F177" s="5"/>
      <c r="G177" s="22"/>
      <c r="H177" s="3"/>
      <c r="I177" s="5"/>
      <c r="J177" s="3"/>
      <c r="K177" s="3"/>
      <c r="L177" s="3"/>
      <c r="M177" s="23"/>
      <c r="N177" s="24"/>
      <c r="O177" s="3"/>
      <c r="P177" s="3"/>
      <c r="Q177" s="3"/>
      <c r="R177" s="3"/>
      <c r="S177" s="3"/>
      <c r="T177" s="3"/>
      <c r="U177" s="3"/>
      <c r="V177" s="3"/>
      <c r="W177" s="5"/>
      <c r="X177" s="3"/>
      <c r="Y177" s="3"/>
      <c r="Z177" s="5"/>
      <c r="AA177" s="3"/>
      <c r="AB177" s="3"/>
      <c r="AC177" s="5"/>
      <c r="AD177" s="3"/>
      <c r="AE177" s="5"/>
    </row>
    <row r="178" spans="1:31" ht="15.75" customHeight="1" x14ac:dyDescent="0.2">
      <c r="A178" s="3"/>
      <c r="B178" s="3"/>
      <c r="C178" s="3"/>
      <c r="D178" s="4"/>
      <c r="E178" s="3"/>
      <c r="F178" s="5"/>
      <c r="G178" s="22"/>
      <c r="H178" s="3"/>
      <c r="I178" s="5"/>
      <c r="J178" s="3"/>
      <c r="K178" s="3"/>
      <c r="L178" s="3"/>
      <c r="M178" s="23"/>
      <c r="N178" s="24"/>
      <c r="O178" s="3"/>
      <c r="P178" s="3"/>
      <c r="Q178" s="3"/>
      <c r="R178" s="3"/>
      <c r="S178" s="3"/>
      <c r="T178" s="3"/>
      <c r="U178" s="3"/>
      <c r="V178" s="3"/>
      <c r="W178" s="5"/>
      <c r="X178" s="3"/>
      <c r="Y178" s="3"/>
      <c r="Z178" s="5"/>
      <c r="AA178" s="3"/>
      <c r="AB178" s="3"/>
      <c r="AC178" s="5"/>
      <c r="AD178" s="3"/>
      <c r="AE178" s="5"/>
    </row>
    <row r="179" spans="1:31" ht="15.75" customHeight="1" x14ac:dyDescent="0.2">
      <c r="A179" s="3"/>
      <c r="B179" s="3"/>
      <c r="C179" s="3"/>
      <c r="D179" s="4"/>
      <c r="E179" s="3"/>
      <c r="F179" s="5"/>
      <c r="G179" s="22"/>
      <c r="H179" s="3"/>
      <c r="I179" s="5"/>
      <c r="J179" s="3"/>
      <c r="K179" s="3"/>
      <c r="L179" s="3"/>
      <c r="M179" s="23"/>
      <c r="N179" s="24"/>
      <c r="O179" s="3"/>
      <c r="P179" s="3"/>
      <c r="Q179" s="3"/>
      <c r="R179" s="3"/>
      <c r="S179" s="3"/>
      <c r="T179" s="3"/>
      <c r="U179" s="3"/>
      <c r="V179" s="3"/>
      <c r="W179" s="5"/>
      <c r="X179" s="3"/>
      <c r="Y179" s="3"/>
      <c r="Z179" s="5"/>
      <c r="AA179" s="3"/>
      <c r="AB179" s="3"/>
      <c r="AC179" s="5"/>
      <c r="AD179" s="3"/>
      <c r="AE179" s="5"/>
    </row>
    <row r="180" spans="1:31" ht="15.75" customHeight="1" x14ac:dyDescent="0.2">
      <c r="A180" s="3"/>
      <c r="B180" s="3"/>
      <c r="C180" s="3"/>
      <c r="D180" s="4"/>
      <c r="E180" s="3"/>
      <c r="F180" s="5"/>
      <c r="G180" s="22"/>
      <c r="H180" s="3"/>
      <c r="I180" s="5"/>
      <c r="J180" s="3"/>
      <c r="K180" s="3"/>
      <c r="L180" s="3"/>
      <c r="M180" s="23"/>
      <c r="N180" s="24"/>
      <c r="O180" s="3"/>
      <c r="P180" s="3"/>
      <c r="Q180" s="3"/>
      <c r="R180" s="3"/>
      <c r="S180" s="3"/>
      <c r="T180" s="3"/>
      <c r="U180" s="3"/>
      <c r="V180" s="3"/>
      <c r="W180" s="5"/>
      <c r="X180" s="3"/>
      <c r="Y180" s="3"/>
      <c r="Z180" s="5"/>
      <c r="AA180" s="3"/>
      <c r="AB180" s="3"/>
      <c r="AC180" s="5"/>
      <c r="AD180" s="3"/>
      <c r="AE180" s="5"/>
    </row>
    <row r="181" spans="1:31" ht="15.75" customHeight="1" x14ac:dyDescent="0.2">
      <c r="A181" s="3"/>
      <c r="B181" s="3"/>
      <c r="C181" s="3"/>
      <c r="D181" s="4"/>
      <c r="E181" s="3"/>
      <c r="F181" s="5"/>
      <c r="G181" s="22"/>
      <c r="H181" s="3"/>
      <c r="I181" s="5"/>
      <c r="J181" s="3"/>
      <c r="K181" s="3"/>
      <c r="L181" s="3"/>
      <c r="M181" s="23"/>
      <c r="N181" s="24"/>
      <c r="O181" s="3"/>
      <c r="P181" s="3"/>
      <c r="Q181" s="3"/>
      <c r="R181" s="3"/>
      <c r="S181" s="3"/>
      <c r="T181" s="3"/>
      <c r="U181" s="3"/>
      <c r="V181" s="3"/>
      <c r="W181" s="5"/>
      <c r="X181" s="3"/>
      <c r="Y181" s="3"/>
      <c r="Z181" s="5"/>
      <c r="AA181" s="3"/>
      <c r="AB181" s="3"/>
      <c r="AC181" s="5"/>
      <c r="AD181" s="3"/>
      <c r="AE181" s="5"/>
    </row>
    <row r="182" spans="1:31" ht="15.75" customHeight="1" x14ac:dyDescent="0.2">
      <c r="A182" s="3"/>
      <c r="B182" s="3"/>
      <c r="C182" s="3"/>
      <c r="D182" s="4"/>
      <c r="E182" s="3"/>
      <c r="F182" s="5"/>
      <c r="G182" s="22"/>
      <c r="H182" s="3"/>
      <c r="I182" s="5"/>
      <c r="J182" s="3"/>
      <c r="K182" s="3"/>
      <c r="L182" s="3"/>
      <c r="M182" s="23"/>
      <c r="N182" s="24"/>
      <c r="O182" s="3"/>
      <c r="P182" s="3"/>
      <c r="Q182" s="3"/>
      <c r="R182" s="3"/>
      <c r="S182" s="3"/>
      <c r="T182" s="3"/>
      <c r="U182" s="3"/>
      <c r="V182" s="3"/>
      <c r="W182" s="5"/>
      <c r="X182" s="3"/>
      <c r="Y182" s="3"/>
      <c r="Z182" s="5"/>
      <c r="AA182" s="3"/>
      <c r="AB182" s="3"/>
      <c r="AC182" s="5"/>
      <c r="AD182" s="3"/>
      <c r="AE182" s="5"/>
    </row>
    <row r="183" spans="1:31" ht="15.75" customHeight="1" x14ac:dyDescent="0.2">
      <c r="A183" s="3"/>
      <c r="B183" s="3"/>
      <c r="C183" s="3"/>
      <c r="D183" s="4"/>
      <c r="E183" s="3"/>
      <c r="F183" s="5"/>
      <c r="G183" s="22"/>
      <c r="H183" s="3"/>
      <c r="I183" s="5"/>
      <c r="J183" s="3"/>
      <c r="K183" s="3"/>
      <c r="L183" s="3"/>
      <c r="M183" s="23"/>
      <c r="N183" s="24"/>
      <c r="O183" s="3"/>
      <c r="P183" s="3"/>
      <c r="Q183" s="3"/>
      <c r="R183" s="3"/>
      <c r="S183" s="3"/>
      <c r="T183" s="3"/>
      <c r="U183" s="3"/>
      <c r="V183" s="3"/>
      <c r="W183" s="5"/>
      <c r="X183" s="3"/>
      <c r="Y183" s="3"/>
      <c r="Z183" s="5"/>
      <c r="AA183" s="3"/>
      <c r="AB183" s="3"/>
      <c r="AC183" s="5"/>
      <c r="AD183" s="3"/>
      <c r="AE183" s="5"/>
    </row>
    <row r="184" spans="1:31" ht="15.75" customHeight="1" x14ac:dyDescent="0.2">
      <c r="A184" s="3"/>
      <c r="B184" s="3"/>
      <c r="C184" s="3"/>
      <c r="D184" s="4"/>
      <c r="E184" s="3"/>
      <c r="F184" s="5"/>
      <c r="G184" s="22"/>
      <c r="H184" s="3"/>
      <c r="I184" s="5"/>
      <c r="J184" s="3"/>
      <c r="K184" s="3"/>
      <c r="L184" s="3"/>
      <c r="M184" s="23"/>
      <c r="N184" s="24"/>
      <c r="O184" s="3"/>
      <c r="P184" s="3"/>
      <c r="Q184" s="3"/>
      <c r="R184" s="3"/>
      <c r="S184" s="3"/>
      <c r="T184" s="3"/>
      <c r="U184" s="3"/>
      <c r="V184" s="3"/>
      <c r="W184" s="5"/>
      <c r="X184" s="3"/>
      <c r="Y184" s="3"/>
      <c r="Z184" s="5"/>
      <c r="AA184" s="3"/>
      <c r="AB184" s="3"/>
      <c r="AC184" s="5"/>
      <c r="AD184" s="3"/>
      <c r="AE184" s="5"/>
    </row>
    <row r="185" spans="1:31" ht="15.75" customHeight="1" x14ac:dyDescent="0.2">
      <c r="A185" s="3"/>
      <c r="B185" s="3"/>
      <c r="C185" s="3"/>
      <c r="D185" s="4"/>
      <c r="E185" s="3"/>
      <c r="F185" s="5"/>
      <c r="G185" s="22"/>
      <c r="H185" s="3"/>
      <c r="I185" s="5"/>
      <c r="J185" s="3"/>
      <c r="K185" s="3"/>
      <c r="L185" s="3"/>
      <c r="M185" s="23"/>
      <c r="N185" s="24"/>
      <c r="O185" s="3"/>
      <c r="P185" s="3"/>
      <c r="Q185" s="3"/>
      <c r="R185" s="3"/>
      <c r="S185" s="3"/>
      <c r="T185" s="3"/>
      <c r="U185" s="3"/>
      <c r="V185" s="3"/>
      <c r="W185" s="5"/>
      <c r="X185" s="3"/>
      <c r="Y185" s="3"/>
      <c r="Z185" s="5"/>
      <c r="AA185" s="3"/>
      <c r="AB185" s="3"/>
      <c r="AC185" s="5"/>
      <c r="AD185" s="3"/>
      <c r="AE185" s="5"/>
    </row>
    <row r="186" spans="1:31" ht="15.75" customHeight="1" x14ac:dyDescent="0.2">
      <c r="A186" s="3"/>
      <c r="B186" s="3"/>
      <c r="C186" s="3"/>
      <c r="D186" s="4"/>
      <c r="E186" s="3"/>
      <c r="F186" s="5"/>
      <c r="G186" s="22"/>
      <c r="H186" s="3"/>
      <c r="I186" s="5"/>
      <c r="J186" s="3"/>
      <c r="K186" s="3"/>
      <c r="L186" s="3"/>
      <c r="M186" s="23"/>
      <c r="N186" s="24"/>
      <c r="O186" s="3"/>
      <c r="P186" s="3"/>
      <c r="Q186" s="3"/>
      <c r="R186" s="3"/>
      <c r="S186" s="3"/>
      <c r="T186" s="3"/>
      <c r="U186" s="3"/>
      <c r="V186" s="3"/>
      <c r="W186" s="5"/>
      <c r="X186" s="3"/>
      <c r="Y186" s="3"/>
      <c r="Z186" s="5"/>
      <c r="AA186" s="3"/>
      <c r="AB186" s="3"/>
      <c r="AC186" s="5"/>
      <c r="AD186" s="3"/>
      <c r="AE186" s="5"/>
    </row>
    <row r="187" spans="1:31" ht="15.75" customHeight="1" x14ac:dyDescent="0.2">
      <c r="A187" s="3"/>
      <c r="B187" s="3"/>
      <c r="C187" s="3"/>
      <c r="D187" s="4"/>
      <c r="E187" s="3"/>
      <c r="F187" s="5"/>
      <c r="G187" s="22"/>
      <c r="H187" s="3"/>
      <c r="I187" s="5"/>
      <c r="J187" s="3"/>
      <c r="K187" s="3"/>
      <c r="L187" s="3"/>
      <c r="M187" s="23"/>
      <c r="N187" s="24"/>
      <c r="O187" s="3"/>
      <c r="P187" s="3"/>
      <c r="Q187" s="3"/>
      <c r="R187" s="3"/>
      <c r="S187" s="3"/>
      <c r="T187" s="3"/>
      <c r="U187" s="3"/>
      <c r="V187" s="3"/>
      <c r="W187" s="5"/>
      <c r="X187" s="3"/>
      <c r="Y187" s="3"/>
      <c r="Z187" s="5"/>
      <c r="AA187" s="3"/>
      <c r="AB187" s="3"/>
      <c r="AC187" s="5"/>
      <c r="AD187" s="3"/>
      <c r="AE187" s="5"/>
    </row>
    <row r="188" spans="1:31" ht="15.75" customHeight="1" x14ac:dyDescent="0.2">
      <c r="A188" s="3"/>
      <c r="B188" s="3"/>
      <c r="C188" s="3"/>
      <c r="D188" s="4"/>
      <c r="E188" s="3"/>
      <c r="F188" s="5"/>
      <c r="G188" s="22"/>
      <c r="H188" s="3"/>
      <c r="I188" s="5"/>
      <c r="J188" s="3"/>
      <c r="K188" s="3"/>
      <c r="L188" s="3"/>
      <c r="M188" s="23"/>
      <c r="N188" s="24"/>
      <c r="O188" s="3"/>
      <c r="P188" s="3"/>
      <c r="Q188" s="3"/>
      <c r="R188" s="3"/>
      <c r="S188" s="3"/>
      <c r="T188" s="3"/>
      <c r="U188" s="3"/>
      <c r="V188" s="3"/>
      <c r="W188" s="5"/>
      <c r="X188" s="3"/>
      <c r="Y188" s="3"/>
      <c r="Z188" s="5"/>
      <c r="AA188" s="3"/>
      <c r="AB188" s="3"/>
      <c r="AC188" s="5"/>
      <c r="AD188" s="3"/>
      <c r="AE188" s="5"/>
    </row>
    <row r="189" spans="1:31" ht="15.75" customHeight="1" x14ac:dyDescent="0.2">
      <c r="A189" s="3"/>
      <c r="B189" s="3"/>
      <c r="C189" s="3"/>
      <c r="D189" s="4"/>
      <c r="E189" s="3"/>
      <c r="F189" s="5"/>
      <c r="G189" s="22"/>
      <c r="H189" s="3"/>
      <c r="I189" s="5"/>
      <c r="J189" s="3"/>
      <c r="K189" s="3"/>
      <c r="L189" s="3"/>
      <c r="M189" s="23"/>
      <c r="N189" s="24"/>
      <c r="O189" s="3"/>
      <c r="P189" s="3"/>
      <c r="Q189" s="3"/>
      <c r="R189" s="3"/>
      <c r="S189" s="3"/>
      <c r="T189" s="3"/>
      <c r="U189" s="3"/>
      <c r="V189" s="3"/>
      <c r="W189" s="5"/>
      <c r="X189" s="3"/>
      <c r="Y189" s="3"/>
      <c r="Z189" s="5"/>
      <c r="AA189" s="3"/>
      <c r="AB189" s="3"/>
      <c r="AC189" s="5"/>
      <c r="AD189" s="3"/>
      <c r="AE189" s="5"/>
    </row>
    <row r="190" spans="1:31" ht="15.75" customHeight="1" x14ac:dyDescent="0.2">
      <c r="A190" s="3"/>
      <c r="B190" s="3"/>
      <c r="C190" s="3"/>
      <c r="D190" s="4"/>
      <c r="E190" s="3"/>
      <c r="F190" s="5"/>
      <c r="G190" s="22"/>
      <c r="H190" s="3"/>
      <c r="I190" s="5"/>
      <c r="J190" s="3"/>
      <c r="K190" s="3"/>
      <c r="L190" s="3"/>
      <c r="M190" s="23"/>
      <c r="N190" s="24"/>
      <c r="O190" s="3"/>
      <c r="P190" s="3"/>
      <c r="Q190" s="3"/>
      <c r="R190" s="3"/>
      <c r="S190" s="3"/>
      <c r="T190" s="3"/>
      <c r="U190" s="3"/>
      <c r="V190" s="3"/>
      <c r="W190" s="5"/>
      <c r="X190" s="3"/>
      <c r="Y190" s="3"/>
      <c r="Z190" s="5"/>
      <c r="AA190" s="3"/>
      <c r="AB190" s="3"/>
      <c r="AC190" s="5"/>
      <c r="AD190" s="3"/>
      <c r="AE190" s="5"/>
    </row>
    <row r="191" spans="1:31" ht="15.75" customHeight="1" x14ac:dyDescent="0.2">
      <c r="A191" s="3"/>
      <c r="B191" s="3"/>
      <c r="C191" s="3"/>
      <c r="D191" s="4"/>
      <c r="E191" s="3"/>
      <c r="F191" s="5"/>
      <c r="G191" s="22"/>
      <c r="H191" s="3"/>
      <c r="I191" s="5"/>
      <c r="J191" s="3"/>
      <c r="K191" s="3"/>
      <c r="L191" s="3"/>
      <c r="M191" s="23"/>
      <c r="N191" s="24"/>
      <c r="O191" s="3"/>
      <c r="P191" s="3"/>
      <c r="Q191" s="3"/>
      <c r="R191" s="3"/>
      <c r="S191" s="3"/>
      <c r="T191" s="3"/>
      <c r="U191" s="3"/>
      <c r="V191" s="3"/>
      <c r="W191" s="5"/>
      <c r="X191" s="3"/>
      <c r="Y191" s="3"/>
      <c r="Z191" s="5"/>
      <c r="AA191" s="3"/>
      <c r="AB191" s="3"/>
      <c r="AC191" s="5"/>
      <c r="AD191" s="3"/>
      <c r="AE191" s="5"/>
    </row>
    <row r="192" spans="1:31" ht="15.75" customHeight="1" x14ac:dyDescent="0.2">
      <c r="A192" s="3"/>
      <c r="B192" s="3"/>
      <c r="C192" s="3"/>
      <c r="D192" s="4"/>
      <c r="E192" s="3"/>
      <c r="F192" s="5"/>
      <c r="G192" s="22"/>
      <c r="H192" s="3"/>
      <c r="I192" s="5"/>
      <c r="J192" s="3"/>
      <c r="K192" s="3"/>
      <c r="L192" s="3"/>
      <c r="M192" s="23"/>
      <c r="N192" s="24"/>
      <c r="O192" s="3"/>
      <c r="P192" s="3"/>
      <c r="Q192" s="3"/>
      <c r="R192" s="3"/>
      <c r="S192" s="3"/>
      <c r="T192" s="3"/>
      <c r="U192" s="3"/>
      <c r="V192" s="3"/>
      <c r="W192" s="5"/>
      <c r="X192" s="3"/>
      <c r="Y192" s="3"/>
      <c r="Z192" s="5"/>
      <c r="AA192" s="3"/>
      <c r="AB192" s="3"/>
      <c r="AC192" s="5"/>
      <c r="AD192" s="3"/>
      <c r="AE192" s="5"/>
    </row>
    <row r="193" spans="1:31" ht="15.75" customHeight="1" x14ac:dyDescent="0.2">
      <c r="A193" s="3"/>
      <c r="B193" s="3"/>
      <c r="C193" s="3"/>
      <c r="D193" s="4"/>
      <c r="E193" s="3"/>
      <c r="F193" s="5"/>
      <c r="G193" s="22"/>
      <c r="H193" s="3"/>
      <c r="I193" s="5"/>
      <c r="J193" s="3"/>
      <c r="K193" s="3"/>
      <c r="L193" s="3"/>
      <c r="M193" s="23"/>
      <c r="N193" s="24"/>
      <c r="O193" s="3"/>
      <c r="P193" s="3"/>
      <c r="Q193" s="3"/>
      <c r="R193" s="3"/>
      <c r="S193" s="3"/>
      <c r="T193" s="3"/>
      <c r="U193" s="3"/>
      <c r="V193" s="3"/>
      <c r="W193" s="5"/>
      <c r="X193" s="3"/>
      <c r="Y193" s="3"/>
      <c r="Z193" s="5"/>
      <c r="AA193" s="3"/>
      <c r="AB193" s="3"/>
      <c r="AC193" s="5"/>
      <c r="AD193" s="3"/>
      <c r="AE193" s="5"/>
    </row>
    <row r="194" spans="1:31" ht="15.75" customHeight="1" x14ac:dyDescent="0.2">
      <c r="A194" s="3"/>
      <c r="B194" s="3"/>
      <c r="C194" s="3"/>
      <c r="D194" s="4"/>
      <c r="E194" s="3"/>
      <c r="F194" s="5"/>
      <c r="G194" s="22"/>
      <c r="H194" s="3"/>
      <c r="I194" s="5"/>
      <c r="J194" s="3"/>
      <c r="K194" s="3"/>
      <c r="L194" s="3"/>
      <c r="M194" s="23"/>
      <c r="N194" s="24"/>
      <c r="O194" s="3"/>
      <c r="P194" s="3"/>
      <c r="Q194" s="3"/>
      <c r="R194" s="3"/>
      <c r="S194" s="3"/>
      <c r="T194" s="3"/>
      <c r="U194" s="3"/>
      <c r="V194" s="3"/>
      <c r="W194" s="5"/>
      <c r="X194" s="3"/>
      <c r="Y194" s="3"/>
      <c r="Z194" s="5"/>
      <c r="AA194" s="3"/>
      <c r="AB194" s="3"/>
      <c r="AC194" s="5"/>
      <c r="AD194" s="3"/>
      <c r="AE194" s="5"/>
    </row>
    <row r="195" spans="1:31" ht="15.75" customHeight="1" x14ac:dyDescent="0.2">
      <c r="A195" s="3"/>
      <c r="B195" s="3"/>
      <c r="C195" s="3"/>
      <c r="D195" s="4"/>
      <c r="E195" s="3"/>
      <c r="F195" s="5"/>
      <c r="G195" s="22"/>
      <c r="H195" s="3"/>
      <c r="I195" s="5"/>
      <c r="J195" s="3"/>
      <c r="K195" s="3"/>
      <c r="L195" s="3"/>
      <c r="M195" s="23"/>
      <c r="N195" s="24"/>
      <c r="O195" s="3"/>
      <c r="P195" s="3"/>
      <c r="Q195" s="3"/>
      <c r="R195" s="3"/>
      <c r="S195" s="3"/>
      <c r="T195" s="3"/>
      <c r="U195" s="3"/>
      <c r="V195" s="3"/>
      <c r="W195" s="5"/>
      <c r="X195" s="3"/>
      <c r="Y195" s="3"/>
      <c r="Z195" s="5"/>
      <c r="AA195" s="3"/>
      <c r="AB195" s="3"/>
      <c r="AC195" s="5"/>
      <c r="AD195" s="3"/>
      <c r="AE195" s="5"/>
    </row>
    <row r="196" spans="1:31" ht="15.75" customHeight="1" x14ac:dyDescent="0.2">
      <c r="A196" s="3"/>
      <c r="B196" s="3"/>
      <c r="C196" s="3"/>
      <c r="D196" s="4"/>
      <c r="E196" s="3"/>
      <c r="F196" s="5"/>
      <c r="G196" s="22"/>
      <c r="H196" s="3"/>
      <c r="I196" s="5"/>
      <c r="J196" s="3"/>
      <c r="K196" s="3"/>
      <c r="L196" s="3"/>
      <c r="M196" s="23"/>
      <c r="N196" s="24"/>
      <c r="O196" s="3"/>
      <c r="P196" s="3"/>
      <c r="Q196" s="3"/>
      <c r="R196" s="3"/>
      <c r="S196" s="3"/>
      <c r="T196" s="3"/>
      <c r="U196" s="3"/>
      <c r="V196" s="3"/>
      <c r="W196" s="5"/>
      <c r="X196" s="3"/>
      <c r="Y196" s="3"/>
      <c r="Z196" s="5"/>
      <c r="AA196" s="3"/>
      <c r="AB196" s="3"/>
      <c r="AC196" s="5"/>
      <c r="AD196" s="3"/>
      <c r="AE196" s="5"/>
    </row>
    <row r="197" spans="1:31" ht="15.75" customHeight="1" x14ac:dyDescent="0.2">
      <c r="A197" s="3"/>
      <c r="B197" s="3"/>
      <c r="C197" s="3"/>
      <c r="D197" s="4"/>
      <c r="E197" s="3"/>
      <c r="F197" s="5"/>
      <c r="G197" s="22"/>
      <c r="H197" s="3"/>
      <c r="I197" s="5"/>
      <c r="J197" s="3"/>
      <c r="K197" s="3"/>
      <c r="L197" s="3"/>
      <c r="M197" s="23"/>
      <c r="N197" s="24"/>
      <c r="O197" s="3"/>
      <c r="P197" s="3"/>
      <c r="Q197" s="3"/>
      <c r="R197" s="3"/>
      <c r="S197" s="3"/>
      <c r="T197" s="3"/>
      <c r="U197" s="3"/>
      <c r="V197" s="3"/>
      <c r="W197" s="5"/>
      <c r="X197" s="3"/>
      <c r="Y197" s="3"/>
      <c r="Z197" s="5"/>
      <c r="AA197" s="3"/>
      <c r="AB197" s="3"/>
      <c r="AC197" s="5"/>
      <c r="AD197" s="3"/>
      <c r="AE197" s="5"/>
    </row>
    <row r="198" spans="1:31" ht="15.75" customHeight="1" x14ac:dyDescent="0.2">
      <c r="A198" s="3"/>
      <c r="B198" s="3"/>
      <c r="C198" s="3"/>
      <c r="D198" s="4"/>
      <c r="E198" s="3"/>
      <c r="F198" s="5"/>
      <c r="G198" s="22"/>
      <c r="H198" s="3"/>
      <c r="I198" s="5"/>
      <c r="J198" s="3"/>
      <c r="K198" s="3"/>
      <c r="L198" s="3"/>
      <c r="M198" s="23"/>
      <c r="N198" s="24"/>
      <c r="O198" s="3"/>
      <c r="P198" s="3"/>
      <c r="Q198" s="3"/>
      <c r="R198" s="3"/>
      <c r="S198" s="3"/>
      <c r="T198" s="3"/>
      <c r="U198" s="3"/>
      <c r="V198" s="3"/>
      <c r="W198" s="5"/>
      <c r="X198" s="3"/>
      <c r="Y198" s="3"/>
      <c r="Z198" s="5"/>
      <c r="AA198" s="3"/>
      <c r="AB198" s="3"/>
      <c r="AC198" s="5"/>
      <c r="AD198" s="3"/>
      <c r="AE198" s="5"/>
    </row>
    <row r="199" spans="1:31" ht="15.75" customHeight="1" x14ac:dyDescent="0.2">
      <c r="A199" s="3"/>
      <c r="B199" s="3"/>
      <c r="C199" s="3"/>
      <c r="D199" s="4"/>
      <c r="E199" s="3"/>
      <c r="F199" s="5"/>
      <c r="G199" s="22"/>
      <c r="H199" s="3"/>
      <c r="I199" s="5"/>
      <c r="J199" s="3"/>
      <c r="K199" s="3"/>
      <c r="L199" s="3"/>
      <c r="M199" s="23"/>
      <c r="N199" s="24"/>
      <c r="O199" s="3"/>
      <c r="P199" s="3"/>
      <c r="Q199" s="3"/>
      <c r="R199" s="3"/>
      <c r="S199" s="3"/>
      <c r="T199" s="3"/>
      <c r="U199" s="3"/>
      <c r="V199" s="3"/>
      <c r="W199" s="5"/>
      <c r="X199" s="3"/>
      <c r="Y199" s="3"/>
      <c r="Z199" s="5"/>
      <c r="AA199" s="3"/>
      <c r="AB199" s="3"/>
      <c r="AC199" s="5"/>
      <c r="AD199" s="3"/>
      <c r="AE199" s="5"/>
    </row>
    <row r="200" spans="1:31" ht="15.75" customHeight="1" x14ac:dyDescent="0.2">
      <c r="A200" s="3"/>
      <c r="B200" s="3"/>
      <c r="C200" s="3"/>
      <c r="D200" s="4"/>
      <c r="E200" s="3"/>
      <c r="F200" s="5"/>
      <c r="G200" s="22"/>
      <c r="H200" s="3"/>
      <c r="I200" s="5"/>
      <c r="J200" s="3"/>
      <c r="K200" s="3"/>
      <c r="L200" s="3"/>
      <c r="M200" s="23"/>
      <c r="N200" s="24"/>
      <c r="O200" s="3"/>
      <c r="P200" s="3"/>
      <c r="Q200" s="3"/>
      <c r="R200" s="3"/>
      <c r="S200" s="3"/>
      <c r="T200" s="3"/>
      <c r="U200" s="3"/>
      <c r="V200" s="3"/>
      <c r="W200" s="5"/>
      <c r="X200" s="3"/>
      <c r="Y200" s="3"/>
      <c r="Z200" s="5"/>
      <c r="AA200" s="3"/>
      <c r="AB200" s="3"/>
      <c r="AC200" s="5"/>
      <c r="AD200" s="3"/>
      <c r="AE200" s="5"/>
    </row>
    <row r="201" spans="1:31" ht="15.75" customHeight="1" x14ac:dyDescent="0.2">
      <c r="A201" s="3"/>
      <c r="B201" s="3"/>
      <c r="C201" s="3"/>
      <c r="D201" s="4"/>
      <c r="E201" s="3"/>
      <c r="F201" s="5"/>
      <c r="G201" s="22"/>
      <c r="H201" s="3"/>
      <c r="I201" s="5"/>
      <c r="J201" s="3"/>
      <c r="K201" s="3"/>
      <c r="L201" s="3"/>
      <c r="M201" s="23"/>
      <c r="N201" s="24"/>
      <c r="O201" s="3"/>
      <c r="P201" s="3"/>
      <c r="Q201" s="3"/>
      <c r="R201" s="3"/>
      <c r="S201" s="3"/>
      <c r="T201" s="3"/>
      <c r="U201" s="3"/>
      <c r="V201" s="3"/>
      <c r="W201" s="5"/>
      <c r="X201" s="3"/>
      <c r="Y201" s="3"/>
      <c r="Z201" s="5"/>
      <c r="AA201" s="3"/>
      <c r="AB201" s="3"/>
      <c r="AC201" s="5"/>
      <c r="AD201" s="3"/>
      <c r="AE201" s="5"/>
    </row>
    <row r="202" spans="1:31" ht="15.75" customHeight="1" x14ac:dyDescent="0.2">
      <c r="A202" s="3"/>
      <c r="B202" s="3"/>
      <c r="C202" s="3"/>
      <c r="D202" s="4"/>
      <c r="E202" s="3"/>
      <c r="F202" s="5"/>
      <c r="G202" s="22"/>
      <c r="H202" s="3"/>
      <c r="I202" s="5"/>
      <c r="J202" s="3"/>
      <c r="K202" s="3"/>
      <c r="L202" s="3"/>
      <c r="M202" s="23"/>
      <c r="N202" s="24"/>
      <c r="O202" s="3"/>
      <c r="P202" s="3"/>
      <c r="Q202" s="3"/>
      <c r="R202" s="3"/>
      <c r="S202" s="3"/>
      <c r="T202" s="3"/>
      <c r="U202" s="3"/>
      <c r="V202" s="3"/>
      <c r="W202" s="5"/>
      <c r="X202" s="3"/>
      <c r="Y202" s="3"/>
      <c r="Z202" s="5"/>
      <c r="AA202" s="3"/>
      <c r="AB202" s="3"/>
      <c r="AC202" s="5"/>
      <c r="AD202" s="3"/>
      <c r="AE202" s="5"/>
    </row>
    <row r="203" spans="1:31" ht="15.75" customHeight="1" x14ac:dyDescent="0.2">
      <c r="A203" s="3"/>
      <c r="B203" s="3"/>
      <c r="C203" s="3"/>
      <c r="D203" s="4"/>
      <c r="E203" s="3"/>
      <c r="F203" s="5"/>
      <c r="G203" s="22"/>
      <c r="H203" s="3"/>
      <c r="I203" s="5"/>
      <c r="J203" s="3"/>
      <c r="K203" s="3"/>
      <c r="L203" s="3"/>
      <c r="M203" s="23"/>
      <c r="N203" s="24"/>
      <c r="O203" s="3"/>
      <c r="P203" s="3"/>
      <c r="Q203" s="3"/>
      <c r="R203" s="3"/>
      <c r="S203" s="3"/>
      <c r="T203" s="3"/>
      <c r="U203" s="3"/>
      <c r="V203" s="3"/>
      <c r="W203" s="5"/>
      <c r="X203" s="3"/>
      <c r="Y203" s="3"/>
      <c r="Z203" s="5"/>
      <c r="AA203" s="3"/>
      <c r="AB203" s="3"/>
      <c r="AC203" s="5"/>
      <c r="AD203" s="3"/>
      <c r="AE203" s="5"/>
    </row>
    <row r="204" spans="1:31" ht="15.75" customHeight="1" x14ac:dyDescent="0.2">
      <c r="A204" s="3"/>
      <c r="B204" s="3"/>
      <c r="C204" s="3"/>
      <c r="D204" s="4"/>
      <c r="E204" s="3"/>
      <c r="F204" s="5"/>
      <c r="G204" s="22"/>
      <c r="H204" s="3"/>
      <c r="I204" s="5"/>
      <c r="J204" s="3"/>
      <c r="K204" s="3"/>
      <c r="L204" s="3"/>
      <c r="M204" s="23"/>
      <c r="N204" s="24"/>
      <c r="O204" s="3"/>
      <c r="P204" s="3"/>
      <c r="Q204" s="3"/>
      <c r="R204" s="3"/>
      <c r="S204" s="3"/>
      <c r="T204" s="3"/>
      <c r="U204" s="3"/>
      <c r="V204" s="3"/>
      <c r="W204" s="5"/>
      <c r="X204" s="3"/>
      <c r="Y204" s="3"/>
      <c r="Z204" s="5"/>
      <c r="AA204" s="3"/>
      <c r="AB204" s="3"/>
      <c r="AC204" s="5"/>
      <c r="AD204" s="3"/>
      <c r="AE204" s="5"/>
    </row>
    <row r="205" spans="1:31" ht="15.75" customHeight="1" x14ac:dyDescent="0.2">
      <c r="A205" s="3"/>
      <c r="B205" s="3"/>
      <c r="C205" s="3"/>
      <c r="D205" s="4"/>
      <c r="E205" s="3"/>
      <c r="F205" s="5"/>
      <c r="G205" s="22"/>
      <c r="H205" s="3"/>
      <c r="I205" s="5"/>
      <c r="J205" s="3"/>
      <c r="K205" s="3"/>
      <c r="L205" s="3"/>
      <c r="M205" s="23"/>
      <c r="N205" s="24"/>
      <c r="O205" s="3"/>
      <c r="P205" s="3"/>
      <c r="Q205" s="3"/>
      <c r="R205" s="3"/>
      <c r="S205" s="3"/>
      <c r="T205" s="3"/>
      <c r="U205" s="3"/>
      <c r="V205" s="3"/>
      <c r="W205" s="5"/>
      <c r="X205" s="3"/>
      <c r="Y205" s="3"/>
      <c r="Z205" s="5"/>
      <c r="AA205" s="3"/>
      <c r="AB205" s="3"/>
      <c r="AC205" s="5"/>
      <c r="AD205" s="3"/>
      <c r="AE205" s="5"/>
    </row>
    <row r="206" spans="1:31" ht="15.75" customHeight="1" x14ac:dyDescent="0.2">
      <c r="A206" s="3"/>
      <c r="B206" s="3"/>
      <c r="C206" s="3"/>
      <c r="D206" s="4"/>
      <c r="E206" s="3"/>
      <c r="F206" s="5"/>
      <c r="G206" s="22"/>
      <c r="H206" s="3"/>
      <c r="I206" s="5"/>
      <c r="J206" s="3"/>
      <c r="K206" s="3"/>
      <c r="L206" s="3"/>
      <c r="M206" s="23"/>
      <c r="N206" s="24"/>
      <c r="O206" s="3"/>
      <c r="P206" s="3"/>
      <c r="Q206" s="3"/>
      <c r="R206" s="3"/>
      <c r="S206" s="3"/>
      <c r="T206" s="3"/>
      <c r="U206" s="3"/>
      <c r="V206" s="3"/>
      <c r="W206" s="5"/>
      <c r="X206" s="3"/>
      <c r="Y206" s="3"/>
      <c r="Z206" s="5"/>
      <c r="AA206" s="3"/>
      <c r="AB206" s="3"/>
      <c r="AC206" s="5"/>
      <c r="AD206" s="3"/>
      <c r="AE206" s="5"/>
    </row>
    <row r="207" spans="1:31" ht="15.75" customHeight="1" x14ac:dyDescent="0.2">
      <c r="A207" s="3"/>
      <c r="B207" s="3"/>
      <c r="C207" s="3"/>
      <c r="D207" s="4"/>
      <c r="E207" s="3"/>
      <c r="F207" s="5"/>
      <c r="G207" s="22"/>
      <c r="H207" s="3"/>
      <c r="I207" s="5"/>
      <c r="J207" s="3"/>
      <c r="K207" s="3"/>
      <c r="L207" s="3"/>
      <c r="M207" s="23"/>
      <c r="N207" s="24"/>
      <c r="O207" s="3"/>
      <c r="P207" s="3"/>
      <c r="Q207" s="3"/>
      <c r="R207" s="3"/>
      <c r="S207" s="3"/>
      <c r="T207" s="3"/>
      <c r="U207" s="3"/>
      <c r="V207" s="3"/>
      <c r="W207" s="5"/>
      <c r="X207" s="3"/>
      <c r="Y207" s="3"/>
      <c r="Z207" s="5"/>
      <c r="AA207" s="3"/>
      <c r="AB207" s="3"/>
      <c r="AC207" s="5"/>
      <c r="AD207" s="3"/>
      <c r="AE207" s="5"/>
    </row>
    <row r="208" spans="1:31" ht="15.75" customHeight="1" x14ac:dyDescent="0.2">
      <c r="A208" s="3"/>
      <c r="B208" s="3"/>
      <c r="C208" s="3"/>
      <c r="D208" s="4"/>
      <c r="E208" s="3"/>
      <c r="F208" s="5"/>
      <c r="G208" s="22"/>
      <c r="H208" s="3"/>
      <c r="I208" s="5"/>
      <c r="J208" s="3"/>
      <c r="K208" s="3"/>
      <c r="L208" s="3"/>
      <c r="M208" s="23"/>
      <c r="N208" s="24"/>
      <c r="O208" s="3"/>
      <c r="P208" s="3"/>
      <c r="Q208" s="3"/>
      <c r="R208" s="3"/>
      <c r="S208" s="3"/>
      <c r="T208" s="3"/>
      <c r="U208" s="3"/>
      <c r="V208" s="3"/>
      <c r="W208" s="5"/>
      <c r="X208" s="3"/>
      <c r="Y208" s="3"/>
      <c r="Z208" s="5"/>
      <c r="AA208" s="3"/>
      <c r="AB208" s="3"/>
      <c r="AC208" s="5"/>
      <c r="AD208" s="3"/>
      <c r="AE208" s="5"/>
    </row>
    <row r="209" spans="1:31" ht="15.75" customHeight="1" x14ac:dyDescent="0.2">
      <c r="A209" s="3"/>
      <c r="B209" s="3"/>
      <c r="C209" s="3"/>
      <c r="D209" s="4"/>
      <c r="E209" s="3"/>
      <c r="F209" s="5"/>
      <c r="G209" s="22"/>
      <c r="H209" s="3"/>
      <c r="I209" s="5"/>
      <c r="J209" s="3"/>
      <c r="K209" s="3"/>
      <c r="L209" s="3"/>
      <c r="M209" s="23"/>
      <c r="N209" s="24"/>
      <c r="O209" s="3"/>
      <c r="P209" s="3"/>
      <c r="Q209" s="3"/>
      <c r="R209" s="3"/>
      <c r="S209" s="3"/>
      <c r="T209" s="3"/>
      <c r="U209" s="3"/>
      <c r="V209" s="3"/>
      <c r="W209" s="5"/>
      <c r="X209" s="3"/>
      <c r="Y209" s="3"/>
      <c r="Z209" s="5"/>
      <c r="AA209" s="3"/>
      <c r="AB209" s="3"/>
      <c r="AC209" s="5"/>
      <c r="AD209" s="3"/>
      <c r="AE209" s="5"/>
    </row>
    <row r="210" spans="1:31" ht="15.75" customHeight="1" x14ac:dyDescent="0.2">
      <c r="A210" s="3"/>
      <c r="B210" s="3"/>
      <c r="C210" s="3"/>
      <c r="D210" s="4"/>
      <c r="E210" s="3"/>
      <c r="F210" s="5"/>
      <c r="G210" s="22"/>
      <c r="H210" s="3"/>
      <c r="I210" s="5"/>
      <c r="J210" s="3"/>
      <c r="K210" s="3"/>
      <c r="L210" s="3"/>
      <c r="M210" s="23"/>
      <c r="N210" s="24"/>
      <c r="O210" s="3"/>
      <c r="P210" s="3"/>
      <c r="Q210" s="3"/>
      <c r="R210" s="3"/>
      <c r="S210" s="3"/>
      <c r="T210" s="3"/>
      <c r="U210" s="3"/>
      <c r="V210" s="3"/>
      <c r="W210" s="5"/>
      <c r="X210" s="3"/>
      <c r="Y210" s="3"/>
      <c r="Z210" s="5"/>
      <c r="AA210" s="3"/>
      <c r="AB210" s="3"/>
      <c r="AC210" s="5"/>
      <c r="AD210" s="3"/>
      <c r="AE210" s="5"/>
    </row>
    <row r="211" spans="1:31" ht="15.75" customHeight="1" x14ac:dyDescent="0.2">
      <c r="A211" s="3"/>
      <c r="B211" s="3"/>
      <c r="C211" s="3"/>
      <c r="D211" s="4"/>
      <c r="E211" s="3"/>
      <c r="F211" s="5"/>
      <c r="G211" s="22"/>
      <c r="H211" s="3"/>
      <c r="I211" s="5"/>
      <c r="J211" s="3"/>
      <c r="K211" s="3"/>
      <c r="L211" s="3"/>
      <c r="M211" s="23"/>
      <c r="N211" s="24"/>
      <c r="O211" s="3"/>
      <c r="P211" s="3"/>
      <c r="Q211" s="3"/>
      <c r="R211" s="3"/>
      <c r="S211" s="3"/>
      <c r="T211" s="3"/>
      <c r="U211" s="3"/>
      <c r="V211" s="3"/>
      <c r="W211" s="5"/>
      <c r="X211" s="3"/>
      <c r="Y211" s="3"/>
      <c r="Z211" s="5"/>
      <c r="AA211" s="3"/>
      <c r="AB211" s="3"/>
      <c r="AC211" s="5"/>
      <c r="AD211" s="3"/>
      <c r="AE211" s="5"/>
    </row>
    <row r="212" spans="1:31" ht="15.75" customHeight="1" x14ac:dyDescent="0.2">
      <c r="A212" s="3"/>
      <c r="B212" s="3"/>
      <c r="C212" s="3"/>
      <c r="D212" s="4"/>
      <c r="E212" s="3"/>
      <c r="F212" s="5"/>
      <c r="G212" s="22"/>
      <c r="H212" s="3"/>
      <c r="I212" s="5"/>
      <c r="J212" s="3"/>
      <c r="K212" s="3"/>
      <c r="L212" s="3"/>
      <c r="M212" s="23"/>
      <c r="N212" s="24"/>
      <c r="O212" s="3"/>
      <c r="P212" s="3"/>
      <c r="Q212" s="3"/>
      <c r="R212" s="3"/>
      <c r="S212" s="3"/>
      <c r="T212" s="3"/>
      <c r="U212" s="3"/>
      <c r="V212" s="3"/>
      <c r="W212" s="5"/>
      <c r="X212" s="3"/>
      <c r="Y212" s="3"/>
      <c r="Z212" s="5"/>
      <c r="AA212" s="3"/>
      <c r="AB212" s="3"/>
      <c r="AC212" s="5"/>
      <c r="AD212" s="3"/>
      <c r="AE212" s="5"/>
    </row>
    <row r="213" spans="1:31" ht="15.75" customHeight="1" x14ac:dyDescent="0.2">
      <c r="A213" s="3"/>
      <c r="B213" s="3"/>
      <c r="C213" s="3"/>
      <c r="D213" s="4"/>
      <c r="E213" s="3"/>
      <c r="F213" s="5"/>
      <c r="G213" s="22"/>
      <c r="H213" s="3"/>
      <c r="I213" s="5"/>
      <c r="J213" s="3"/>
      <c r="K213" s="3"/>
      <c r="L213" s="3"/>
      <c r="M213" s="23"/>
      <c r="N213" s="24"/>
      <c r="O213" s="3"/>
      <c r="P213" s="3"/>
      <c r="Q213" s="3"/>
      <c r="R213" s="3"/>
      <c r="S213" s="3"/>
      <c r="T213" s="3"/>
      <c r="U213" s="3"/>
      <c r="V213" s="3"/>
      <c r="W213" s="5"/>
      <c r="X213" s="3"/>
      <c r="Y213" s="3"/>
      <c r="Z213" s="5"/>
      <c r="AA213" s="3"/>
      <c r="AB213" s="3"/>
      <c r="AC213" s="5"/>
      <c r="AD213" s="3"/>
      <c r="AE213" s="5"/>
    </row>
    <row r="214" spans="1:31" ht="15.75" customHeight="1" x14ac:dyDescent="0.2">
      <c r="A214" s="3"/>
      <c r="B214" s="3"/>
      <c r="C214" s="3"/>
      <c r="D214" s="4"/>
      <c r="E214" s="3"/>
      <c r="F214" s="5"/>
      <c r="G214" s="22"/>
      <c r="H214" s="3"/>
      <c r="I214" s="5"/>
      <c r="J214" s="3"/>
      <c r="K214" s="3"/>
      <c r="L214" s="3"/>
      <c r="M214" s="23"/>
      <c r="N214" s="24"/>
      <c r="O214" s="3"/>
      <c r="P214" s="3"/>
      <c r="Q214" s="3"/>
      <c r="R214" s="3"/>
      <c r="S214" s="3"/>
      <c r="T214" s="3"/>
      <c r="U214" s="3"/>
      <c r="V214" s="3"/>
      <c r="W214" s="5"/>
      <c r="X214" s="3"/>
      <c r="Y214" s="3"/>
      <c r="Z214" s="5"/>
      <c r="AA214" s="3"/>
      <c r="AB214" s="3"/>
      <c r="AC214" s="5"/>
      <c r="AD214" s="3"/>
      <c r="AE214" s="5"/>
    </row>
    <row r="215" spans="1:31" ht="15.75" customHeight="1" x14ac:dyDescent="0.2">
      <c r="A215" s="3"/>
      <c r="B215" s="3"/>
      <c r="C215" s="3"/>
      <c r="D215" s="4"/>
      <c r="E215" s="3"/>
      <c r="F215" s="5"/>
      <c r="G215" s="22"/>
      <c r="H215" s="3"/>
      <c r="I215" s="5"/>
      <c r="J215" s="3"/>
      <c r="K215" s="3"/>
      <c r="L215" s="3"/>
      <c r="M215" s="23"/>
      <c r="N215" s="24"/>
      <c r="O215" s="3"/>
      <c r="P215" s="3"/>
      <c r="Q215" s="3"/>
      <c r="R215" s="3"/>
      <c r="S215" s="3"/>
      <c r="T215" s="3"/>
      <c r="U215" s="3"/>
      <c r="V215" s="3"/>
      <c r="W215" s="5"/>
      <c r="X215" s="3"/>
      <c r="Y215" s="3"/>
      <c r="Z215" s="5"/>
      <c r="AA215" s="3"/>
      <c r="AB215" s="3"/>
      <c r="AC215" s="5"/>
      <c r="AD215" s="3"/>
      <c r="AE215" s="5"/>
    </row>
    <row r="216" spans="1:31" ht="15.75" customHeight="1" x14ac:dyDescent="0.2">
      <c r="A216" s="3"/>
      <c r="B216" s="3"/>
      <c r="C216" s="3"/>
      <c r="D216" s="4"/>
      <c r="E216" s="3"/>
      <c r="F216" s="5"/>
      <c r="G216" s="22"/>
      <c r="H216" s="3"/>
      <c r="I216" s="5"/>
      <c r="J216" s="3"/>
      <c r="K216" s="3"/>
      <c r="L216" s="3"/>
      <c r="M216" s="23"/>
      <c r="N216" s="24"/>
      <c r="O216" s="3"/>
      <c r="P216" s="3"/>
      <c r="Q216" s="3"/>
      <c r="R216" s="3"/>
      <c r="S216" s="3"/>
      <c r="T216" s="3"/>
      <c r="U216" s="3"/>
      <c r="V216" s="3"/>
      <c r="W216" s="5"/>
      <c r="X216" s="3"/>
      <c r="Y216" s="3"/>
      <c r="Z216" s="5"/>
      <c r="AA216" s="3"/>
      <c r="AB216" s="3"/>
      <c r="AC216" s="5"/>
      <c r="AD216" s="3"/>
      <c r="AE216" s="5"/>
    </row>
    <row r="217" spans="1:31" ht="15.75" customHeight="1" x14ac:dyDescent="0.2">
      <c r="A217" s="3"/>
      <c r="B217" s="3"/>
      <c r="C217" s="3"/>
      <c r="D217" s="4"/>
      <c r="E217" s="3"/>
      <c r="F217" s="5"/>
      <c r="G217" s="22"/>
      <c r="H217" s="3"/>
      <c r="I217" s="5"/>
      <c r="J217" s="3"/>
      <c r="K217" s="3"/>
      <c r="L217" s="3"/>
      <c r="M217" s="23"/>
      <c r="N217" s="24"/>
      <c r="O217" s="3"/>
      <c r="P217" s="3"/>
      <c r="Q217" s="3"/>
      <c r="R217" s="3"/>
      <c r="S217" s="3"/>
      <c r="T217" s="3"/>
      <c r="U217" s="3"/>
      <c r="V217" s="3"/>
      <c r="W217" s="5"/>
      <c r="X217" s="3"/>
      <c r="Y217" s="3"/>
      <c r="Z217" s="5"/>
      <c r="AA217" s="3"/>
      <c r="AB217" s="3"/>
      <c r="AC217" s="5"/>
      <c r="AD217" s="3"/>
      <c r="AE217" s="5"/>
    </row>
    <row r="218" spans="1:31" ht="15.75" customHeight="1" x14ac:dyDescent="0.2">
      <c r="A218" s="3"/>
      <c r="B218" s="3"/>
      <c r="C218" s="3"/>
      <c r="D218" s="4"/>
      <c r="E218" s="3"/>
      <c r="F218" s="5"/>
      <c r="G218" s="22"/>
      <c r="H218" s="3"/>
      <c r="I218" s="5"/>
      <c r="J218" s="3"/>
      <c r="K218" s="3"/>
      <c r="L218" s="3"/>
      <c r="M218" s="23"/>
      <c r="N218" s="24"/>
      <c r="O218" s="3"/>
      <c r="P218" s="3"/>
      <c r="Q218" s="3"/>
      <c r="R218" s="3"/>
      <c r="S218" s="3"/>
      <c r="T218" s="3"/>
      <c r="U218" s="3"/>
      <c r="V218" s="3"/>
      <c r="W218" s="5"/>
      <c r="X218" s="3"/>
      <c r="Y218" s="3"/>
      <c r="Z218" s="5"/>
      <c r="AA218" s="3"/>
      <c r="AB218" s="3"/>
      <c r="AC218" s="5"/>
      <c r="AD218" s="3"/>
      <c r="AE218" s="5"/>
    </row>
    <row r="219" spans="1:31" ht="15.75" customHeight="1" x14ac:dyDescent="0.2">
      <c r="A219" s="3"/>
      <c r="B219" s="3"/>
      <c r="C219" s="3"/>
      <c r="D219" s="4"/>
      <c r="E219" s="3"/>
      <c r="F219" s="5"/>
      <c r="G219" s="22"/>
      <c r="H219" s="3"/>
      <c r="I219" s="5"/>
      <c r="J219" s="3"/>
      <c r="K219" s="3"/>
      <c r="L219" s="3"/>
      <c r="M219" s="23"/>
      <c r="N219" s="24"/>
      <c r="O219" s="3"/>
      <c r="P219" s="3"/>
      <c r="Q219" s="3"/>
      <c r="R219" s="3"/>
      <c r="S219" s="3"/>
      <c r="T219" s="3"/>
      <c r="U219" s="3"/>
      <c r="V219" s="3"/>
      <c r="W219" s="5"/>
      <c r="X219" s="3"/>
      <c r="Y219" s="3"/>
      <c r="Z219" s="5"/>
      <c r="AA219" s="3"/>
      <c r="AB219" s="3"/>
      <c r="AC219" s="5"/>
      <c r="AD219" s="3"/>
      <c r="AE219" s="5"/>
    </row>
    <row r="220" spans="1:31" ht="15.75" customHeight="1" x14ac:dyDescent="0.2">
      <c r="A220" s="3"/>
      <c r="B220" s="3"/>
      <c r="C220" s="3"/>
      <c r="D220" s="4"/>
      <c r="E220" s="3"/>
      <c r="F220" s="5"/>
      <c r="G220" s="22"/>
      <c r="H220" s="3"/>
      <c r="I220" s="5"/>
      <c r="J220" s="3"/>
      <c r="K220" s="3"/>
      <c r="L220" s="3"/>
      <c r="M220" s="23"/>
      <c r="N220" s="24"/>
      <c r="O220" s="3"/>
      <c r="P220" s="3"/>
      <c r="Q220" s="3"/>
      <c r="R220" s="3"/>
      <c r="S220" s="3"/>
      <c r="T220" s="3"/>
      <c r="U220" s="3"/>
      <c r="V220" s="3"/>
      <c r="W220" s="5"/>
      <c r="X220" s="3"/>
      <c r="Y220" s="3"/>
      <c r="Z220" s="5"/>
      <c r="AA220" s="3"/>
      <c r="AB220" s="3"/>
      <c r="AC220" s="5"/>
      <c r="AD220" s="3"/>
      <c r="AE220" s="5"/>
    </row>
    <row r="221" spans="1:31" ht="15.75" customHeight="1" x14ac:dyDescent="0.2">
      <c r="A221" s="3"/>
      <c r="B221" s="3"/>
      <c r="C221" s="3"/>
      <c r="D221" s="4"/>
      <c r="E221" s="3"/>
      <c r="F221" s="5"/>
      <c r="G221" s="22"/>
      <c r="H221" s="3"/>
      <c r="I221" s="5"/>
      <c r="J221" s="3"/>
      <c r="K221" s="3"/>
      <c r="L221" s="3"/>
      <c r="M221" s="23"/>
      <c r="N221" s="24"/>
      <c r="O221" s="3"/>
      <c r="P221" s="3"/>
      <c r="Q221" s="3"/>
      <c r="R221" s="3"/>
      <c r="S221" s="3"/>
      <c r="T221" s="3"/>
      <c r="U221" s="3"/>
      <c r="V221" s="3"/>
      <c r="W221" s="5"/>
      <c r="X221" s="3"/>
      <c r="Y221" s="3"/>
      <c r="Z221" s="5"/>
      <c r="AA221" s="3"/>
      <c r="AB221" s="3"/>
      <c r="AC221" s="5"/>
      <c r="AD221" s="3"/>
      <c r="AE221" s="5"/>
    </row>
    <row r="222" spans="1:31" ht="15.75" customHeight="1" x14ac:dyDescent="0.2">
      <c r="A222" s="3"/>
      <c r="B222" s="3"/>
      <c r="C222" s="3"/>
      <c r="D222" s="4"/>
      <c r="E222" s="3"/>
      <c r="F222" s="5"/>
      <c r="G222" s="22"/>
      <c r="H222" s="3"/>
      <c r="I222" s="5"/>
      <c r="J222" s="3"/>
      <c r="K222" s="3"/>
      <c r="L222" s="3"/>
      <c r="M222" s="23"/>
      <c r="N222" s="24"/>
      <c r="O222" s="3"/>
      <c r="P222" s="3"/>
      <c r="Q222" s="3"/>
      <c r="R222" s="3"/>
      <c r="S222" s="3"/>
      <c r="T222" s="3"/>
      <c r="U222" s="3"/>
      <c r="V222" s="3"/>
      <c r="W222" s="5"/>
      <c r="X222" s="3"/>
      <c r="Y222" s="3"/>
      <c r="Z222" s="5"/>
      <c r="AA222" s="3"/>
      <c r="AB222" s="3"/>
      <c r="AC222" s="5"/>
      <c r="AD222" s="3"/>
      <c r="AE222" s="5"/>
    </row>
    <row r="223" spans="1:31" ht="15.75" customHeight="1" x14ac:dyDescent="0.2">
      <c r="A223" s="3"/>
      <c r="B223" s="3"/>
      <c r="C223" s="3"/>
      <c r="D223" s="4"/>
      <c r="E223" s="3"/>
      <c r="F223" s="5"/>
      <c r="G223" s="22"/>
      <c r="H223" s="3"/>
      <c r="I223" s="5"/>
      <c r="J223" s="3"/>
      <c r="K223" s="3"/>
      <c r="L223" s="3"/>
      <c r="M223" s="23"/>
      <c r="N223" s="24"/>
      <c r="O223" s="3"/>
      <c r="P223" s="3"/>
      <c r="Q223" s="3"/>
      <c r="R223" s="3"/>
      <c r="S223" s="3"/>
      <c r="T223" s="3"/>
      <c r="U223" s="3"/>
      <c r="V223" s="3"/>
      <c r="W223" s="5"/>
      <c r="X223" s="3"/>
      <c r="Y223" s="3"/>
      <c r="Z223" s="5"/>
      <c r="AA223" s="3"/>
      <c r="AB223" s="3"/>
      <c r="AC223" s="5"/>
      <c r="AD223" s="3"/>
      <c r="AE223" s="5"/>
    </row>
    <row r="224" spans="1:31" ht="15.75" customHeight="1" x14ac:dyDescent="0.2">
      <c r="A224" s="3"/>
      <c r="B224" s="3"/>
      <c r="C224" s="3"/>
      <c r="D224" s="4"/>
      <c r="E224" s="3"/>
      <c r="F224" s="5"/>
      <c r="G224" s="22"/>
      <c r="H224" s="3"/>
      <c r="I224" s="5"/>
      <c r="J224" s="3"/>
      <c r="K224" s="3"/>
      <c r="L224" s="3"/>
      <c r="M224" s="23"/>
      <c r="N224" s="24"/>
      <c r="O224" s="3"/>
      <c r="P224" s="3"/>
      <c r="Q224" s="3"/>
      <c r="R224" s="3"/>
      <c r="S224" s="3"/>
      <c r="T224" s="3"/>
      <c r="U224" s="3"/>
      <c r="V224" s="3"/>
      <c r="W224" s="5"/>
      <c r="X224" s="3"/>
      <c r="Y224" s="3"/>
      <c r="Z224" s="5"/>
      <c r="AA224" s="3"/>
      <c r="AB224" s="3"/>
      <c r="AC224" s="5"/>
      <c r="AD224" s="3"/>
      <c r="AE224" s="5"/>
    </row>
    <row r="225" spans="1:31" ht="15.75" customHeight="1" x14ac:dyDescent="0.2">
      <c r="A225" s="3"/>
      <c r="B225" s="3"/>
      <c r="C225" s="3"/>
      <c r="D225" s="4"/>
      <c r="E225" s="3"/>
      <c r="F225" s="5"/>
      <c r="G225" s="22"/>
      <c r="H225" s="3"/>
      <c r="I225" s="5"/>
      <c r="J225" s="3"/>
      <c r="K225" s="3"/>
      <c r="L225" s="3"/>
      <c r="M225" s="23"/>
      <c r="N225" s="24"/>
      <c r="O225" s="3"/>
      <c r="P225" s="3"/>
      <c r="Q225" s="3"/>
      <c r="R225" s="3"/>
      <c r="S225" s="3"/>
      <c r="T225" s="3"/>
      <c r="U225" s="3"/>
      <c r="V225" s="3"/>
      <c r="W225" s="5"/>
      <c r="X225" s="3"/>
      <c r="Y225" s="3"/>
      <c r="Z225" s="5"/>
      <c r="AA225" s="3"/>
      <c r="AB225" s="3"/>
      <c r="AC225" s="5"/>
      <c r="AD225" s="3"/>
      <c r="AE225" s="5"/>
    </row>
    <row r="226" spans="1:31" ht="15.75" customHeight="1" x14ac:dyDescent="0.2">
      <c r="A226" s="3"/>
      <c r="B226" s="3"/>
      <c r="C226" s="3"/>
      <c r="D226" s="4"/>
      <c r="E226" s="3"/>
      <c r="F226" s="5"/>
      <c r="G226" s="22"/>
      <c r="H226" s="3"/>
      <c r="I226" s="5"/>
      <c r="J226" s="3"/>
      <c r="K226" s="3"/>
      <c r="L226" s="3"/>
      <c r="M226" s="23"/>
      <c r="N226" s="24"/>
      <c r="O226" s="3"/>
      <c r="P226" s="3"/>
      <c r="Q226" s="3"/>
      <c r="R226" s="3"/>
      <c r="S226" s="3"/>
      <c r="T226" s="3"/>
      <c r="U226" s="3"/>
      <c r="V226" s="3"/>
      <c r="W226" s="5"/>
      <c r="X226" s="3"/>
      <c r="Y226" s="3"/>
      <c r="Z226" s="5"/>
      <c r="AA226" s="3"/>
      <c r="AB226" s="3"/>
      <c r="AC226" s="5"/>
      <c r="AD226" s="3"/>
      <c r="AE226" s="5"/>
    </row>
    <row r="227" spans="1:31" ht="15.75" customHeight="1" x14ac:dyDescent="0.2">
      <c r="A227" s="3"/>
      <c r="B227" s="3"/>
      <c r="C227" s="3"/>
      <c r="D227" s="4"/>
      <c r="E227" s="3"/>
      <c r="F227" s="5"/>
      <c r="G227" s="22"/>
      <c r="H227" s="3"/>
      <c r="I227" s="5"/>
      <c r="J227" s="3"/>
      <c r="K227" s="3"/>
      <c r="L227" s="3"/>
      <c r="M227" s="23"/>
      <c r="N227" s="24"/>
      <c r="O227" s="3"/>
      <c r="P227" s="3"/>
      <c r="Q227" s="3"/>
      <c r="R227" s="3"/>
      <c r="S227" s="3"/>
      <c r="T227" s="3"/>
      <c r="U227" s="3"/>
      <c r="V227" s="3"/>
      <c r="W227" s="5"/>
      <c r="X227" s="3"/>
      <c r="Y227" s="3"/>
      <c r="Z227" s="5"/>
      <c r="AA227" s="3"/>
      <c r="AB227" s="3"/>
      <c r="AC227" s="5"/>
      <c r="AD227" s="3"/>
      <c r="AE227" s="5"/>
    </row>
    <row r="228" spans="1:31" ht="15.75" customHeight="1" x14ac:dyDescent="0.2">
      <c r="A228" s="3"/>
      <c r="B228" s="3"/>
      <c r="C228" s="3"/>
      <c r="D228" s="4"/>
      <c r="E228" s="3"/>
      <c r="F228" s="5"/>
      <c r="G228" s="22"/>
      <c r="H228" s="3"/>
      <c r="I228" s="5"/>
      <c r="J228" s="3"/>
      <c r="K228" s="3"/>
      <c r="L228" s="3"/>
      <c r="M228" s="23"/>
      <c r="N228" s="24"/>
      <c r="O228" s="3"/>
      <c r="P228" s="3"/>
      <c r="Q228" s="3"/>
      <c r="R228" s="3"/>
      <c r="S228" s="3"/>
      <c r="T228" s="3"/>
      <c r="U228" s="3"/>
      <c r="V228" s="3"/>
      <c r="W228" s="5"/>
      <c r="X228" s="3"/>
      <c r="Y228" s="3"/>
      <c r="Z228" s="5"/>
      <c r="AA228" s="3"/>
      <c r="AB228" s="3"/>
      <c r="AC228" s="5"/>
      <c r="AD228" s="3"/>
      <c r="AE228" s="5"/>
    </row>
    <row r="229" spans="1:31" ht="15.75" customHeight="1" x14ac:dyDescent="0.2">
      <c r="A229" s="3"/>
      <c r="B229" s="3"/>
      <c r="C229" s="3"/>
      <c r="D229" s="4"/>
      <c r="E229" s="3"/>
      <c r="F229" s="5"/>
      <c r="G229" s="22"/>
      <c r="H229" s="3"/>
      <c r="I229" s="5"/>
      <c r="J229" s="3"/>
      <c r="K229" s="3"/>
      <c r="L229" s="3"/>
      <c r="M229" s="23"/>
      <c r="N229" s="24"/>
      <c r="O229" s="3"/>
      <c r="P229" s="3"/>
      <c r="Q229" s="3"/>
      <c r="R229" s="3"/>
      <c r="S229" s="3"/>
      <c r="T229" s="3"/>
      <c r="U229" s="3"/>
      <c r="V229" s="3"/>
      <c r="W229" s="5"/>
      <c r="X229" s="3"/>
      <c r="Y229" s="3"/>
      <c r="Z229" s="5"/>
      <c r="AA229" s="3"/>
      <c r="AB229" s="3"/>
      <c r="AC229" s="5"/>
      <c r="AD229" s="3"/>
      <c r="AE229" s="5"/>
    </row>
    <row r="230" spans="1:31" ht="15.75" customHeight="1" x14ac:dyDescent="0.2">
      <c r="A230" s="3"/>
      <c r="B230" s="3"/>
      <c r="C230" s="3"/>
      <c r="D230" s="4"/>
      <c r="E230" s="3"/>
      <c r="F230" s="5"/>
      <c r="G230" s="22"/>
      <c r="H230" s="3"/>
      <c r="I230" s="5"/>
      <c r="J230" s="3"/>
      <c r="K230" s="3"/>
      <c r="L230" s="3"/>
      <c r="M230" s="23"/>
      <c r="N230" s="24"/>
      <c r="O230" s="3"/>
      <c r="P230" s="3"/>
      <c r="Q230" s="3"/>
      <c r="R230" s="3"/>
      <c r="S230" s="3"/>
      <c r="T230" s="3"/>
      <c r="U230" s="3"/>
      <c r="V230" s="3"/>
      <c r="W230" s="5"/>
      <c r="X230" s="3"/>
      <c r="Y230" s="3"/>
      <c r="Z230" s="5"/>
      <c r="AA230" s="3"/>
      <c r="AB230" s="3"/>
      <c r="AC230" s="5"/>
      <c r="AD230" s="3"/>
      <c r="AE230" s="5"/>
    </row>
    <row r="231" spans="1:31" ht="15.75" customHeight="1" x14ac:dyDescent="0.2">
      <c r="A231" s="3"/>
      <c r="B231" s="3"/>
      <c r="C231" s="3"/>
      <c r="D231" s="4"/>
      <c r="E231" s="3"/>
      <c r="F231" s="5"/>
      <c r="G231" s="22"/>
      <c r="H231" s="3"/>
      <c r="I231" s="5"/>
      <c r="J231" s="3"/>
      <c r="K231" s="3"/>
      <c r="L231" s="3"/>
      <c r="M231" s="23"/>
      <c r="N231" s="24"/>
      <c r="O231" s="3"/>
      <c r="P231" s="3"/>
      <c r="Q231" s="3"/>
      <c r="R231" s="3"/>
      <c r="S231" s="3"/>
      <c r="T231" s="3"/>
      <c r="U231" s="3"/>
      <c r="V231" s="3"/>
      <c r="W231" s="5"/>
      <c r="X231" s="3"/>
      <c r="Y231" s="3"/>
      <c r="Z231" s="5"/>
      <c r="AA231" s="3"/>
      <c r="AB231" s="3"/>
      <c r="AC231" s="5"/>
      <c r="AD231" s="3"/>
      <c r="AE231" s="5"/>
    </row>
    <row r="232" spans="1:31" ht="15.75" customHeight="1" x14ac:dyDescent="0.2">
      <c r="A232" s="3"/>
      <c r="B232" s="3"/>
      <c r="C232" s="3"/>
      <c r="D232" s="4"/>
      <c r="E232" s="3"/>
      <c r="F232" s="5"/>
      <c r="G232" s="22"/>
      <c r="H232" s="3"/>
      <c r="I232" s="5"/>
      <c r="J232" s="3"/>
      <c r="K232" s="3"/>
      <c r="L232" s="3"/>
      <c r="M232" s="23"/>
      <c r="N232" s="24"/>
      <c r="O232" s="3"/>
      <c r="P232" s="3"/>
      <c r="Q232" s="3"/>
      <c r="R232" s="3"/>
      <c r="S232" s="3"/>
      <c r="T232" s="3"/>
      <c r="U232" s="3"/>
      <c r="V232" s="3"/>
      <c r="W232" s="5"/>
      <c r="X232" s="3"/>
      <c r="Y232" s="3"/>
      <c r="Z232" s="5"/>
      <c r="AA232" s="3"/>
      <c r="AB232" s="3"/>
      <c r="AC232" s="5"/>
      <c r="AD232" s="3"/>
      <c r="AE232" s="5"/>
    </row>
    <row r="233" spans="1:31" ht="15.75" customHeight="1" x14ac:dyDescent="0.2">
      <c r="A233" s="3"/>
      <c r="B233" s="3"/>
      <c r="C233" s="3"/>
      <c r="D233" s="4"/>
      <c r="E233" s="3"/>
      <c r="F233" s="5"/>
      <c r="G233" s="22"/>
      <c r="H233" s="3"/>
      <c r="I233" s="5"/>
      <c r="J233" s="3"/>
      <c r="K233" s="3"/>
      <c r="L233" s="3"/>
      <c r="M233" s="23"/>
      <c r="N233" s="24"/>
      <c r="O233" s="3"/>
      <c r="P233" s="3"/>
      <c r="Q233" s="3"/>
      <c r="R233" s="3"/>
      <c r="S233" s="3"/>
      <c r="T233" s="3"/>
      <c r="U233" s="3"/>
      <c r="V233" s="3"/>
      <c r="W233" s="5"/>
      <c r="X233" s="3"/>
      <c r="Y233" s="3"/>
      <c r="Z233" s="5"/>
      <c r="AA233" s="3"/>
      <c r="AB233" s="3"/>
      <c r="AC233" s="5"/>
      <c r="AD233" s="3"/>
      <c r="AE233" s="5"/>
    </row>
    <row r="234" spans="1:31" ht="15.75" customHeight="1" x14ac:dyDescent="0.2">
      <c r="A234" s="3"/>
      <c r="B234" s="3"/>
      <c r="C234" s="3"/>
      <c r="D234" s="4"/>
      <c r="E234" s="3"/>
      <c r="F234" s="5"/>
      <c r="G234" s="22"/>
      <c r="H234" s="3"/>
      <c r="I234" s="5"/>
      <c r="J234" s="3"/>
      <c r="K234" s="3"/>
      <c r="L234" s="3"/>
      <c r="M234" s="23"/>
      <c r="N234" s="24"/>
      <c r="O234" s="3"/>
      <c r="P234" s="3"/>
      <c r="Q234" s="3"/>
      <c r="R234" s="3"/>
      <c r="S234" s="3"/>
      <c r="T234" s="3"/>
      <c r="U234" s="3"/>
      <c r="V234" s="3"/>
      <c r="W234" s="5"/>
      <c r="X234" s="3"/>
      <c r="Y234" s="3"/>
      <c r="Z234" s="5"/>
      <c r="AA234" s="3"/>
      <c r="AB234" s="3"/>
      <c r="AC234" s="5"/>
      <c r="AD234" s="3"/>
      <c r="AE234" s="5"/>
    </row>
    <row r="235" spans="1:31" ht="15.75" customHeight="1" x14ac:dyDescent="0.2">
      <c r="A235" s="3"/>
      <c r="B235" s="3"/>
      <c r="C235" s="3"/>
      <c r="D235" s="4"/>
      <c r="E235" s="3"/>
      <c r="F235" s="5"/>
      <c r="G235" s="22"/>
      <c r="H235" s="3"/>
      <c r="I235" s="5"/>
      <c r="J235" s="3"/>
      <c r="K235" s="3"/>
      <c r="L235" s="3"/>
      <c r="M235" s="23"/>
      <c r="N235" s="24"/>
      <c r="O235" s="3"/>
      <c r="P235" s="3"/>
      <c r="Q235" s="3"/>
      <c r="R235" s="3"/>
      <c r="S235" s="3"/>
      <c r="T235" s="3"/>
      <c r="U235" s="3"/>
      <c r="V235" s="3"/>
      <c r="W235" s="5"/>
      <c r="X235" s="3"/>
      <c r="Y235" s="3"/>
      <c r="Z235" s="5"/>
      <c r="AA235" s="3"/>
      <c r="AB235" s="3"/>
      <c r="AC235" s="5"/>
      <c r="AD235" s="3"/>
      <c r="AE235" s="5"/>
    </row>
    <row r="236" spans="1:31" ht="15.75" customHeight="1" x14ac:dyDescent="0.2">
      <c r="A236" s="3"/>
      <c r="B236" s="3"/>
      <c r="C236" s="3"/>
      <c r="D236" s="4"/>
      <c r="E236" s="3"/>
      <c r="F236" s="5"/>
      <c r="G236" s="22"/>
      <c r="H236" s="3"/>
      <c r="I236" s="5"/>
      <c r="J236" s="3"/>
      <c r="K236" s="3"/>
      <c r="L236" s="3"/>
      <c r="M236" s="23"/>
      <c r="N236" s="24"/>
      <c r="O236" s="3"/>
      <c r="P236" s="3"/>
      <c r="Q236" s="3"/>
      <c r="R236" s="3"/>
      <c r="S236" s="3"/>
      <c r="T236" s="3"/>
      <c r="U236" s="3"/>
      <c r="V236" s="3"/>
      <c r="W236" s="5"/>
      <c r="X236" s="3"/>
      <c r="Y236" s="3"/>
      <c r="Z236" s="5"/>
      <c r="AA236" s="3"/>
      <c r="AB236" s="3"/>
      <c r="AC236" s="5"/>
      <c r="AD236" s="3"/>
      <c r="AE236" s="5"/>
    </row>
    <row r="237" spans="1:31" ht="15.75" customHeight="1" x14ac:dyDescent="0.2">
      <c r="A237" s="3"/>
      <c r="B237" s="3"/>
      <c r="C237" s="3"/>
      <c r="D237" s="4"/>
      <c r="E237" s="3"/>
      <c r="F237" s="5"/>
      <c r="G237" s="22"/>
      <c r="H237" s="3"/>
      <c r="I237" s="5"/>
      <c r="J237" s="3"/>
      <c r="K237" s="3"/>
      <c r="L237" s="3"/>
      <c r="M237" s="23"/>
      <c r="N237" s="24"/>
      <c r="O237" s="3"/>
      <c r="P237" s="3"/>
      <c r="Q237" s="3"/>
      <c r="R237" s="3"/>
      <c r="S237" s="3"/>
      <c r="T237" s="3"/>
      <c r="U237" s="3"/>
      <c r="V237" s="3"/>
      <c r="W237" s="5"/>
      <c r="X237" s="3"/>
      <c r="Y237" s="3"/>
      <c r="Z237" s="5"/>
      <c r="AA237" s="3"/>
      <c r="AB237" s="3"/>
      <c r="AC237" s="5"/>
      <c r="AD237" s="3"/>
      <c r="AE237" s="5"/>
    </row>
    <row r="238" spans="1:31" ht="15.75" customHeight="1" x14ac:dyDescent="0.2">
      <c r="A238" s="3"/>
      <c r="B238" s="3"/>
      <c r="C238" s="3"/>
      <c r="D238" s="4"/>
      <c r="E238" s="3"/>
      <c r="F238" s="5"/>
      <c r="G238" s="22"/>
      <c r="H238" s="3"/>
      <c r="I238" s="5"/>
      <c r="J238" s="3"/>
      <c r="K238" s="3"/>
      <c r="L238" s="3"/>
      <c r="M238" s="23"/>
      <c r="N238" s="24"/>
      <c r="O238" s="3"/>
      <c r="P238" s="3"/>
      <c r="Q238" s="3"/>
      <c r="R238" s="3"/>
      <c r="S238" s="3"/>
      <c r="T238" s="3"/>
      <c r="U238" s="3"/>
      <c r="V238" s="3"/>
      <c r="W238" s="5"/>
      <c r="X238" s="3"/>
      <c r="Y238" s="3"/>
      <c r="Z238" s="5"/>
      <c r="AA238" s="3"/>
      <c r="AB238" s="3"/>
      <c r="AC238" s="5"/>
      <c r="AD238" s="3"/>
      <c r="AE238" s="5"/>
    </row>
    <row r="239" spans="1:31" ht="15.75" customHeight="1" x14ac:dyDescent="0.2">
      <c r="A239" s="3"/>
      <c r="B239" s="3"/>
      <c r="C239" s="3"/>
      <c r="D239" s="4"/>
      <c r="E239" s="3"/>
      <c r="F239" s="5"/>
      <c r="G239" s="22"/>
      <c r="H239" s="3"/>
      <c r="I239" s="5"/>
      <c r="J239" s="3"/>
      <c r="K239" s="3"/>
      <c r="L239" s="3"/>
      <c r="M239" s="23"/>
      <c r="N239" s="24"/>
      <c r="O239" s="3"/>
      <c r="P239" s="3"/>
      <c r="Q239" s="3"/>
      <c r="R239" s="3"/>
      <c r="S239" s="3"/>
      <c r="T239" s="3"/>
      <c r="U239" s="3"/>
      <c r="V239" s="3"/>
      <c r="W239" s="5"/>
      <c r="X239" s="3"/>
      <c r="Y239" s="3"/>
      <c r="Z239" s="5"/>
      <c r="AA239" s="3"/>
      <c r="AB239" s="3"/>
      <c r="AC239" s="5"/>
      <c r="AD239" s="3"/>
      <c r="AE239" s="5"/>
    </row>
    <row r="240" spans="1:31" ht="15.75" customHeight="1" x14ac:dyDescent="0.2">
      <c r="A240" s="3"/>
      <c r="B240" s="3"/>
      <c r="C240" s="3"/>
      <c r="D240" s="4"/>
      <c r="E240" s="3"/>
      <c r="F240" s="5"/>
      <c r="G240" s="22"/>
      <c r="H240" s="3"/>
      <c r="I240" s="5"/>
      <c r="J240" s="3"/>
      <c r="K240" s="3"/>
      <c r="L240" s="3"/>
      <c r="M240" s="23"/>
      <c r="N240" s="24"/>
      <c r="O240" s="3"/>
      <c r="P240" s="3"/>
      <c r="Q240" s="3"/>
      <c r="R240" s="3"/>
      <c r="S240" s="3"/>
      <c r="T240" s="3"/>
      <c r="U240" s="3"/>
      <c r="V240" s="3"/>
      <c r="W240" s="5"/>
      <c r="X240" s="3"/>
      <c r="Y240" s="3"/>
      <c r="Z240" s="5"/>
      <c r="AA240" s="3"/>
      <c r="AB240" s="3"/>
      <c r="AC240" s="5"/>
      <c r="AD240" s="3"/>
      <c r="AE240" s="5"/>
    </row>
    <row r="241" spans="1:31" ht="15.75" customHeight="1" x14ac:dyDescent="0.2">
      <c r="A241" s="3"/>
      <c r="B241" s="3"/>
      <c r="C241" s="3"/>
      <c r="D241" s="4"/>
      <c r="E241" s="3"/>
      <c r="F241" s="5"/>
      <c r="G241" s="22"/>
      <c r="H241" s="3"/>
      <c r="I241" s="5"/>
      <c r="J241" s="3"/>
      <c r="K241" s="3"/>
      <c r="L241" s="3"/>
      <c r="M241" s="23"/>
      <c r="N241" s="24"/>
      <c r="O241" s="3"/>
      <c r="P241" s="3"/>
      <c r="Q241" s="3"/>
      <c r="R241" s="3"/>
      <c r="S241" s="3"/>
      <c r="T241" s="3"/>
      <c r="U241" s="3"/>
      <c r="V241" s="3"/>
      <c r="W241" s="5"/>
      <c r="X241" s="3"/>
      <c r="Y241" s="3"/>
      <c r="Z241" s="5"/>
      <c r="AA241" s="3"/>
      <c r="AB241" s="3"/>
      <c r="AC241" s="5"/>
      <c r="AD241" s="3"/>
      <c r="AE241" s="5"/>
    </row>
    <row r="242" spans="1:31" ht="15.75" customHeight="1" x14ac:dyDescent="0.2">
      <c r="A242" s="3"/>
      <c r="B242" s="3"/>
      <c r="C242" s="3"/>
      <c r="D242" s="4"/>
      <c r="E242" s="3"/>
      <c r="F242" s="5"/>
      <c r="G242" s="22"/>
      <c r="H242" s="3"/>
      <c r="I242" s="5"/>
      <c r="J242" s="3"/>
      <c r="K242" s="3"/>
      <c r="L242" s="3"/>
      <c r="M242" s="23"/>
      <c r="N242" s="24"/>
      <c r="O242" s="3"/>
      <c r="P242" s="3"/>
      <c r="Q242" s="3"/>
      <c r="R242" s="3"/>
      <c r="S242" s="3"/>
      <c r="T242" s="3"/>
      <c r="U242" s="3"/>
      <c r="V242" s="3"/>
      <c r="W242" s="5"/>
      <c r="X242" s="3"/>
      <c r="Y242" s="3"/>
      <c r="Z242" s="5"/>
      <c r="AA242" s="3"/>
      <c r="AB242" s="3"/>
      <c r="AC242" s="5"/>
      <c r="AD242" s="3"/>
      <c r="AE242" s="5"/>
    </row>
    <row r="243" spans="1:31" ht="15.75" customHeight="1" x14ac:dyDescent="0.2">
      <c r="A243" s="3"/>
      <c r="B243" s="3"/>
      <c r="C243" s="3"/>
      <c r="D243" s="4"/>
      <c r="E243" s="3"/>
      <c r="F243" s="5"/>
      <c r="G243" s="22"/>
      <c r="H243" s="3"/>
      <c r="I243" s="5"/>
      <c r="J243" s="3"/>
      <c r="K243" s="3"/>
      <c r="L243" s="3"/>
      <c r="M243" s="23"/>
      <c r="N243" s="24"/>
      <c r="O243" s="3"/>
      <c r="P243" s="3"/>
      <c r="Q243" s="3"/>
      <c r="R243" s="3"/>
      <c r="S243" s="3"/>
      <c r="T243" s="3"/>
      <c r="U243" s="3"/>
      <c r="V243" s="3"/>
      <c r="W243" s="5"/>
      <c r="X243" s="3"/>
      <c r="Y243" s="3"/>
      <c r="Z243" s="5"/>
      <c r="AA243" s="3"/>
      <c r="AB243" s="3"/>
      <c r="AC243" s="5"/>
      <c r="AD243" s="3"/>
      <c r="AE243" s="5"/>
    </row>
    <row r="244" spans="1:31" ht="15.75" customHeight="1" x14ac:dyDescent="0.2">
      <c r="A244" s="3"/>
      <c r="B244" s="3"/>
      <c r="C244" s="3"/>
      <c r="D244" s="4"/>
      <c r="E244" s="3"/>
      <c r="F244" s="5"/>
      <c r="G244" s="22"/>
      <c r="H244" s="3"/>
      <c r="I244" s="5"/>
      <c r="J244" s="3"/>
      <c r="K244" s="3"/>
      <c r="L244" s="3"/>
      <c r="M244" s="23"/>
      <c r="N244" s="24"/>
      <c r="O244" s="3"/>
      <c r="P244" s="3"/>
      <c r="Q244" s="3"/>
      <c r="R244" s="3"/>
      <c r="S244" s="3"/>
      <c r="T244" s="3"/>
      <c r="U244" s="3"/>
      <c r="V244" s="3"/>
      <c r="W244" s="5"/>
      <c r="X244" s="3"/>
      <c r="Y244" s="3"/>
      <c r="Z244" s="5"/>
      <c r="AA244" s="3"/>
      <c r="AB244" s="3"/>
      <c r="AC244" s="5"/>
      <c r="AD244" s="3"/>
      <c r="AE244" s="5"/>
    </row>
    <row r="245" spans="1:31" ht="15.75" customHeight="1" x14ac:dyDescent="0.2">
      <c r="A245" s="3"/>
      <c r="B245" s="3"/>
      <c r="C245" s="3"/>
      <c r="D245" s="4"/>
      <c r="E245" s="3"/>
      <c r="F245" s="5"/>
      <c r="G245" s="22"/>
      <c r="H245" s="3"/>
      <c r="I245" s="5"/>
      <c r="J245" s="3"/>
      <c r="K245" s="3"/>
      <c r="L245" s="3"/>
      <c r="M245" s="23"/>
      <c r="N245" s="24"/>
      <c r="O245" s="3"/>
      <c r="P245" s="3"/>
      <c r="Q245" s="3"/>
      <c r="R245" s="3"/>
      <c r="S245" s="3"/>
      <c r="T245" s="3"/>
      <c r="U245" s="3"/>
      <c r="V245" s="3"/>
      <c r="W245" s="5"/>
      <c r="X245" s="3"/>
      <c r="Y245" s="3"/>
      <c r="Z245" s="5"/>
      <c r="AA245" s="3"/>
      <c r="AB245" s="3"/>
      <c r="AC245" s="5"/>
      <c r="AD245" s="3"/>
      <c r="AE245" s="5"/>
    </row>
    <row r="246" spans="1:31" ht="15.75" customHeight="1" x14ac:dyDescent="0.2">
      <c r="A246" s="3"/>
      <c r="B246" s="3"/>
      <c r="C246" s="3"/>
      <c r="D246" s="4"/>
      <c r="E246" s="3"/>
      <c r="F246" s="5"/>
      <c r="G246" s="22"/>
      <c r="H246" s="3"/>
      <c r="I246" s="5"/>
      <c r="J246" s="3"/>
      <c r="K246" s="3"/>
      <c r="L246" s="3"/>
      <c r="M246" s="23"/>
      <c r="N246" s="24"/>
      <c r="O246" s="3"/>
      <c r="P246" s="3"/>
      <c r="Q246" s="3"/>
      <c r="R246" s="3"/>
      <c r="S246" s="3"/>
      <c r="T246" s="3"/>
      <c r="U246" s="3"/>
      <c r="V246" s="3"/>
      <c r="W246" s="5"/>
      <c r="X246" s="3"/>
      <c r="Y246" s="3"/>
      <c r="Z246" s="5"/>
      <c r="AA246" s="3"/>
      <c r="AB246" s="3"/>
      <c r="AC246" s="5"/>
      <c r="AD246" s="3"/>
      <c r="AE246" s="5"/>
    </row>
    <row r="247" spans="1:31" ht="15.75" customHeight="1" x14ac:dyDescent="0.2">
      <c r="A247" s="3"/>
      <c r="B247" s="3"/>
      <c r="C247" s="3"/>
      <c r="D247" s="4"/>
      <c r="E247" s="3"/>
      <c r="F247" s="5"/>
      <c r="G247" s="22"/>
      <c r="H247" s="3"/>
      <c r="I247" s="5"/>
      <c r="J247" s="3"/>
      <c r="K247" s="3"/>
      <c r="L247" s="3"/>
      <c r="M247" s="23"/>
      <c r="N247" s="24"/>
      <c r="O247" s="3"/>
      <c r="P247" s="3"/>
      <c r="Q247" s="3"/>
      <c r="R247" s="3"/>
      <c r="S247" s="3"/>
      <c r="T247" s="3"/>
      <c r="U247" s="3"/>
      <c r="V247" s="3"/>
      <c r="W247" s="5"/>
      <c r="X247" s="3"/>
      <c r="Y247" s="3"/>
      <c r="Z247" s="5"/>
      <c r="AA247" s="3"/>
      <c r="AB247" s="3"/>
      <c r="AC247" s="5"/>
      <c r="AD247" s="3"/>
      <c r="AE247" s="5"/>
    </row>
    <row r="248" spans="1:31" ht="15.75" customHeight="1" x14ac:dyDescent="0.2">
      <c r="A248" s="3"/>
      <c r="B248" s="3"/>
      <c r="C248" s="3"/>
      <c r="D248" s="4"/>
      <c r="E248" s="3"/>
      <c r="F248" s="5"/>
      <c r="G248" s="22"/>
      <c r="H248" s="3"/>
      <c r="I248" s="5"/>
      <c r="J248" s="3"/>
      <c r="K248" s="3"/>
      <c r="L248" s="3"/>
      <c r="M248" s="23"/>
      <c r="N248" s="24"/>
      <c r="O248" s="3"/>
      <c r="P248" s="3"/>
      <c r="Q248" s="3"/>
      <c r="R248" s="3"/>
      <c r="S248" s="3"/>
      <c r="T248" s="3"/>
      <c r="U248" s="3"/>
      <c r="V248" s="3"/>
      <c r="W248" s="5"/>
      <c r="X248" s="3"/>
      <c r="Y248" s="3"/>
      <c r="Z248" s="5"/>
      <c r="AA248" s="3"/>
      <c r="AB248" s="3"/>
      <c r="AC248" s="5"/>
      <c r="AD248" s="3"/>
      <c r="AE248" s="5"/>
    </row>
    <row r="249" spans="1:31" ht="15.75" customHeight="1" x14ac:dyDescent="0.2">
      <c r="A249" s="3"/>
      <c r="B249" s="3"/>
      <c r="C249" s="3"/>
      <c r="D249" s="4"/>
      <c r="E249" s="3"/>
      <c r="F249" s="5"/>
      <c r="G249" s="22"/>
      <c r="H249" s="3"/>
      <c r="I249" s="5"/>
      <c r="J249" s="3"/>
      <c r="K249" s="3"/>
      <c r="L249" s="3"/>
      <c r="M249" s="23"/>
      <c r="N249" s="24"/>
      <c r="O249" s="3"/>
      <c r="P249" s="3"/>
      <c r="Q249" s="3"/>
      <c r="R249" s="3"/>
      <c r="S249" s="3"/>
      <c r="T249" s="3"/>
      <c r="U249" s="3"/>
      <c r="V249" s="3"/>
      <c r="W249" s="5"/>
      <c r="X249" s="3"/>
      <c r="Y249" s="3"/>
      <c r="Z249" s="5"/>
      <c r="AA249" s="3"/>
      <c r="AB249" s="3"/>
      <c r="AC249" s="5"/>
      <c r="AD249" s="3"/>
      <c r="AE249" s="5"/>
    </row>
    <row r="250" spans="1:31" ht="15.75" customHeight="1" x14ac:dyDescent="0.2">
      <c r="A250" s="3"/>
      <c r="B250" s="3"/>
      <c r="C250" s="3"/>
      <c r="D250" s="4"/>
      <c r="E250" s="3"/>
      <c r="F250" s="5"/>
      <c r="G250" s="22"/>
      <c r="H250" s="3"/>
      <c r="I250" s="5"/>
      <c r="J250" s="3"/>
      <c r="K250" s="3"/>
      <c r="L250" s="3"/>
      <c r="M250" s="23"/>
      <c r="N250" s="24"/>
      <c r="O250" s="3"/>
      <c r="P250" s="3"/>
      <c r="Q250" s="3"/>
      <c r="R250" s="3"/>
      <c r="S250" s="3"/>
      <c r="T250" s="3"/>
      <c r="U250" s="3"/>
      <c r="V250" s="3"/>
      <c r="W250" s="5"/>
      <c r="X250" s="3"/>
      <c r="Y250" s="3"/>
      <c r="Z250" s="5"/>
      <c r="AA250" s="3"/>
      <c r="AB250" s="3"/>
      <c r="AC250" s="5"/>
      <c r="AD250" s="3"/>
      <c r="AE250" s="5"/>
    </row>
    <row r="251" spans="1:31" ht="15.75" customHeight="1" x14ac:dyDescent="0.2">
      <c r="A251" s="3"/>
      <c r="B251" s="3"/>
      <c r="C251" s="3"/>
      <c r="D251" s="4"/>
      <c r="E251" s="3"/>
      <c r="F251" s="5"/>
      <c r="G251" s="22"/>
      <c r="H251" s="3"/>
      <c r="I251" s="5"/>
      <c r="J251" s="3"/>
      <c r="K251" s="3"/>
      <c r="L251" s="3"/>
      <c r="M251" s="23"/>
      <c r="N251" s="24"/>
      <c r="O251" s="3"/>
      <c r="P251" s="3"/>
      <c r="Q251" s="3"/>
      <c r="R251" s="3"/>
      <c r="S251" s="3"/>
      <c r="T251" s="3"/>
      <c r="U251" s="3"/>
      <c r="V251" s="3"/>
      <c r="W251" s="5"/>
      <c r="X251" s="3"/>
      <c r="Y251" s="3"/>
      <c r="Z251" s="5"/>
      <c r="AA251" s="3"/>
      <c r="AB251" s="3"/>
      <c r="AC251" s="5"/>
      <c r="AD251" s="3"/>
      <c r="AE251" s="5"/>
    </row>
    <row r="252" spans="1:31" ht="15.75" customHeight="1" x14ac:dyDescent="0.2">
      <c r="A252" s="3"/>
      <c r="B252" s="3"/>
      <c r="C252" s="3"/>
      <c r="D252" s="4"/>
      <c r="E252" s="3"/>
      <c r="F252" s="5"/>
      <c r="G252" s="22"/>
      <c r="H252" s="3"/>
      <c r="I252" s="5"/>
      <c r="J252" s="3"/>
      <c r="K252" s="3"/>
      <c r="L252" s="3"/>
      <c r="M252" s="23"/>
      <c r="N252" s="24"/>
      <c r="O252" s="3"/>
      <c r="P252" s="3"/>
      <c r="Q252" s="3"/>
      <c r="R252" s="3"/>
      <c r="S252" s="3"/>
      <c r="T252" s="3"/>
      <c r="U252" s="3"/>
      <c r="V252" s="3"/>
      <c r="W252" s="5"/>
      <c r="X252" s="3"/>
      <c r="Y252" s="3"/>
      <c r="Z252" s="5"/>
      <c r="AA252" s="3"/>
      <c r="AB252" s="3"/>
      <c r="AC252" s="5"/>
      <c r="AD252" s="3"/>
      <c r="AE252" s="5"/>
    </row>
    <row r="253" spans="1:31" ht="15.75" customHeight="1" x14ac:dyDescent="0.2">
      <c r="A253" s="3"/>
      <c r="B253" s="3"/>
      <c r="C253" s="3"/>
      <c r="D253" s="4"/>
      <c r="E253" s="3"/>
      <c r="F253" s="5"/>
      <c r="G253" s="22"/>
      <c r="H253" s="3"/>
      <c r="I253" s="5"/>
      <c r="J253" s="3"/>
      <c r="K253" s="3"/>
      <c r="L253" s="3"/>
      <c r="M253" s="23"/>
      <c r="N253" s="24"/>
      <c r="O253" s="3"/>
      <c r="P253" s="3"/>
      <c r="Q253" s="3"/>
      <c r="R253" s="3"/>
      <c r="S253" s="3"/>
      <c r="T253" s="3"/>
      <c r="U253" s="3"/>
      <c r="V253" s="3"/>
      <c r="W253" s="5"/>
      <c r="X253" s="3"/>
      <c r="Y253" s="3"/>
      <c r="Z253" s="5"/>
      <c r="AA253" s="3"/>
      <c r="AB253" s="3"/>
      <c r="AC253" s="5"/>
      <c r="AD253" s="3"/>
      <c r="AE253" s="5"/>
    </row>
    <row r="254" spans="1:31" ht="15.75" customHeight="1" x14ac:dyDescent="0.2">
      <c r="A254" s="3"/>
      <c r="B254" s="3"/>
      <c r="C254" s="3"/>
      <c r="D254" s="4"/>
      <c r="E254" s="3"/>
      <c r="F254" s="5"/>
      <c r="G254" s="22"/>
      <c r="H254" s="3"/>
      <c r="I254" s="5"/>
      <c r="J254" s="3"/>
      <c r="K254" s="3"/>
      <c r="L254" s="3"/>
      <c r="M254" s="23"/>
      <c r="N254" s="24"/>
      <c r="O254" s="3"/>
      <c r="P254" s="3"/>
      <c r="Q254" s="3"/>
      <c r="R254" s="3"/>
      <c r="S254" s="3"/>
      <c r="T254" s="3"/>
      <c r="U254" s="3"/>
      <c r="V254" s="3"/>
      <c r="W254" s="5"/>
      <c r="X254" s="3"/>
      <c r="Y254" s="3"/>
      <c r="Z254" s="5"/>
      <c r="AA254" s="3"/>
      <c r="AB254" s="3"/>
      <c r="AC254" s="5"/>
      <c r="AD254" s="3"/>
      <c r="AE254" s="5"/>
    </row>
    <row r="255" spans="1:31" ht="15.75" customHeight="1" x14ac:dyDescent="0.2">
      <c r="A255" s="3"/>
      <c r="B255" s="3"/>
      <c r="C255" s="3"/>
      <c r="D255" s="4"/>
      <c r="E255" s="3"/>
      <c r="F255" s="5"/>
      <c r="G255" s="22"/>
      <c r="H255" s="3"/>
      <c r="I255" s="5"/>
      <c r="J255" s="3"/>
      <c r="K255" s="3"/>
      <c r="L255" s="3"/>
      <c r="M255" s="23"/>
      <c r="N255" s="24"/>
      <c r="O255" s="3"/>
      <c r="P255" s="3"/>
      <c r="Q255" s="3"/>
      <c r="R255" s="3"/>
      <c r="S255" s="3"/>
      <c r="T255" s="3"/>
      <c r="U255" s="3"/>
      <c r="V255" s="3"/>
      <c r="W255" s="5"/>
      <c r="X255" s="3"/>
      <c r="Y255" s="3"/>
      <c r="Z255" s="5"/>
      <c r="AA255" s="3"/>
      <c r="AB255" s="3"/>
      <c r="AC255" s="5"/>
      <c r="AD255" s="3"/>
      <c r="AE255" s="5"/>
    </row>
    <row r="256" spans="1:31" ht="15.75" customHeight="1" x14ac:dyDescent="0.2">
      <c r="A256" s="3"/>
      <c r="B256" s="3"/>
      <c r="C256" s="3"/>
      <c r="D256" s="4"/>
      <c r="E256" s="3"/>
      <c r="F256" s="5"/>
      <c r="G256" s="22"/>
      <c r="H256" s="3"/>
      <c r="I256" s="5"/>
      <c r="J256" s="3"/>
      <c r="K256" s="3"/>
      <c r="L256" s="3"/>
      <c r="M256" s="23"/>
      <c r="N256" s="24"/>
      <c r="O256" s="3"/>
      <c r="P256" s="3"/>
      <c r="Q256" s="3"/>
      <c r="R256" s="3"/>
      <c r="S256" s="3"/>
      <c r="T256" s="3"/>
      <c r="U256" s="3"/>
      <c r="V256" s="3"/>
      <c r="W256" s="5"/>
      <c r="X256" s="3"/>
      <c r="Y256" s="3"/>
      <c r="Z256" s="5"/>
      <c r="AA256" s="3"/>
      <c r="AB256" s="3"/>
      <c r="AC256" s="5"/>
      <c r="AD256" s="3"/>
      <c r="AE256" s="5"/>
    </row>
    <row r="257" spans="1:31" ht="15.75" customHeight="1" x14ac:dyDescent="0.2">
      <c r="A257" s="3"/>
      <c r="B257" s="3"/>
      <c r="C257" s="3"/>
      <c r="D257" s="4"/>
      <c r="E257" s="3"/>
      <c r="F257" s="5"/>
      <c r="G257" s="22"/>
      <c r="H257" s="3"/>
      <c r="I257" s="5"/>
      <c r="J257" s="3"/>
      <c r="K257" s="3"/>
      <c r="L257" s="3"/>
      <c r="M257" s="23"/>
      <c r="N257" s="24"/>
      <c r="O257" s="3"/>
      <c r="P257" s="3"/>
      <c r="Q257" s="3"/>
      <c r="R257" s="3"/>
      <c r="S257" s="3"/>
      <c r="T257" s="3"/>
      <c r="U257" s="3"/>
      <c r="V257" s="3"/>
      <c r="W257" s="5"/>
      <c r="X257" s="3"/>
      <c r="Y257" s="3"/>
      <c r="Z257" s="5"/>
      <c r="AA257" s="3"/>
      <c r="AB257" s="3"/>
      <c r="AC257" s="5"/>
      <c r="AD257" s="3"/>
      <c r="AE257" s="5"/>
    </row>
    <row r="258" spans="1:31" ht="15.75" customHeight="1" x14ac:dyDescent="0.2">
      <c r="A258" s="3"/>
      <c r="B258" s="3"/>
      <c r="C258" s="3"/>
      <c r="D258" s="4"/>
      <c r="E258" s="3"/>
      <c r="F258" s="5"/>
      <c r="G258" s="22"/>
      <c r="H258" s="3"/>
      <c r="I258" s="5"/>
      <c r="J258" s="3"/>
      <c r="K258" s="3"/>
      <c r="L258" s="3"/>
      <c r="M258" s="23"/>
      <c r="N258" s="24"/>
      <c r="O258" s="3"/>
      <c r="P258" s="3"/>
      <c r="Q258" s="3"/>
      <c r="R258" s="3"/>
      <c r="S258" s="3"/>
      <c r="T258" s="3"/>
      <c r="U258" s="3"/>
      <c r="V258" s="3"/>
      <c r="W258" s="5"/>
      <c r="X258" s="3"/>
      <c r="Y258" s="3"/>
      <c r="Z258" s="5"/>
      <c r="AA258" s="3"/>
      <c r="AB258" s="3"/>
      <c r="AC258" s="5"/>
      <c r="AD258" s="3"/>
      <c r="AE258" s="5"/>
    </row>
    <row r="259" spans="1:31" ht="15.75" customHeight="1" x14ac:dyDescent="0.2">
      <c r="A259" s="3"/>
      <c r="B259" s="3"/>
      <c r="C259" s="3"/>
      <c r="D259" s="4"/>
      <c r="E259" s="3"/>
      <c r="F259" s="5"/>
      <c r="G259" s="22"/>
      <c r="H259" s="3"/>
      <c r="I259" s="5"/>
      <c r="J259" s="3"/>
      <c r="K259" s="3"/>
      <c r="L259" s="3"/>
      <c r="M259" s="23"/>
      <c r="N259" s="24"/>
      <c r="O259" s="3"/>
      <c r="P259" s="3"/>
      <c r="Q259" s="3"/>
      <c r="R259" s="3"/>
      <c r="S259" s="3"/>
      <c r="T259" s="3"/>
      <c r="U259" s="3"/>
      <c r="V259" s="3"/>
      <c r="W259" s="5"/>
      <c r="X259" s="3"/>
      <c r="Y259" s="3"/>
      <c r="Z259" s="5"/>
      <c r="AA259" s="3"/>
      <c r="AB259" s="3"/>
      <c r="AC259" s="5"/>
      <c r="AD259" s="3"/>
      <c r="AE259" s="5"/>
    </row>
    <row r="260" spans="1:31" ht="15.75" customHeight="1" x14ac:dyDescent="0.2">
      <c r="A260" s="3"/>
      <c r="B260" s="3"/>
      <c r="C260" s="3"/>
      <c r="D260" s="4"/>
      <c r="E260" s="3"/>
      <c r="F260" s="5"/>
      <c r="G260" s="22"/>
      <c r="H260" s="3"/>
      <c r="I260" s="5"/>
      <c r="J260" s="3"/>
      <c r="K260" s="3"/>
      <c r="L260" s="3"/>
      <c r="M260" s="23"/>
      <c r="N260" s="24"/>
      <c r="O260" s="3"/>
      <c r="P260" s="3"/>
      <c r="Q260" s="3"/>
      <c r="R260" s="3"/>
      <c r="S260" s="3"/>
      <c r="T260" s="3"/>
      <c r="U260" s="3"/>
      <c r="V260" s="3"/>
      <c r="W260" s="5"/>
      <c r="X260" s="3"/>
      <c r="Y260" s="3"/>
      <c r="Z260" s="5"/>
      <c r="AA260" s="3"/>
      <c r="AB260" s="3"/>
      <c r="AC260" s="5"/>
      <c r="AD260" s="3"/>
      <c r="AE260" s="5"/>
    </row>
    <row r="261" spans="1:31" ht="15.75" customHeight="1" x14ac:dyDescent="0.2">
      <c r="A261" s="3"/>
      <c r="B261" s="3"/>
      <c r="C261" s="3"/>
      <c r="D261" s="4"/>
      <c r="E261" s="3"/>
      <c r="F261" s="5"/>
      <c r="G261" s="22"/>
      <c r="H261" s="3"/>
      <c r="I261" s="5"/>
      <c r="J261" s="3"/>
      <c r="K261" s="3"/>
      <c r="L261" s="3"/>
      <c r="M261" s="23"/>
      <c r="N261" s="24"/>
      <c r="O261" s="3"/>
      <c r="P261" s="3"/>
      <c r="Q261" s="3"/>
      <c r="R261" s="3"/>
      <c r="S261" s="3"/>
      <c r="T261" s="3"/>
      <c r="U261" s="3"/>
      <c r="V261" s="3"/>
      <c r="W261" s="5"/>
      <c r="X261" s="3"/>
      <c r="Y261" s="3"/>
      <c r="Z261" s="5"/>
      <c r="AA261" s="3"/>
      <c r="AB261" s="3"/>
      <c r="AC261" s="5"/>
      <c r="AD261" s="3"/>
      <c r="AE261" s="5"/>
    </row>
    <row r="262" spans="1:31" ht="15.75" customHeight="1" x14ac:dyDescent="0.2">
      <c r="A262" s="3"/>
      <c r="B262" s="3"/>
      <c r="C262" s="3"/>
      <c r="D262" s="4"/>
      <c r="E262" s="3"/>
      <c r="F262" s="5"/>
      <c r="G262" s="22"/>
      <c r="H262" s="3"/>
      <c r="I262" s="5"/>
      <c r="J262" s="3"/>
      <c r="K262" s="3"/>
      <c r="L262" s="3"/>
      <c r="M262" s="23"/>
      <c r="N262" s="24"/>
      <c r="O262" s="3"/>
      <c r="P262" s="3"/>
      <c r="Q262" s="3"/>
      <c r="R262" s="3"/>
      <c r="S262" s="3"/>
      <c r="T262" s="3"/>
      <c r="U262" s="3"/>
      <c r="V262" s="3"/>
      <c r="W262" s="5"/>
      <c r="X262" s="3"/>
      <c r="Y262" s="3"/>
      <c r="Z262" s="5"/>
      <c r="AA262" s="3"/>
      <c r="AB262" s="3"/>
      <c r="AC262" s="5"/>
      <c r="AD262" s="3"/>
      <c r="AE262" s="5"/>
    </row>
    <row r="263" spans="1:31" ht="15.75" customHeight="1" x14ac:dyDescent="0.2">
      <c r="A263" s="3"/>
      <c r="B263" s="3"/>
      <c r="C263" s="3"/>
      <c r="D263" s="4"/>
      <c r="E263" s="3"/>
      <c r="F263" s="5"/>
      <c r="G263" s="22"/>
      <c r="H263" s="3"/>
      <c r="I263" s="5"/>
      <c r="J263" s="3"/>
      <c r="K263" s="3"/>
      <c r="L263" s="3"/>
      <c r="M263" s="23"/>
      <c r="N263" s="24"/>
      <c r="O263" s="3"/>
      <c r="P263" s="3"/>
      <c r="Q263" s="3"/>
      <c r="R263" s="3"/>
      <c r="S263" s="3"/>
      <c r="T263" s="3"/>
      <c r="U263" s="3"/>
      <c r="V263" s="3"/>
      <c r="W263" s="5"/>
      <c r="X263" s="3"/>
      <c r="Y263" s="3"/>
      <c r="Z263" s="5"/>
      <c r="AA263" s="3"/>
      <c r="AB263" s="3"/>
      <c r="AC263" s="5"/>
      <c r="AD263" s="3"/>
      <c r="AE263" s="5"/>
    </row>
    <row r="264" spans="1:31" ht="15.75" customHeight="1" x14ac:dyDescent="0.2">
      <c r="A264" s="3"/>
      <c r="B264" s="3"/>
      <c r="C264" s="3"/>
      <c r="D264" s="4"/>
      <c r="E264" s="3"/>
      <c r="F264" s="5"/>
      <c r="G264" s="22"/>
      <c r="H264" s="3"/>
      <c r="I264" s="5"/>
      <c r="J264" s="3"/>
      <c r="K264" s="3"/>
      <c r="L264" s="3"/>
      <c r="M264" s="23"/>
      <c r="N264" s="24"/>
      <c r="O264" s="3"/>
      <c r="P264" s="3"/>
      <c r="Q264" s="3"/>
      <c r="R264" s="3"/>
      <c r="S264" s="3"/>
      <c r="T264" s="3"/>
      <c r="U264" s="3"/>
      <c r="V264" s="3"/>
      <c r="W264" s="5"/>
      <c r="X264" s="3"/>
      <c r="Y264" s="3"/>
      <c r="Z264" s="5"/>
      <c r="AA264" s="3"/>
      <c r="AB264" s="3"/>
      <c r="AC264" s="5"/>
      <c r="AD264" s="3"/>
      <c r="AE264" s="5"/>
    </row>
    <row r="265" spans="1:31" ht="15.75" customHeight="1" x14ac:dyDescent="0.2">
      <c r="A265" s="3"/>
      <c r="B265" s="3"/>
      <c r="C265" s="3"/>
      <c r="D265" s="4"/>
      <c r="E265" s="3"/>
      <c r="F265" s="5"/>
      <c r="G265" s="22"/>
      <c r="H265" s="3"/>
      <c r="I265" s="5"/>
      <c r="J265" s="3"/>
      <c r="K265" s="3"/>
      <c r="L265" s="3"/>
      <c r="M265" s="23"/>
      <c r="N265" s="24"/>
      <c r="O265" s="3"/>
      <c r="P265" s="3"/>
      <c r="Q265" s="3"/>
      <c r="R265" s="3"/>
      <c r="S265" s="3"/>
      <c r="T265" s="3"/>
      <c r="U265" s="3"/>
      <c r="V265" s="3"/>
      <c r="W265" s="5"/>
      <c r="X265" s="3"/>
      <c r="Y265" s="3"/>
      <c r="Z265" s="5"/>
      <c r="AA265" s="3"/>
      <c r="AB265" s="3"/>
      <c r="AC265" s="5"/>
      <c r="AD265" s="3"/>
      <c r="AE265" s="5"/>
    </row>
    <row r="266" spans="1:31" ht="15.75" customHeight="1" x14ac:dyDescent="0.2">
      <c r="A266" s="3"/>
      <c r="B266" s="3"/>
      <c r="C266" s="3"/>
      <c r="D266" s="4"/>
      <c r="E266" s="3"/>
      <c r="F266" s="5"/>
      <c r="G266" s="22"/>
      <c r="H266" s="3"/>
      <c r="I266" s="5"/>
      <c r="J266" s="3"/>
      <c r="K266" s="3"/>
      <c r="L266" s="3"/>
      <c r="M266" s="23"/>
      <c r="N266" s="24"/>
      <c r="O266" s="3"/>
      <c r="P266" s="3"/>
      <c r="Q266" s="3"/>
      <c r="R266" s="3"/>
      <c r="S266" s="3"/>
      <c r="T266" s="3"/>
      <c r="U266" s="3"/>
      <c r="V266" s="3"/>
      <c r="W266" s="5"/>
      <c r="X266" s="3"/>
      <c r="Y266" s="3"/>
      <c r="Z266" s="5"/>
      <c r="AA266" s="3"/>
      <c r="AB266" s="3"/>
      <c r="AC266" s="5"/>
      <c r="AD266" s="3"/>
      <c r="AE266" s="5"/>
    </row>
    <row r="267" spans="1:31" ht="15.75" customHeight="1" x14ac:dyDescent="0.2">
      <c r="A267" s="3"/>
      <c r="B267" s="3"/>
      <c r="C267" s="3"/>
      <c r="D267" s="4"/>
      <c r="E267" s="3"/>
      <c r="F267" s="5"/>
      <c r="G267" s="22"/>
      <c r="H267" s="3"/>
      <c r="I267" s="5"/>
      <c r="J267" s="3"/>
      <c r="K267" s="3"/>
      <c r="L267" s="3"/>
      <c r="M267" s="23"/>
      <c r="N267" s="24"/>
      <c r="O267" s="3"/>
      <c r="P267" s="3"/>
      <c r="Q267" s="3"/>
      <c r="R267" s="3"/>
      <c r="S267" s="3"/>
      <c r="T267" s="3"/>
      <c r="U267" s="3"/>
      <c r="V267" s="3"/>
      <c r="W267" s="5"/>
      <c r="X267" s="3"/>
      <c r="Y267" s="3"/>
      <c r="Z267" s="5"/>
      <c r="AA267" s="3"/>
      <c r="AB267" s="3"/>
      <c r="AC267" s="5"/>
      <c r="AD267" s="3"/>
      <c r="AE267" s="5"/>
    </row>
    <row r="268" spans="1:31" ht="15.75" customHeight="1" x14ac:dyDescent="0.2">
      <c r="A268" s="3"/>
      <c r="B268" s="3"/>
      <c r="C268" s="3"/>
      <c r="D268" s="4"/>
      <c r="E268" s="3"/>
      <c r="F268" s="5"/>
      <c r="G268" s="22"/>
      <c r="H268" s="3"/>
      <c r="I268" s="5"/>
      <c r="J268" s="3"/>
      <c r="K268" s="3"/>
      <c r="L268" s="3"/>
      <c r="M268" s="23"/>
      <c r="N268" s="24"/>
      <c r="O268" s="3"/>
      <c r="P268" s="3"/>
      <c r="Q268" s="3"/>
      <c r="R268" s="3"/>
      <c r="S268" s="3"/>
      <c r="T268" s="3"/>
      <c r="U268" s="3"/>
      <c r="V268" s="3"/>
      <c r="W268" s="5"/>
      <c r="X268" s="3"/>
      <c r="Y268" s="3"/>
      <c r="Z268" s="5"/>
      <c r="AA268" s="3"/>
      <c r="AB268" s="3"/>
      <c r="AC268" s="5"/>
      <c r="AD268" s="3"/>
      <c r="AE268" s="5"/>
    </row>
    <row r="269" spans="1:31" ht="15.75" customHeight="1" x14ac:dyDescent="0.2">
      <c r="A269" s="3"/>
      <c r="B269" s="3"/>
      <c r="C269" s="3"/>
      <c r="D269" s="4"/>
      <c r="E269" s="3"/>
      <c r="F269" s="5"/>
      <c r="G269" s="22"/>
      <c r="H269" s="3"/>
      <c r="I269" s="5"/>
      <c r="J269" s="3"/>
      <c r="K269" s="3"/>
      <c r="L269" s="3"/>
      <c r="M269" s="23"/>
      <c r="N269" s="24"/>
      <c r="O269" s="3"/>
      <c r="P269" s="3"/>
      <c r="Q269" s="3"/>
      <c r="R269" s="3"/>
      <c r="S269" s="3"/>
      <c r="T269" s="3"/>
      <c r="U269" s="3"/>
      <c r="V269" s="3"/>
      <c r="W269" s="5"/>
      <c r="X269" s="3"/>
      <c r="Y269" s="3"/>
      <c r="Z269" s="5"/>
      <c r="AA269" s="3"/>
      <c r="AB269" s="3"/>
      <c r="AC269" s="5"/>
      <c r="AD269" s="3"/>
      <c r="AE269" s="5"/>
    </row>
    <row r="270" spans="1:31" ht="15.75" customHeight="1" x14ac:dyDescent="0.2">
      <c r="A270" s="3"/>
      <c r="B270" s="3"/>
      <c r="C270" s="3"/>
      <c r="D270" s="4"/>
      <c r="E270" s="3"/>
      <c r="F270" s="5"/>
      <c r="G270" s="22"/>
      <c r="H270" s="3"/>
      <c r="I270" s="5"/>
      <c r="J270" s="3"/>
      <c r="K270" s="3"/>
      <c r="L270" s="3"/>
      <c r="M270" s="23"/>
      <c r="N270" s="24"/>
      <c r="O270" s="3"/>
      <c r="P270" s="3"/>
      <c r="Q270" s="3"/>
      <c r="R270" s="3"/>
      <c r="S270" s="3"/>
      <c r="T270" s="3"/>
      <c r="U270" s="3"/>
      <c r="V270" s="3"/>
      <c r="W270" s="5"/>
      <c r="X270" s="3"/>
      <c r="Y270" s="3"/>
      <c r="Z270" s="5"/>
      <c r="AA270" s="3"/>
      <c r="AB270" s="3"/>
      <c r="AC270" s="5"/>
      <c r="AD270" s="3"/>
      <c r="AE270" s="5"/>
    </row>
    <row r="271" spans="1:31" ht="15.75" customHeight="1" x14ac:dyDescent="0.2">
      <c r="A271" s="3"/>
      <c r="B271" s="3"/>
      <c r="C271" s="3"/>
      <c r="D271" s="4"/>
      <c r="E271" s="3"/>
      <c r="F271" s="5"/>
      <c r="G271" s="22"/>
      <c r="H271" s="3"/>
      <c r="I271" s="5"/>
      <c r="J271" s="3"/>
      <c r="K271" s="3"/>
      <c r="L271" s="3"/>
      <c r="M271" s="23"/>
      <c r="N271" s="24"/>
      <c r="O271" s="3"/>
      <c r="P271" s="3"/>
      <c r="Q271" s="3"/>
      <c r="R271" s="3"/>
      <c r="S271" s="3"/>
      <c r="T271" s="3"/>
      <c r="U271" s="3"/>
      <c r="V271" s="3"/>
      <c r="W271" s="5"/>
      <c r="X271" s="3"/>
      <c r="Y271" s="3"/>
      <c r="Z271" s="5"/>
      <c r="AA271" s="3"/>
      <c r="AB271" s="3"/>
      <c r="AC271" s="5"/>
      <c r="AD271" s="3"/>
      <c r="AE271" s="5"/>
    </row>
    <row r="272" spans="1:31" ht="15.75" customHeight="1" x14ac:dyDescent="0.2">
      <c r="A272" s="3"/>
      <c r="B272" s="3"/>
      <c r="C272" s="3"/>
      <c r="D272" s="4"/>
      <c r="E272" s="3"/>
      <c r="F272" s="5"/>
      <c r="G272" s="22"/>
      <c r="H272" s="3"/>
      <c r="I272" s="5"/>
      <c r="J272" s="3"/>
      <c r="K272" s="3"/>
      <c r="L272" s="3"/>
      <c r="M272" s="23"/>
      <c r="N272" s="24"/>
      <c r="O272" s="3"/>
      <c r="P272" s="3"/>
      <c r="Q272" s="3"/>
      <c r="R272" s="3"/>
      <c r="S272" s="3"/>
      <c r="T272" s="3"/>
      <c r="U272" s="3"/>
      <c r="V272" s="3"/>
      <c r="W272" s="5"/>
      <c r="X272" s="3"/>
      <c r="Y272" s="3"/>
      <c r="Z272" s="5"/>
      <c r="AA272" s="3"/>
      <c r="AB272" s="3"/>
      <c r="AC272" s="5"/>
      <c r="AD272" s="3"/>
      <c r="AE272" s="5"/>
    </row>
    <row r="273" spans="1:31" ht="15.75" customHeight="1" x14ac:dyDescent="0.2">
      <c r="A273" s="3"/>
      <c r="B273" s="3"/>
      <c r="C273" s="3"/>
      <c r="D273" s="4"/>
      <c r="E273" s="3"/>
      <c r="F273" s="5"/>
      <c r="G273" s="22"/>
      <c r="H273" s="3"/>
      <c r="I273" s="5"/>
      <c r="J273" s="3"/>
      <c r="K273" s="3"/>
      <c r="L273" s="3"/>
      <c r="M273" s="23"/>
      <c r="N273" s="24"/>
      <c r="O273" s="3"/>
      <c r="P273" s="3"/>
      <c r="Q273" s="3"/>
      <c r="R273" s="3"/>
      <c r="S273" s="3"/>
      <c r="T273" s="3"/>
      <c r="U273" s="3"/>
      <c r="V273" s="3"/>
      <c r="W273" s="5"/>
      <c r="X273" s="3"/>
      <c r="Y273" s="3"/>
      <c r="Z273" s="5"/>
      <c r="AA273" s="3"/>
      <c r="AB273" s="3"/>
      <c r="AC273" s="5"/>
      <c r="AD273" s="3"/>
      <c r="AE273" s="5"/>
    </row>
    <row r="274" spans="1:31" ht="15.75" customHeight="1" x14ac:dyDescent="0.2">
      <c r="A274" s="3"/>
      <c r="B274" s="3"/>
      <c r="C274" s="3"/>
      <c r="D274" s="4"/>
      <c r="E274" s="3"/>
      <c r="F274" s="5"/>
      <c r="G274" s="22"/>
      <c r="H274" s="3"/>
      <c r="I274" s="5"/>
      <c r="J274" s="3"/>
      <c r="K274" s="3"/>
      <c r="L274" s="3"/>
      <c r="M274" s="23"/>
      <c r="N274" s="24"/>
      <c r="O274" s="3"/>
      <c r="P274" s="3"/>
      <c r="Q274" s="3"/>
      <c r="R274" s="3"/>
      <c r="S274" s="3"/>
      <c r="T274" s="3"/>
      <c r="U274" s="3"/>
      <c r="V274" s="3"/>
      <c r="W274" s="5"/>
      <c r="X274" s="3"/>
      <c r="Y274" s="3"/>
      <c r="Z274" s="5"/>
      <c r="AA274" s="3"/>
      <c r="AB274" s="3"/>
      <c r="AC274" s="5"/>
      <c r="AD274" s="3"/>
      <c r="AE274" s="5"/>
    </row>
    <row r="275" spans="1:31" ht="15.75" customHeight="1" x14ac:dyDescent="0.2">
      <c r="A275" s="3"/>
      <c r="B275" s="3"/>
      <c r="C275" s="3"/>
      <c r="D275" s="4"/>
      <c r="E275" s="3"/>
      <c r="F275" s="5"/>
      <c r="G275" s="22"/>
      <c r="H275" s="3"/>
      <c r="I275" s="5"/>
      <c r="J275" s="3"/>
      <c r="K275" s="3"/>
      <c r="L275" s="3"/>
      <c r="M275" s="23"/>
      <c r="N275" s="24"/>
      <c r="O275" s="3"/>
      <c r="P275" s="3"/>
      <c r="Q275" s="3"/>
      <c r="R275" s="3"/>
      <c r="S275" s="3"/>
      <c r="T275" s="3"/>
      <c r="U275" s="3"/>
      <c r="V275" s="3"/>
      <c r="W275" s="5"/>
      <c r="X275" s="3"/>
      <c r="Y275" s="3"/>
      <c r="Z275" s="5"/>
      <c r="AA275" s="3"/>
      <c r="AB275" s="3"/>
      <c r="AC275" s="5"/>
      <c r="AD275" s="3"/>
      <c r="AE275" s="5"/>
    </row>
    <row r="276" spans="1:31" ht="15.75" customHeight="1" x14ac:dyDescent="0.2">
      <c r="A276" s="3"/>
      <c r="B276" s="3"/>
      <c r="C276" s="3"/>
      <c r="D276" s="4"/>
      <c r="E276" s="3"/>
      <c r="F276" s="5"/>
      <c r="G276" s="22"/>
      <c r="H276" s="3"/>
      <c r="I276" s="5"/>
      <c r="J276" s="3"/>
      <c r="K276" s="3"/>
      <c r="L276" s="3"/>
      <c r="M276" s="23"/>
      <c r="N276" s="24"/>
      <c r="O276" s="3"/>
      <c r="P276" s="3"/>
      <c r="Q276" s="3"/>
      <c r="R276" s="3"/>
      <c r="S276" s="3"/>
      <c r="T276" s="3"/>
      <c r="U276" s="3"/>
      <c r="V276" s="3"/>
      <c r="W276" s="5"/>
      <c r="X276" s="3"/>
      <c r="Y276" s="3"/>
      <c r="Z276" s="5"/>
      <c r="AA276" s="3"/>
      <c r="AB276" s="3"/>
      <c r="AC276" s="5"/>
      <c r="AD276" s="3"/>
      <c r="AE276" s="5"/>
    </row>
    <row r="277" spans="1:31" ht="15.75" customHeight="1" x14ac:dyDescent="0.2">
      <c r="A277" s="3"/>
      <c r="B277" s="3"/>
      <c r="C277" s="3"/>
      <c r="D277" s="4"/>
      <c r="E277" s="3"/>
      <c r="F277" s="5"/>
      <c r="G277" s="22"/>
      <c r="H277" s="3"/>
      <c r="I277" s="5"/>
      <c r="J277" s="3"/>
      <c r="K277" s="3"/>
      <c r="L277" s="3"/>
      <c r="M277" s="23"/>
      <c r="N277" s="24"/>
      <c r="O277" s="3"/>
      <c r="P277" s="3"/>
      <c r="Q277" s="3"/>
      <c r="R277" s="3"/>
      <c r="S277" s="3"/>
      <c r="T277" s="3"/>
      <c r="U277" s="3"/>
      <c r="V277" s="3"/>
      <c r="W277" s="5"/>
      <c r="X277" s="3"/>
      <c r="Y277" s="3"/>
      <c r="Z277" s="5"/>
      <c r="AA277" s="3"/>
      <c r="AB277" s="3"/>
      <c r="AC277" s="5"/>
      <c r="AD277" s="3"/>
      <c r="AE277" s="5"/>
    </row>
    <row r="278" spans="1:31" ht="15.75" customHeight="1" x14ac:dyDescent="0.2">
      <c r="A278" s="3"/>
      <c r="B278" s="3"/>
      <c r="C278" s="3"/>
      <c r="D278" s="4"/>
      <c r="E278" s="3"/>
      <c r="F278" s="5"/>
      <c r="G278" s="22"/>
      <c r="H278" s="3"/>
      <c r="I278" s="5"/>
      <c r="J278" s="3"/>
      <c r="K278" s="3"/>
      <c r="L278" s="3"/>
      <c r="M278" s="23"/>
      <c r="N278" s="24"/>
      <c r="O278" s="3"/>
      <c r="P278" s="3"/>
      <c r="Q278" s="3"/>
      <c r="R278" s="3"/>
      <c r="S278" s="3"/>
      <c r="T278" s="3"/>
      <c r="U278" s="3"/>
      <c r="V278" s="3"/>
      <c r="W278" s="5"/>
      <c r="X278" s="3"/>
      <c r="Y278" s="3"/>
      <c r="Z278" s="5"/>
      <c r="AA278" s="3"/>
      <c r="AB278" s="3"/>
      <c r="AC278" s="5"/>
      <c r="AD278" s="3"/>
      <c r="AE278" s="5"/>
    </row>
    <row r="279" spans="1:31" ht="15.75" customHeight="1" x14ac:dyDescent="0.2">
      <c r="A279" s="3"/>
      <c r="B279" s="3"/>
      <c r="C279" s="3"/>
      <c r="D279" s="4"/>
      <c r="E279" s="3"/>
      <c r="F279" s="5"/>
      <c r="G279" s="22"/>
      <c r="H279" s="3"/>
      <c r="I279" s="5"/>
      <c r="J279" s="3"/>
      <c r="K279" s="3"/>
      <c r="L279" s="3"/>
      <c r="M279" s="23"/>
      <c r="N279" s="24"/>
      <c r="O279" s="3"/>
      <c r="P279" s="3"/>
      <c r="Q279" s="3"/>
      <c r="R279" s="3"/>
      <c r="S279" s="3"/>
      <c r="T279" s="3"/>
      <c r="U279" s="3"/>
      <c r="V279" s="3"/>
      <c r="W279" s="5"/>
      <c r="X279" s="3"/>
      <c r="Y279" s="3"/>
      <c r="Z279" s="5"/>
      <c r="AA279" s="3"/>
      <c r="AB279" s="3"/>
      <c r="AC279" s="5"/>
      <c r="AD279" s="3"/>
      <c r="AE279" s="5"/>
    </row>
    <row r="280" spans="1:31" ht="15.75" customHeight="1" x14ac:dyDescent="0.2">
      <c r="A280" s="3"/>
      <c r="B280" s="3"/>
      <c r="C280" s="3"/>
      <c r="D280" s="4"/>
      <c r="E280" s="3"/>
      <c r="F280" s="5"/>
      <c r="G280" s="22"/>
      <c r="H280" s="3"/>
      <c r="I280" s="5"/>
      <c r="J280" s="3"/>
      <c r="K280" s="3"/>
      <c r="L280" s="3"/>
      <c r="M280" s="23"/>
      <c r="N280" s="24"/>
      <c r="O280" s="3"/>
      <c r="P280" s="3"/>
      <c r="Q280" s="3"/>
      <c r="R280" s="3"/>
      <c r="S280" s="3"/>
      <c r="T280" s="3"/>
      <c r="U280" s="3"/>
      <c r="V280" s="3"/>
      <c r="W280" s="5"/>
      <c r="X280" s="3"/>
      <c r="Y280" s="3"/>
      <c r="Z280" s="5"/>
      <c r="AA280" s="3"/>
      <c r="AB280" s="3"/>
      <c r="AC280" s="5"/>
      <c r="AD280" s="3"/>
      <c r="AE280" s="5"/>
    </row>
    <row r="281" spans="1:31" ht="15.75" customHeight="1" x14ac:dyDescent="0.2">
      <c r="A281" s="3"/>
      <c r="B281" s="3"/>
      <c r="C281" s="3"/>
      <c r="D281" s="4"/>
      <c r="E281" s="3"/>
      <c r="F281" s="5"/>
      <c r="G281" s="22"/>
      <c r="H281" s="3"/>
      <c r="I281" s="5"/>
      <c r="J281" s="3"/>
      <c r="K281" s="3"/>
      <c r="L281" s="3"/>
      <c r="M281" s="23"/>
      <c r="N281" s="24"/>
      <c r="O281" s="3"/>
      <c r="P281" s="3"/>
      <c r="Q281" s="3"/>
      <c r="R281" s="3"/>
      <c r="S281" s="3"/>
      <c r="T281" s="3"/>
      <c r="U281" s="3"/>
      <c r="V281" s="3"/>
      <c r="W281" s="5"/>
      <c r="X281" s="3"/>
      <c r="Y281" s="3"/>
      <c r="Z281" s="5"/>
      <c r="AA281" s="3"/>
      <c r="AB281" s="3"/>
      <c r="AC281" s="5"/>
      <c r="AD281" s="3"/>
      <c r="AE281" s="5"/>
    </row>
    <row r="282" spans="1:31" ht="15.75" customHeight="1" x14ac:dyDescent="0.2">
      <c r="A282" s="3"/>
      <c r="B282" s="3"/>
      <c r="C282" s="3"/>
      <c r="D282" s="4"/>
      <c r="E282" s="3"/>
      <c r="F282" s="5"/>
      <c r="G282" s="22"/>
      <c r="H282" s="3"/>
      <c r="I282" s="5"/>
      <c r="J282" s="3"/>
      <c r="K282" s="3"/>
      <c r="L282" s="3"/>
      <c r="M282" s="23"/>
      <c r="N282" s="24"/>
      <c r="O282" s="3"/>
      <c r="P282" s="3"/>
      <c r="Q282" s="3"/>
      <c r="R282" s="3"/>
      <c r="S282" s="3"/>
      <c r="T282" s="3"/>
      <c r="U282" s="3"/>
      <c r="V282" s="3"/>
      <c r="W282" s="5"/>
      <c r="X282" s="3"/>
      <c r="Y282" s="3"/>
      <c r="Z282" s="5"/>
      <c r="AA282" s="3"/>
      <c r="AB282" s="3"/>
      <c r="AC282" s="5"/>
      <c r="AD282" s="3"/>
      <c r="AE282" s="5"/>
    </row>
    <row r="283" spans="1:31" ht="15.75" customHeight="1" x14ac:dyDescent="0.2">
      <c r="A283" s="3"/>
      <c r="B283" s="3"/>
      <c r="C283" s="3"/>
      <c r="D283" s="4"/>
      <c r="E283" s="3"/>
      <c r="F283" s="5"/>
      <c r="G283" s="22"/>
      <c r="H283" s="3"/>
      <c r="I283" s="5"/>
      <c r="J283" s="3"/>
      <c r="K283" s="3"/>
      <c r="L283" s="3"/>
      <c r="M283" s="23"/>
      <c r="N283" s="24"/>
      <c r="O283" s="3"/>
      <c r="P283" s="3"/>
      <c r="Q283" s="3"/>
      <c r="R283" s="3"/>
      <c r="S283" s="3"/>
      <c r="T283" s="3"/>
      <c r="U283" s="3"/>
      <c r="V283" s="3"/>
      <c r="W283" s="5"/>
      <c r="X283" s="3"/>
      <c r="Y283" s="3"/>
      <c r="Z283" s="5"/>
      <c r="AA283" s="3"/>
      <c r="AB283" s="3"/>
      <c r="AC283" s="5"/>
      <c r="AD283" s="3"/>
      <c r="AE283" s="5"/>
    </row>
    <row r="284" spans="1:31" ht="15.75" customHeight="1" x14ac:dyDescent="0.2">
      <c r="A284" s="3"/>
      <c r="B284" s="3"/>
      <c r="C284" s="3"/>
      <c r="D284" s="4"/>
      <c r="E284" s="3"/>
      <c r="F284" s="5"/>
      <c r="G284" s="22"/>
      <c r="H284" s="3"/>
      <c r="I284" s="5"/>
      <c r="J284" s="3"/>
      <c r="K284" s="3"/>
      <c r="L284" s="3"/>
      <c r="M284" s="23"/>
      <c r="N284" s="24"/>
      <c r="O284" s="3"/>
      <c r="P284" s="3"/>
      <c r="Q284" s="3"/>
      <c r="R284" s="3"/>
      <c r="S284" s="3"/>
      <c r="T284" s="3"/>
      <c r="U284" s="3"/>
      <c r="V284" s="3"/>
      <c r="W284" s="5"/>
      <c r="X284" s="3"/>
      <c r="Y284" s="3"/>
      <c r="Z284" s="5"/>
      <c r="AA284" s="3"/>
      <c r="AB284" s="3"/>
      <c r="AC284" s="5"/>
      <c r="AD284" s="3"/>
      <c r="AE284" s="5"/>
    </row>
    <row r="285" spans="1:31" ht="15.75" customHeight="1" x14ac:dyDescent="0.2">
      <c r="A285" s="3"/>
      <c r="B285" s="3"/>
      <c r="C285" s="3"/>
      <c r="D285" s="4"/>
      <c r="E285" s="3"/>
      <c r="F285" s="5"/>
      <c r="G285" s="22"/>
      <c r="H285" s="3"/>
      <c r="I285" s="5"/>
      <c r="J285" s="3"/>
      <c r="K285" s="3"/>
      <c r="L285" s="3"/>
      <c r="M285" s="23"/>
      <c r="N285" s="24"/>
      <c r="O285" s="3"/>
      <c r="P285" s="3"/>
      <c r="Q285" s="3"/>
      <c r="R285" s="3"/>
      <c r="S285" s="3"/>
      <c r="T285" s="3"/>
      <c r="U285" s="3"/>
      <c r="V285" s="3"/>
      <c r="W285" s="5"/>
      <c r="X285" s="3"/>
      <c r="Y285" s="3"/>
      <c r="Z285" s="5"/>
      <c r="AA285" s="3"/>
      <c r="AB285" s="3"/>
      <c r="AC285" s="5"/>
      <c r="AD285" s="3"/>
      <c r="AE285" s="5"/>
    </row>
    <row r="286" spans="1:31" ht="15.75" customHeight="1" x14ac:dyDescent="0.2">
      <c r="A286" s="3"/>
      <c r="B286" s="3"/>
      <c r="C286" s="3"/>
      <c r="D286" s="4"/>
      <c r="E286" s="3"/>
      <c r="F286" s="5"/>
      <c r="G286" s="22"/>
      <c r="H286" s="3"/>
      <c r="I286" s="5"/>
      <c r="J286" s="3"/>
      <c r="K286" s="3"/>
      <c r="L286" s="3"/>
      <c r="M286" s="23"/>
      <c r="N286" s="24"/>
      <c r="O286" s="3"/>
      <c r="P286" s="3"/>
      <c r="Q286" s="3"/>
      <c r="R286" s="3"/>
      <c r="S286" s="3"/>
      <c r="T286" s="3"/>
      <c r="U286" s="3"/>
      <c r="V286" s="3"/>
      <c r="W286" s="5"/>
      <c r="X286" s="3"/>
      <c r="Y286" s="3"/>
      <c r="Z286" s="5"/>
      <c r="AA286" s="3"/>
      <c r="AB286" s="3"/>
      <c r="AC286" s="5"/>
      <c r="AD286" s="3"/>
      <c r="AE286" s="5"/>
    </row>
    <row r="287" spans="1:31" ht="15.75" customHeight="1" x14ac:dyDescent="0.2">
      <c r="A287" s="3"/>
      <c r="B287" s="3"/>
      <c r="C287" s="3"/>
      <c r="D287" s="4"/>
      <c r="E287" s="3"/>
      <c r="F287" s="5"/>
      <c r="G287" s="22"/>
      <c r="H287" s="3"/>
      <c r="I287" s="5"/>
      <c r="J287" s="3"/>
      <c r="K287" s="3"/>
      <c r="L287" s="3"/>
      <c r="M287" s="23"/>
      <c r="N287" s="24"/>
      <c r="O287" s="3"/>
      <c r="P287" s="3"/>
      <c r="Q287" s="3"/>
      <c r="R287" s="3"/>
      <c r="S287" s="3"/>
      <c r="T287" s="3"/>
      <c r="U287" s="3"/>
      <c r="V287" s="3"/>
      <c r="W287" s="5"/>
      <c r="X287" s="3"/>
      <c r="Y287" s="3"/>
      <c r="Z287" s="5"/>
      <c r="AA287" s="3"/>
      <c r="AB287" s="3"/>
      <c r="AC287" s="5"/>
      <c r="AD287" s="3"/>
      <c r="AE287" s="5"/>
    </row>
    <row r="288" spans="1:31" ht="15.75" customHeight="1" x14ac:dyDescent="0.2">
      <c r="A288" s="3"/>
      <c r="B288" s="3"/>
      <c r="C288" s="3"/>
      <c r="D288" s="4"/>
      <c r="E288" s="3"/>
      <c r="F288" s="5"/>
      <c r="G288" s="22"/>
      <c r="H288" s="3"/>
      <c r="I288" s="5"/>
      <c r="J288" s="3"/>
      <c r="K288" s="3"/>
      <c r="L288" s="3"/>
      <c r="M288" s="23"/>
      <c r="N288" s="24"/>
      <c r="O288" s="3"/>
      <c r="P288" s="3"/>
      <c r="Q288" s="3"/>
      <c r="R288" s="3"/>
      <c r="S288" s="3"/>
      <c r="T288" s="3"/>
      <c r="U288" s="3"/>
      <c r="V288" s="3"/>
      <c r="W288" s="5"/>
      <c r="X288" s="3"/>
      <c r="Y288" s="3"/>
      <c r="Z288" s="5"/>
      <c r="AA288" s="3"/>
      <c r="AB288" s="3"/>
      <c r="AC288" s="5"/>
      <c r="AD288" s="3"/>
      <c r="AE288" s="5"/>
    </row>
    <row r="289" spans="1:31" ht="15.75" customHeight="1" x14ac:dyDescent="0.2">
      <c r="A289" s="3"/>
      <c r="B289" s="3"/>
      <c r="C289" s="3"/>
      <c r="D289" s="4"/>
      <c r="E289" s="3"/>
      <c r="F289" s="5"/>
      <c r="G289" s="22"/>
      <c r="H289" s="3"/>
      <c r="I289" s="5"/>
      <c r="J289" s="3"/>
      <c r="K289" s="3"/>
      <c r="L289" s="3"/>
      <c r="M289" s="23"/>
      <c r="N289" s="24"/>
      <c r="O289" s="3"/>
      <c r="P289" s="3"/>
      <c r="Q289" s="3"/>
      <c r="R289" s="3"/>
      <c r="S289" s="3"/>
      <c r="T289" s="3"/>
      <c r="U289" s="3"/>
      <c r="V289" s="3"/>
      <c r="W289" s="5"/>
      <c r="X289" s="3"/>
      <c r="Y289" s="3"/>
      <c r="Z289" s="5"/>
      <c r="AA289" s="3"/>
      <c r="AB289" s="3"/>
      <c r="AC289" s="5"/>
      <c r="AD289" s="3"/>
      <c r="AE289" s="5"/>
    </row>
    <row r="290" spans="1:31" ht="15.75" customHeight="1" x14ac:dyDescent="0.2">
      <c r="A290" s="3"/>
      <c r="B290" s="3"/>
      <c r="C290" s="3"/>
      <c r="D290" s="4"/>
      <c r="E290" s="3"/>
      <c r="F290" s="5"/>
      <c r="G290" s="22"/>
      <c r="H290" s="3"/>
      <c r="I290" s="5"/>
      <c r="J290" s="3"/>
      <c r="K290" s="3"/>
      <c r="L290" s="3"/>
      <c r="M290" s="23"/>
      <c r="N290" s="24"/>
      <c r="O290" s="3"/>
      <c r="P290" s="3"/>
      <c r="Q290" s="3"/>
      <c r="R290" s="3"/>
      <c r="S290" s="3"/>
      <c r="T290" s="3"/>
      <c r="U290" s="3"/>
      <c r="V290" s="3"/>
      <c r="W290" s="5"/>
      <c r="X290" s="3"/>
      <c r="Y290" s="3"/>
      <c r="Z290" s="5"/>
      <c r="AA290" s="3"/>
      <c r="AB290" s="3"/>
      <c r="AC290" s="5"/>
      <c r="AD290" s="3"/>
      <c r="AE290" s="5"/>
    </row>
    <row r="291" spans="1:31" ht="15.75" customHeight="1" x14ac:dyDescent="0.2">
      <c r="A291" s="3"/>
      <c r="B291" s="3"/>
      <c r="C291" s="3"/>
      <c r="D291" s="4"/>
      <c r="E291" s="3"/>
      <c r="F291" s="5"/>
      <c r="G291" s="22"/>
      <c r="H291" s="3"/>
      <c r="I291" s="5"/>
      <c r="J291" s="3"/>
      <c r="K291" s="3"/>
      <c r="L291" s="3"/>
      <c r="M291" s="23"/>
      <c r="N291" s="24"/>
      <c r="O291" s="3"/>
      <c r="P291" s="3"/>
      <c r="Q291" s="3"/>
      <c r="R291" s="3"/>
      <c r="S291" s="3"/>
      <c r="T291" s="3"/>
      <c r="U291" s="3"/>
      <c r="V291" s="3"/>
      <c r="W291" s="5"/>
      <c r="X291" s="3"/>
      <c r="Y291" s="3"/>
      <c r="Z291" s="5"/>
      <c r="AA291" s="3"/>
      <c r="AB291" s="3"/>
      <c r="AC291" s="5"/>
      <c r="AD291" s="3"/>
      <c r="AE291" s="5"/>
    </row>
    <row r="292" spans="1:31" ht="15.75" customHeight="1" x14ac:dyDescent="0.2">
      <c r="A292" s="3"/>
      <c r="B292" s="3"/>
      <c r="C292" s="3"/>
      <c r="D292" s="4"/>
      <c r="E292" s="3"/>
      <c r="F292" s="5"/>
      <c r="G292" s="22"/>
      <c r="H292" s="3"/>
      <c r="I292" s="5"/>
      <c r="J292" s="3"/>
      <c r="K292" s="3"/>
      <c r="L292" s="3"/>
      <c r="M292" s="23"/>
      <c r="N292" s="24"/>
      <c r="O292" s="3"/>
      <c r="P292" s="3"/>
      <c r="Q292" s="3"/>
      <c r="R292" s="3"/>
      <c r="S292" s="3"/>
      <c r="T292" s="3"/>
      <c r="U292" s="3"/>
      <c r="V292" s="3"/>
      <c r="W292" s="5"/>
      <c r="X292" s="3"/>
      <c r="Y292" s="3"/>
      <c r="Z292" s="5"/>
      <c r="AA292" s="3"/>
      <c r="AB292" s="3"/>
      <c r="AC292" s="5"/>
      <c r="AD292" s="3"/>
      <c r="AE292" s="5"/>
    </row>
    <row r="293" spans="1:31" ht="15.75" customHeight="1" x14ac:dyDescent="0.2">
      <c r="A293" s="3"/>
      <c r="B293" s="3"/>
      <c r="C293" s="3"/>
      <c r="D293" s="4"/>
      <c r="E293" s="3"/>
      <c r="F293" s="5"/>
      <c r="G293" s="22"/>
      <c r="H293" s="3"/>
      <c r="I293" s="5"/>
      <c r="J293" s="3"/>
      <c r="K293" s="3"/>
      <c r="L293" s="3"/>
      <c r="M293" s="23"/>
      <c r="N293" s="24"/>
      <c r="O293" s="3"/>
      <c r="P293" s="3"/>
      <c r="Q293" s="3"/>
      <c r="R293" s="3"/>
      <c r="S293" s="3"/>
      <c r="T293" s="3"/>
      <c r="U293" s="3"/>
      <c r="V293" s="3"/>
      <c r="W293" s="5"/>
      <c r="X293" s="3"/>
      <c r="Y293" s="3"/>
      <c r="Z293" s="5"/>
      <c r="AA293" s="3"/>
      <c r="AB293" s="3"/>
      <c r="AC293" s="5"/>
      <c r="AD293" s="3"/>
      <c r="AE293" s="5"/>
    </row>
    <row r="294" spans="1:31" ht="15.75" customHeight="1" x14ac:dyDescent="0.2">
      <c r="A294" s="3"/>
      <c r="B294" s="3"/>
      <c r="C294" s="3"/>
      <c r="D294" s="4"/>
      <c r="E294" s="3"/>
      <c r="F294" s="5"/>
      <c r="G294" s="22"/>
      <c r="H294" s="3"/>
      <c r="I294" s="5"/>
      <c r="J294" s="3"/>
      <c r="K294" s="3"/>
      <c r="L294" s="3"/>
      <c r="M294" s="23"/>
      <c r="N294" s="24"/>
      <c r="O294" s="3"/>
      <c r="P294" s="3"/>
      <c r="Q294" s="3"/>
      <c r="R294" s="3"/>
      <c r="S294" s="3"/>
      <c r="T294" s="3"/>
      <c r="U294" s="3"/>
      <c r="V294" s="3"/>
      <c r="W294" s="5"/>
      <c r="X294" s="3"/>
      <c r="Y294" s="3"/>
      <c r="Z294" s="5"/>
      <c r="AA294" s="3"/>
      <c r="AB294" s="3"/>
      <c r="AC294" s="5"/>
      <c r="AD294" s="3"/>
      <c r="AE294" s="5"/>
    </row>
    <row r="295" spans="1:31" ht="15.75" customHeight="1" x14ac:dyDescent="0.2">
      <c r="A295" s="3"/>
      <c r="B295" s="3"/>
      <c r="C295" s="3"/>
      <c r="D295" s="4"/>
      <c r="E295" s="3"/>
      <c r="F295" s="5"/>
      <c r="G295" s="22"/>
      <c r="H295" s="3"/>
      <c r="I295" s="5"/>
      <c r="J295" s="3"/>
      <c r="K295" s="3"/>
      <c r="L295" s="3"/>
      <c r="M295" s="23"/>
      <c r="N295" s="24"/>
      <c r="O295" s="3"/>
      <c r="P295" s="3"/>
      <c r="Q295" s="3"/>
      <c r="R295" s="3"/>
      <c r="S295" s="3"/>
      <c r="T295" s="3"/>
      <c r="U295" s="3"/>
      <c r="V295" s="3"/>
      <c r="W295" s="5"/>
      <c r="X295" s="3"/>
      <c r="Y295" s="3"/>
      <c r="Z295" s="5"/>
      <c r="AA295" s="3"/>
      <c r="AB295" s="3"/>
      <c r="AC295" s="5"/>
      <c r="AD295" s="3"/>
      <c r="AE295" s="5"/>
    </row>
    <row r="296" spans="1:31" ht="15.75" customHeight="1" x14ac:dyDescent="0.2">
      <c r="A296" s="3"/>
      <c r="B296" s="3"/>
      <c r="C296" s="3"/>
      <c r="D296" s="4"/>
      <c r="E296" s="3"/>
      <c r="F296" s="5"/>
      <c r="G296" s="22"/>
      <c r="H296" s="3"/>
      <c r="I296" s="5"/>
      <c r="J296" s="3"/>
      <c r="K296" s="3"/>
      <c r="L296" s="3"/>
      <c r="M296" s="23"/>
      <c r="N296" s="24"/>
      <c r="O296" s="3"/>
      <c r="P296" s="3"/>
      <c r="Q296" s="3"/>
      <c r="R296" s="3"/>
      <c r="S296" s="3"/>
      <c r="T296" s="3"/>
      <c r="U296" s="3"/>
      <c r="V296" s="3"/>
      <c r="W296" s="5"/>
      <c r="X296" s="3"/>
      <c r="Y296" s="3"/>
      <c r="Z296" s="5"/>
      <c r="AA296" s="3"/>
      <c r="AB296" s="3"/>
      <c r="AC296" s="5"/>
      <c r="AD296" s="3"/>
      <c r="AE296" s="5"/>
    </row>
    <row r="297" spans="1:31" ht="15.75" customHeight="1" x14ac:dyDescent="0.2">
      <c r="A297" s="3"/>
      <c r="B297" s="3"/>
      <c r="C297" s="3"/>
      <c r="D297" s="4"/>
      <c r="E297" s="3"/>
      <c r="F297" s="5"/>
      <c r="G297" s="22"/>
      <c r="H297" s="3"/>
      <c r="I297" s="5"/>
      <c r="J297" s="3"/>
      <c r="K297" s="3"/>
      <c r="L297" s="3"/>
      <c r="M297" s="23"/>
      <c r="N297" s="24"/>
      <c r="O297" s="3"/>
      <c r="P297" s="3"/>
      <c r="Q297" s="3"/>
      <c r="R297" s="3"/>
      <c r="S297" s="3"/>
      <c r="T297" s="3"/>
      <c r="U297" s="3"/>
      <c r="V297" s="3"/>
      <c r="W297" s="5"/>
      <c r="X297" s="3"/>
      <c r="Y297" s="3"/>
      <c r="Z297" s="5"/>
      <c r="AA297" s="3"/>
      <c r="AB297" s="3"/>
      <c r="AC297" s="5"/>
      <c r="AD297" s="3"/>
      <c r="AE297" s="5"/>
    </row>
    <row r="298" spans="1:31" ht="15.75" customHeight="1" x14ac:dyDescent="0.2">
      <c r="A298" s="3"/>
      <c r="B298" s="3"/>
      <c r="C298" s="3"/>
      <c r="D298" s="4"/>
      <c r="E298" s="3"/>
      <c r="F298" s="5"/>
      <c r="G298" s="22"/>
      <c r="H298" s="3"/>
      <c r="I298" s="5"/>
      <c r="J298" s="3"/>
      <c r="K298" s="3"/>
      <c r="L298" s="3"/>
      <c r="M298" s="23"/>
      <c r="N298" s="24"/>
      <c r="O298" s="3"/>
      <c r="P298" s="3"/>
      <c r="Q298" s="3"/>
      <c r="R298" s="3"/>
      <c r="S298" s="3"/>
      <c r="T298" s="3"/>
      <c r="U298" s="3"/>
      <c r="V298" s="3"/>
      <c r="W298" s="5"/>
      <c r="X298" s="3"/>
      <c r="Y298" s="3"/>
      <c r="Z298" s="5"/>
      <c r="AA298" s="3"/>
      <c r="AB298" s="3"/>
      <c r="AC298" s="5"/>
      <c r="AD298" s="3"/>
      <c r="AE298" s="5"/>
    </row>
    <row r="299" spans="1:31" ht="15.75" customHeight="1" x14ac:dyDescent="0.2">
      <c r="A299" s="3"/>
      <c r="B299" s="3"/>
      <c r="C299" s="3"/>
      <c r="D299" s="4"/>
      <c r="E299" s="3"/>
      <c r="F299" s="5"/>
      <c r="G299" s="22"/>
      <c r="H299" s="3"/>
      <c r="I299" s="5"/>
      <c r="J299" s="3"/>
      <c r="K299" s="3"/>
      <c r="L299" s="3"/>
      <c r="M299" s="23"/>
      <c r="N299" s="24"/>
      <c r="O299" s="3"/>
      <c r="P299" s="3"/>
      <c r="Q299" s="3"/>
      <c r="R299" s="3"/>
      <c r="S299" s="3"/>
      <c r="T299" s="3"/>
      <c r="U299" s="3"/>
      <c r="V299" s="3"/>
      <c r="W299" s="5"/>
      <c r="X299" s="3"/>
      <c r="Y299" s="3"/>
      <c r="Z299" s="5"/>
      <c r="AA299" s="3"/>
      <c r="AB299" s="3"/>
      <c r="AC299" s="5"/>
      <c r="AD299" s="3"/>
      <c r="AE299" s="5"/>
    </row>
    <row r="300" spans="1:31" ht="15.75" customHeight="1" x14ac:dyDescent="0.2">
      <c r="A300" s="3"/>
      <c r="B300" s="3"/>
      <c r="C300" s="3"/>
      <c r="D300" s="4"/>
      <c r="E300" s="3"/>
      <c r="F300" s="5"/>
      <c r="G300" s="22"/>
      <c r="H300" s="3"/>
      <c r="I300" s="5"/>
      <c r="J300" s="3"/>
      <c r="K300" s="3"/>
      <c r="L300" s="3"/>
      <c r="M300" s="23"/>
      <c r="N300" s="24"/>
      <c r="O300" s="3"/>
      <c r="P300" s="3"/>
      <c r="Q300" s="3"/>
      <c r="R300" s="3"/>
      <c r="S300" s="3"/>
      <c r="T300" s="3"/>
      <c r="U300" s="3"/>
      <c r="V300" s="3"/>
      <c r="W300" s="5"/>
      <c r="X300" s="3"/>
      <c r="Y300" s="3"/>
      <c r="Z300" s="5"/>
      <c r="AA300" s="3"/>
      <c r="AB300" s="3"/>
      <c r="AC300" s="5"/>
      <c r="AD300" s="3"/>
      <c r="AE300" s="5"/>
    </row>
    <row r="301" spans="1:31" ht="15.75" customHeight="1" x14ac:dyDescent="0.2">
      <c r="A301" s="3"/>
      <c r="B301" s="3"/>
      <c r="C301" s="3"/>
      <c r="D301" s="4"/>
      <c r="E301" s="3"/>
      <c r="F301" s="5"/>
      <c r="G301" s="22"/>
      <c r="H301" s="3"/>
      <c r="I301" s="5"/>
      <c r="J301" s="3"/>
      <c r="K301" s="3"/>
      <c r="L301" s="3"/>
      <c r="M301" s="23"/>
      <c r="N301" s="24"/>
      <c r="O301" s="3"/>
      <c r="P301" s="3"/>
      <c r="Q301" s="3"/>
      <c r="R301" s="3"/>
      <c r="S301" s="3"/>
      <c r="T301" s="3"/>
      <c r="U301" s="3"/>
      <c r="V301" s="3"/>
      <c r="W301" s="5"/>
      <c r="X301" s="3"/>
      <c r="Y301" s="3"/>
      <c r="Z301" s="5"/>
      <c r="AA301" s="3"/>
      <c r="AB301" s="3"/>
      <c r="AC301" s="5"/>
      <c r="AD301" s="3"/>
      <c r="AE301" s="5"/>
    </row>
    <row r="302" spans="1:31" ht="15.75" customHeight="1" x14ac:dyDescent="0.2">
      <c r="A302" s="3"/>
      <c r="B302" s="3"/>
      <c r="C302" s="3"/>
      <c r="D302" s="4"/>
      <c r="E302" s="3"/>
      <c r="F302" s="5"/>
      <c r="G302" s="22"/>
      <c r="H302" s="3"/>
      <c r="I302" s="5"/>
      <c r="J302" s="3"/>
      <c r="K302" s="3"/>
      <c r="L302" s="3"/>
      <c r="M302" s="23"/>
      <c r="N302" s="24"/>
      <c r="O302" s="3"/>
      <c r="P302" s="3"/>
      <c r="Q302" s="3"/>
      <c r="R302" s="3"/>
      <c r="S302" s="3"/>
      <c r="T302" s="3"/>
      <c r="U302" s="3"/>
      <c r="V302" s="3"/>
      <c r="W302" s="5"/>
      <c r="X302" s="3"/>
      <c r="Y302" s="3"/>
      <c r="Z302" s="5"/>
      <c r="AA302" s="3"/>
      <c r="AB302" s="3"/>
      <c r="AC302" s="5"/>
      <c r="AD302" s="3"/>
      <c r="AE302" s="5"/>
    </row>
    <row r="303" spans="1:31" ht="15.75" customHeight="1" x14ac:dyDescent="0.2">
      <c r="A303" s="3"/>
      <c r="B303" s="3"/>
      <c r="C303" s="3"/>
      <c r="D303" s="4"/>
      <c r="E303" s="3"/>
      <c r="F303" s="5"/>
      <c r="G303" s="22"/>
      <c r="H303" s="3"/>
      <c r="I303" s="5"/>
      <c r="J303" s="3"/>
      <c r="K303" s="3"/>
      <c r="L303" s="3"/>
      <c r="M303" s="23"/>
      <c r="N303" s="24"/>
      <c r="O303" s="3"/>
      <c r="P303" s="3"/>
      <c r="Q303" s="3"/>
      <c r="R303" s="3"/>
      <c r="S303" s="3"/>
      <c r="T303" s="3"/>
      <c r="U303" s="3"/>
      <c r="V303" s="3"/>
      <c r="W303" s="5"/>
      <c r="X303" s="3"/>
      <c r="Y303" s="3"/>
      <c r="Z303" s="5"/>
      <c r="AA303" s="3"/>
      <c r="AB303" s="3"/>
      <c r="AC303" s="5"/>
      <c r="AD303" s="3"/>
      <c r="AE303" s="5"/>
    </row>
    <row r="304" spans="1:31" ht="15.75" customHeight="1" x14ac:dyDescent="0.2">
      <c r="A304" s="3"/>
      <c r="B304" s="3"/>
      <c r="C304" s="3"/>
      <c r="D304" s="4"/>
      <c r="E304" s="3"/>
      <c r="F304" s="5"/>
      <c r="G304" s="22"/>
      <c r="H304" s="3"/>
      <c r="I304" s="5"/>
      <c r="J304" s="3"/>
      <c r="K304" s="3"/>
      <c r="L304" s="3"/>
      <c r="M304" s="23"/>
      <c r="N304" s="24"/>
      <c r="O304" s="3"/>
      <c r="P304" s="3"/>
      <c r="Q304" s="3"/>
      <c r="R304" s="3"/>
      <c r="S304" s="3"/>
      <c r="T304" s="3"/>
      <c r="U304" s="3"/>
      <c r="V304" s="3"/>
      <c r="W304" s="5"/>
      <c r="X304" s="3"/>
      <c r="Y304" s="3"/>
      <c r="Z304" s="5"/>
      <c r="AA304" s="3"/>
      <c r="AB304" s="3"/>
      <c r="AC304" s="5"/>
      <c r="AD304" s="3"/>
      <c r="AE304" s="5"/>
    </row>
    <row r="305" spans="1:31" ht="15.75" customHeight="1" x14ac:dyDescent="0.2">
      <c r="A305" s="3"/>
      <c r="B305" s="3"/>
      <c r="C305" s="3"/>
      <c r="D305" s="4"/>
      <c r="E305" s="3"/>
      <c r="F305" s="5"/>
      <c r="G305" s="22"/>
      <c r="H305" s="3"/>
      <c r="I305" s="5"/>
      <c r="J305" s="3"/>
      <c r="K305" s="3"/>
      <c r="L305" s="3"/>
      <c r="M305" s="23"/>
      <c r="N305" s="24"/>
      <c r="O305" s="3"/>
      <c r="P305" s="3"/>
      <c r="Q305" s="3"/>
      <c r="R305" s="3"/>
      <c r="S305" s="3"/>
      <c r="T305" s="3"/>
      <c r="U305" s="3"/>
      <c r="V305" s="3"/>
      <c r="W305" s="5"/>
      <c r="X305" s="3"/>
      <c r="Y305" s="3"/>
      <c r="Z305" s="5"/>
      <c r="AA305" s="3"/>
      <c r="AB305" s="3"/>
      <c r="AC305" s="5"/>
      <c r="AD305" s="3"/>
      <c r="AE305" s="5"/>
    </row>
    <row r="306" spans="1:31" ht="15.75" customHeight="1" x14ac:dyDescent="0.2">
      <c r="A306" s="3"/>
      <c r="B306" s="3"/>
      <c r="C306" s="3"/>
      <c r="D306" s="4"/>
      <c r="E306" s="3"/>
      <c r="F306" s="5"/>
      <c r="G306" s="22"/>
      <c r="H306" s="3"/>
      <c r="I306" s="5"/>
      <c r="J306" s="3"/>
      <c r="K306" s="3"/>
      <c r="L306" s="3"/>
      <c r="M306" s="23"/>
      <c r="N306" s="24"/>
      <c r="O306" s="3"/>
      <c r="P306" s="3"/>
      <c r="Q306" s="3"/>
      <c r="R306" s="3"/>
      <c r="S306" s="3"/>
      <c r="T306" s="3"/>
      <c r="U306" s="3"/>
      <c r="V306" s="3"/>
      <c r="W306" s="5"/>
      <c r="X306" s="3"/>
      <c r="Y306" s="3"/>
      <c r="Z306" s="5"/>
      <c r="AA306" s="3"/>
      <c r="AB306" s="3"/>
      <c r="AC306" s="5"/>
      <c r="AD306" s="3"/>
      <c r="AE306" s="5"/>
    </row>
    <row r="307" spans="1:31" ht="15.75" customHeight="1" x14ac:dyDescent="0.2">
      <c r="A307" s="3"/>
      <c r="B307" s="3"/>
      <c r="C307" s="3"/>
      <c r="D307" s="4"/>
      <c r="E307" s="3"/>
      <c r="F307" s="5"/>
      <c r="G307" s="22"/>
      <c r="H307" s="3"/>
      <c r="I307" s="5"/>
      <c r="J307" s="3"/>
      <c r="K307" s="3"/>
      <c r="L307" s="3"/>
      <c r="M307" s="23"/>
      <c r="N307" s="24"/>
      <c r="O307" s="3"/>
      <c r="P307" s="3"/>
      <c r="Q307" s="3"/>
      <c r="R307" s="3"/>
      <c r="S307" s="3"/>
      <c r="T307" s="3"/>
      <c r="U307" s="3"/>
      <c r="V307" s="3"/>
      <c r="W307" s="5"/>
      <c r="X307" s="3"/>
      <c r="Y307" s="3"/>
      <c r="Z307" s="5"/>
      <c r="AA307" s="3"/>
      <c r="AB307" s="3"/>
      <c r="AC307" s="5"/>
      <c r="AD307" s="3"/>
      <c r="AE307" s="5"/>
    </row>
    <row r="308" spans="1:31" ht="15.75" customHeight="1" x14ac:dyDescent="0.2">
      <c r="A308" s="3"/>
      <c r="B308" s="3"/>
      <c r="C308" s="3"/>
      <c r="D308" s="4"/>
      <c r="E308" s="3"/>
      <c r="F308" s="5"/>
      <c r="G308" s="22"/>
      <c r="H308" s="3"/>
      <c r="I308" s="5"/>
      <c r="J308" s="3"/>
      <c r="K308" s="3"/>
      <c r="L308" s="3"/>
      <c r="M308" s="23"/>
      <c r="N308" s="24"/>
      <c r="O308" s="3"/>
      <c r="P308" s="3"/>
      <c r="Q308" s="3"/>
      <c r="R308" s="3"/>
      <c r="S308" s="3"/>
      <c r="T308" s="3"/>
      <c r="U308" s="3"/>
      <c r="V308" s="3"/>
      <c r="W308" s="5"/>
      <c r="X308" s="3"/>
      <c r="Y308" s="3"/>
      <c r="Z308" s="5"/>
      <c r="AA308" s="3"/>
      <c r="AB308" s="3"/>
      <c r="AC308" s="5"/>
      <c r="AD308" s="3"/>
      <c r="AE308" s="5"/>
    </row>
    <row r="309" spans="1:31" ht="15.75" customHeight="1" x14ac:dyDescent="0.2">
      <c r="A309" s="3"/>
      <c r="B309" s="3"/>
      <c r="C309" s="3"/>
      <c r="D309" s="4"/>
      <c r="E309" s="3"/>
      <c r="F309" s="5"/>
      <c r="G309" s="22"/>
      <c r="H309" s="3"/>
      <c r="I309" s="5"/>
      <c r="J309" s="3"/>
      <c r="K309" s="3"/>
      <c r="L309" s="3"/>
      <c r="M309" s="23"/>
      <c r="N309" s="24"/>
      <c r="O309" s="3"/>
      <c r="P309" s="3"/>
      <c r="Q309" s="3"/>
      <c r="R309" s="3"/>
      <c r="S309" s="3"/>
      <c r="T309" s="3"/>
      <c r="U309" s="3"/>
      <c r="V309" s="3"/>
      <c r="W309" s="5"/>
      <c r="X309" s="3"/>
      <c r="Y309" s="3"/>
      <c r="Z309" s="5"/>
      <c r="AA309" s="3"/>
      <c r="AB309" s="3"/>
      <c r="AC309" s="5"/>
      <c r="AD309" s="3"/>
      <c r="AE309" s="5"/>
    </row>
    <row r="310" spans="1:31" ht="15.75" customHeight="1" x14ac:dyDescent="0.2">
      <c r="A310" s="3"/>
      <c r="B310" s="3"/>
      <c r="C310" s="3"/>
      <c r="D310" s="4"/>
      <c r="E310" s="3"/>
      <c r="F310" s="5"/>
      <c r="G310" s="22"/>
      <c r="H310" s="3"/>
      <c r="I310" s="5"/>
      <c r="J310" s="3"/>
      <c r="K310" s="3"/>
      <c r="L310" s="3"/>
      <c r="M310" s="23"/>
      <c r="N310" s="24"/>
      <c r="O310" s="3"/>
      <c r="P310" s="3"/>
      <c r="Q310" s="3"/>
      <c r="R310" s="3"/>
      <c r="S310" s="3"/>
      <c r="T310" s="3"/>
      <c r="U310" s="3"/>
      <c r="V310" s="3"/>
      <c r="W310" s="5"/>
      <c r="X310" s="3"/>
      <c r="Y310" s="3"/>
      <c r="Z310" s="5"/>
      <c r="AA310" s="3"/>
      <c r="AB310" s="3"/>
      <c r="AC310" s="5"/>
      <c r="AD310" s="3"/>
      <c r="AE310" s="5"/>
    </row>
    <row r="311" spans="1:31" ht="15.75" customHeight="1" x14ac:dyDescent="0.2">
      <c r="A311" s="3"/>
      <c r="B311" s="3"/>
      <c r="C311" s="3"/>
      <c r="D311" s="4"/>
      <c r="E311" s="3"/>
      <c r="F311" s="5"/>
      <c r="G311" s="22"/>
      <c r="H311" s="3"/>
      <c r="I311" s="5"/>
      <c r="J311" s="3"/>
      <c r="K311" s="3"/>
      <c r="L311" s="3"/>
      <c r="M311" s="23"/>
      <c r="N311" s="24"/>
      <c r="O311" s="3"/>
      <c r="P311" s="3"/>
      <c r="Q311" s="3"/>
      <c r="R311" s="3"/>
      <c r="S311" s="3"/>
      <c r="T311" s="3"/>
      <c r="U311" s="3"/>
      <c r="V311" s="3"/>
      <c r="W311" s="5"/>
      <c r="X311" s="3"/>
      <c r="Y311" s="3"/>
      <c r="Z311" s="5"/>
      <c r="AA311" s="3"/>
      <c r="AB311" s="3"/>
      <c r="AC311" s="5"/>
      <c r="AD311" s="3"/>
      <c r="AE311" s="5"/>
    </row>
    <row r="312" spans="1:31" ht="15.75" customHeight="1" x14ac:dyDescent="0.2">
      <c r="A312" s="3"/>
      <c r="B312" s="3"/>
      <c r="C312" s="3"/>
      <c r="D312" s="4"/>
      <c r="E312" s="3"/>
      <c r="F312" s="5"/>
      <c r="G312" s="22"/>
      <c r="H312" s="3"/>
      <c r="I312" s="5"/>
      <c r="J312" s="3"/>
      <c r="K312" s="3"/>
      <c r="L312" s="3"/>
      <c r="M312" s="23"/>
      <c r="N312" s="24"/>
      <c r="O312" s="3"/>
      <c r="P312" s="3"/>
      <c r="Q312" s="3"/>
      <c r="R312" s="3"/>
      <c r="S312" s="3"/>
      <c r="T312" s="3"/>
      <c r="U312" s="3"/>
      <c r="V312" s="3"/>
      <c r="W312" s="5"/>
      <c r="X312" s="3"/>
      <c r="Y312" s="3"/>
      <c r="Z312" s="5"/>
      <c r="AA312" s="3"/>
      <c r="AB312" s="3"/>
      <c r="AC312" s="5"/>
      <c r="AD312" s="3"/>
      <c r="AE312" s="5"/>
    </row>
    <row r="313" spans="1:31" ht="15.75" customHeight="1" x14ac:dyDescent="0.2">
      <c r="A313" s="3"/>
      <c r="B313" s="3"/>
      <c r="C313" s="3"/>
      <c r="D313" s="4"/>
      <c r="E313" s="3"/>
      <c r="F313" s="5"/>
      <c r="G313" s="22"/>
      <c r="H313" s="3"/>
      <c r="I313" s="5"/>
      <c r="J313" s="3"/>
      <c r="K313" s="3"/>
      <c r="L313" s="3"/>
      <c r="M313" s="23"/>
      <c r="N313" s="24"/>
      <c r="O313" s="3"/>
      <c r="P313" s="3"/>
      <c r="Q313" s="3"/>
      <c r="R313" s="3"/>
      <c r="S313" s="3"/>
      <c r="T313" s="3"/>
      <c r="U313" s="3"/>
      <c r="V313" s="3"/>
      <c r="W313" s="5"/>
      <c r="X313" s="3"/>
      <c r="Y313" s="3"/>
      <c r="Z313" s="5"/>
      <c r="AA313" s="3"/>
      <c r="AB313" s="3"/>
      <c r="AC313" s="5"/>
      <c r="AD313" s="3"/>
      <c r="AE313" s="5"/>
    </row>
    <row r="314" spans="1:31" ht="15.75" customHeight="1" x14ac:dyDescent="0.2">
      <c r="A314" s="3"/>
      <c r="B314" s="3"/>
      <c r="C314" s="3"/>
      <c r="D314" s="4"/>
      <c r="E314" s="3"/>
      <c r="F314" s="5"/>
      <c r="G314" s="22"/>
      <c r="H314" s="3"/>
      <c r="I314" s="5"/>
      <c r="J314" s="3"/>
      <c r="K314" s="3"/>
      <c r="L314" s="3"/>
      <c r="M314" s="23"/>
      <c r="N314" s="24"/>
      <c r="O314" s="3"/>
      <c r="P314" s="3"/>
      <c r="Q314" s="3"/>
      <c r="R314" s="3"/>
      <c r="S314" s="3"/>
      <c r="T314" s="3"/>
      <c r="U314" s="3"/>
      <c r="V314" s="3"/>
      <c r="W314" s="5"/>
      <c r="X314" s="3"/>
      <c r="Y314" s="3"/>
      <c r="Z314" s="5"/>
      <c r="AA314" s="3"/>
      <c r="AB314" s="3"/>
      <c r="AC314" s="5"/>
      <c r="AD314" s="3"/>
      <c r="AE314" s="5"/>
    </row>
    <row r="315" spans="1:31" ht="15.75" customHeight="1" x14ac:dyDescent="0.2">
      <c r="A315" s="3"/>
      <c r="B315" s="3"/>
      <c r="C315" s="3"/>
      <c r="D315" s="4"/>
      <c r="E315" s="3"/>
      <c r="F315" s="5"/>
      <c r="G315" s="22"/>
      <c r="H315" s="3"/>
      <c r="I315" s="5"/>
      <c r="J315" s="3"/>
      <c r="K315" s="3"/>
      <c r="L315" s="3"/>
      <c r="M315" s="23"/>
      <c r="N315" s="24"/>
      <c r="O315" s="3"/>
      <c r="P315" s="3"/>
      <c r="Q315" s="3"/>
      <c r="R315" s="3"/>
      <c r="S315" s="3"/>
      <c r="T315" s="3"/>
      <c r="U315" s="3"/>
      <c r="V315" s="3"/>
      <c r="W315" s="5"/>
      <c r="X315" s="3"/>
      <c r="Y315" s="3"/>
      <c r="Z315" s="5"/>
      <c r="AA315" s="3"/>
      <c r="AB315" s="3"/>
      <c r="AC315" s="5"/>
      <c r="AD315" s="3"/>
      <c r="AE315" s="5"/>
    </row>
    <row r="316" spans="1:31" ht="15.75" customHeight="1" x14ac:dyDescent="0.2">
      <c r="A316" s="3"/>
      <c r="B316" s="3"/>
      <c r="C316" s="3"/>
      <c r="D316" s="4"/>
      <c r="E316" s="3"/>
      <c r="F316" s="5"/>
      <c r="G316" s="22"/>
      <c r="H316" s="3"/>
      <c r="I316" s="5"/>
      <c r="J316" s="3"/>
      <c r="K316" s="3"/>
      <c r="L316" s="3"/>
      <c r="M316" s="23"/>
      <c r="N316" s="24"/>
      <c r="O316" s="3"/>
      <c r="P316" s="3"/>
      <c r="Q316" s="3"/>
      <c r="R316" s="3"/>
      <c r="S316" s="3"/>
      <c r="T316" s="3"/>
      <c r="U316" s="3"/>
      <c r="V316" s="3"/>
      <c r="W316" s="5"/>
      <c r="X316" s="3"/>
      <c r="Y316" s="3"/>
      <c r="Z316" s="5"/>
      <c r="AA316" s="3"/>
      <c r="AB316" s="3"/>
      <c r="AC316" s="5"/>
      <c r="AD316" s="3"/>
      <c r="AE316" s="5"/>
    </row>
    <row r="317" spans="1:31" ht="15.75" customHeight="1" x14ac:dyDescent="0.2">
      <c r="A317" s="3"/>
      <c r="B317" s="3"/>
      <c r="C317" s="3"/>
      <c r="D317" s="4"/>
      <c r="E317" s="3"/>
      <c r="F317" s="5"/>
      <c r="G317" s="22"/>
      <c r="H317" s="3"/>
      <c r="I317" s="5"/>
      <c r="J317" s="3"/>
      <c r="K317" s="3"/>
      <c r="L317" s="3"/>
      <c r="M317" s="23"/>
      <c r="N317" s="24"/>
      <c r="O317" s="3"/>
      <c r="P317" s="3"/>
      <c r="Q317" s="3"/>
      <c r="R317" s="3"/>
      <c r="S317" s="3"/>
      <c r="T317" s="3"/>
      <c r="U317" s="3"/>
      <c r="V317" s="3"/>
      <c r="W317" s="5"/>
      <c r="X317" s="3"/>
      <c r="Y317" s="3"/>
      <c r="Z317" s="5"/>
      <c r="AA317" s="3"/>
      <c r="AB317" s="3"/>
      <c r="AC317" s="5"/>
      <c r="AD317" s="3"/>
      <c r="AE317" s="5"/>
    </row>
    <row r="318" spans="1:31" ht="15.75" customHeight="1" x14ac:dyDescent="0.2">
      <c r="A318" s="3"/>
      <c r="B318" s="3"/>
      <c r="C318" s="3"/>
      <c r="D318" s="4"/>
      <c r="E318" s="3"/>
      <c r="F318" s="5"/>
      <c r="G318" s="22"/>
      <c r="H318" s="3"/>
      <c r="I318" s="5"/>
      <c r="J318" s="3"/>
      <c r="K318" s="3"/>
      <c r="L318" s="3"/>
      <c r="M318" s="23"/>
      <c r="N318" s="24"/>
      <c r="O318" s="3"/>
      <c r="P318" s="3"/>
      <c r="Q318" s="3"/>
      <c r="R318" s="3"/>
      <c r="S318" s="3"/>
      <c r="T318" s="3"/>
      <c r="U318" s="3"/>
      <c r="V318" s="3"/>
      <c r="W318" s="5"/>
      <c r="X318" s="3"/>
      <c r="Y318" s="3"/>
      <c r="Z318" s="5"/>
      <c r="AA318" s="3"/>
      <c r="AB318" s="3"/>
      <c r="AC318" s="5"/>
      <c r="AD318" s="3"/>
      <c r="AE318" s="5"/>
    </row>
    <row r="319" spans="1:31" ht="15.75" customHeight="1" x14ac:dyDescent="0.2">
      <c r="A319" s="3"/>
      <c r="B319" s="3"/>
      <c r="C319" s="3"/>
      <c r="D319" s="4"/>
      <c r="E319" s="3"/>
      <c r="F319" s="5"/>
      <c r="G319" s="22"/>
      <c r="H319" s="3"/>
      <c r="I319" s="5"/>
      <c r="J319" s="3"/>
      <c r="K319" s="3"/>
      <c r="L319" s="3"/>
      <c r="M319" s="23"/>
      <c r="N319" s="24"/>
      <c r="O319" s="3"/>
      <c r="P319" s="3"/>
      <c r="Q319" s="3"/>
      <c r="R319" s="3"/>
      <c r="S319" s="3"/>
      <c r="T319" s="3"/>
      <c r="U319" s="3"/>
      <c r="V319" s="3"/>
      <c r="W319" s="5"/>
      <c r="X319" s="3"/>
      <c r="Y319" s="3"/>
      <c r="Z319" s="5"/>
      <c r="AA319" s="3"/>
      <c r="AB319" s="3"/>
      <c r="AC319" s="5"/>
      <c r="AD319" s="3"/>
      <c r="AE319" s="5"/>
    </row>
    <row r="320" spans="1:31" ht="15.75" customHeight="1" x14ac:dyDescent="0.2">
      <c r="A320" s="3"/>
      <c r="B320" s="3"/>
      <c r="C320" s="3"/>
      <c r="D320" s="4"/>
      <c r="E320" s="3"/>
      <c r="F320" s="5"/>
      <c r="G320" s="22"/>
      <c r="H320" s="3"/>
      <c r="I320" s="5"/>
      <c r="J320" s="3"/>
      <c r="K320" s="3"/>
      <c r="L320" s="3"/>
      <c r="M320" s="23"/>
      <c r="N320" s="24"/>
      <c r="O320" s="3"/>
      <c r="P320" s="3"/>
      <c r="Q320" s="3"/>
      <c r="R320" s="3"/>
      <c r="S320" s="3"/>
      <c r="T320" s="3"/>
      <c r="U320" s="3"/>
      <c r="V320" s="3"/>
      <c r="W320" s="5"/>
      <c r="X320" s="3"/>
      <c r="Y320" s="3"/>
      <c r="Z320" s="5"/>
      <c r="AA320" s="3"/>
      <c r="AB320" s="3"/>
      <c r="AC320" s="5"/>
      <c r="AD320" s="3"/>
      <c r="AE320" s="5"/>
    </row>
    <row r="321" spans="1:31" ht="15.75" customHeight="1" x14ac:dyDescent="0.2">
      <c r="A321" s="3"/>
      <c r="B321" s="3"/>
      <c r="C321" s="3"/>
      <c r="D321" s="4"/>
      <c r="E321" s="3"/>
      <c r="F321" s="5"/>
      <c r="G321" s="22"/>
      <c r="H321" s="3"/>
      <c r="I321" s="5"/>
      <c r="J321" s="3"/>
      <c r="K321" s="3"/>
      <c r="L321" s="3"/>
      <c r="M321" s="23"/>
      <c r="N321" s="24"/>
      <c r="O321" s="3"/>
      <c r="P321" s="3"/>
      <c r="Q321" s="3"/>
      <c r="R321" s="3"/>
      <c r="S321" s="3"/>
      <c r="T321" s="3"/>
      <c r="U321" s="3"/>
      <c r="V321" s="3"/>
      <c r="W321" s="5"/>
      <c r="X321" s="3"/>
      <c r="Y321" s="3"/>
      <c r="Z321" s="5"/>
      <c r="AA321" s="3"/>
      <c r="AB321" s="3"/>
      <c r="AC321" s="5"/>
      <c r="AD321" s="3"/>
      <c r="AE321" s="5"/>
    </row>
    <row r="322" spans="1:31" ht="15.75" customHeight="1" x14ac:dyDescent="0.2">
      <c r="A322" s="3"/>
      <c r="B322" s="3"/>
      <c r="C322" s="3"/>
      <c r="D322" s="4"/>
      <c r="E322" s="3"/>
      <c r="F322" s="5"/>
      <c r="G322" s="22"/>
      <c r="H322" s="3"/>
      <c r="I322" s="5"/>
      <c r="J322" s="3"/>
      <c r="K322" s="3"/>
      <c r="L322" s="3"/>
      <c r="M322" s="23"/>
      <c r="N322" s="24"/>
      <c r="O322" s="3"/>
      <c r="P322" s="3"/>
      <c r="Q322" s="3"/>
      <c r="R322" s="3"/>
      <c r="S322" s="3"/>
      <c r="T322" s="3"/>
      <c r="U322" s="3"/>
      <c r="V322" s="3"/>
      <c r="W322" s="5"/>
      <c r="X322" s="3"/>
      <c r="Y322" s="3"/>
      <c r="Z322" s="5"/>
      <c r="AA322" s="3"/>
      <c r="AB322" s="3"/>
      <c r="AC322" s="5"/>
      <c r="AD322" s="3"/>
      <c r="AE322" s="5"/>
    </row>
    <row r="323" spans="1:31" ht="15.75" customHeight="1" x14ac:dyDescent="0.2">
      <c r="A323" s="3"/>
      <c r="B323" s="3"/>
      <c r="C323" s="3"/>
      <c r="D323" s="4"/>
      <c r="E323" s="3"/>
      <c r="F323" s="5"/>
      <c r="G323" s="22"/>
      <c r="H323" s="3"/>
      <c r="I323" s="5"/>
      <c r="J323" s="3"/>
      <c r="K323" s="3"/>
      <c r="L323" s="3"/>
      <c r="M323" s="23"/>
      <c r="N323" s="24"/>
      <c r="O323" s="3"/>
      <c r="P323" s="3"/>
      <c r="Q323" s="3"/>
      <c r="R323" s="3"/>
      <c r="S323" s="3"/>
      <c r="T323" s="3"/>
      <c r="U323" s="3"/>
      <c r="V323" s="3"/>
      <c r="W323" s="5"/>
      <c r="X323" s="3"/>
      <c r="Y323" s="3"/>
      <c r="Z323" s="5"/>
      <c r="AA323" s="3"/>
      <c r="AB323" s="3"/>
      <c r="AC323" s="5"/>
      <c r="AD323" s="3"/>
      <c r="AE323" s="5"/>
    </row>
    <row r="324" spans="1:31" ht="15.75" customHeight="1" x14ac:dyDescent="0.2">
      <c r="A324" s="3"/>
      <c r="B324" s="3"/>
      <c r="C324" s="3"/>
      <c r="D324" s="4"/>
      <c r="E324" s="3"/>
      <c r="F324" s="5"/>
      <c r="G324" s="22"/>
      <c r="H324" s="3"/>
      <c r="I324" s="5"/>
      <c r="J324" s="3"/>
      <c r="K324" s="3"/>
      <c r="L324" s="3"/>
      <c r="M324" s="23"/>
      <c r="N324" s="24"/>
      <c r="O324" s="3"/>
      <c r="P324" s="3"/>
      <c r="Q324" s="3"/>
      <c r="R324" s="3"/>
      <c r="S324" s="3"/>
      <c r="T324" s="3"/>
      <c r="U324" s="3"/>
      <c r="V324" s="3"/>
      <c r="W324" s="5"/>
      <c r="X324" s="3"/>
      <c r="Y324" s="3"/>
      <c r="Z324" s="5"/>
      <c r="AA324" s="3"/>
      <c r="AB324" s="3"/>
      <c r="AC324" s="5"/>
      <c r="AD324" s="3"/>
      <c r="AE324" s="5"/>
    </row>
    <row r="325" spans="1:31" ht="15.75" customHeight="1" x14ac:dyDescent="0.2">
      <c r="A325" s="3"/>
      <c r="B325" s="3"/>
      <c r="C325" s="3"/>
      <c r="D325" s="4"/>
      <c r="E325" s="3"/>
      <c r="F325" s="5"/>
      <c r="G325" s="22"/>
      <c r="H325" s="3"/>
      <c r="I325" s="5"/>
      <c r="J325" s="3"/>
      <c r="K325" s="3"/>
      <c r="L325" s="3"/>
      <c r="M325" s="23"/>
      <c r="N325" s="24"/>
      <c r="O325" s="3"/>
      <c r="P325" s="3"/>
      <c r="Q325" s="3"/>
      <c r="R325" s="3"/>
      <c r="S325" s="3"/>
      <c r="T325" s="3"/>
      <c r="U325" s="3"/>
      <c r="V325" s="3"/>
      <c r="W325" s="5"/>
      <c r="X325" s="3"/>
      <c r="Y325" s="3"/>
      <c r="Z325" s="5"/>
      <c r="AA325" s="3"/>
      <c r="AB325" s="3"/>
      <c r="AC325" s="5"/>
      <c r="AD325" s="3"/>
      <c r="AE325" s="5"/>
    </row>
    <row r="326" spans="1:31" ht="15.75" customHeight="1" x14ac:dyDescent="0.2">
      <c r="A326" s="3"/>
      <c r="B326" s="3"/>
      <c r="C326" s="3"/>
      <c r="D326" s="4"/>
      <c r="E326" s="3"/>
      <c r="F326" s="5"/>
      <c r="G326" s="22"/>
      <c r="H326" s="3"/>
      <c r="I326" s="5"/>
      <c r="J326" s="3"/>
      <c r="K326" s="3"/>
      <c r="L326" s="3"/>
      <c r="M326" s="23"/>
      <c r="N326" s="24"/>
      <c r="O326" s="3"/>
      <c r="P326" s="3"/>
      <c r="Q326" s="3"/>
      <c r="R326" s="3"/>
      <c r="S326" s="3"/>
      <c r="T326" s="3"/>
      <c r="U326" s="3"/>
      <c r="V326" s="3"/>
      <c r="W326" s="5"/>
      <c r="X326" s="3"/>
      <c r="Y326" s="3"/>
      <c r="Z326" s="5"/>
      <c r="AA326" s="3"/>
      <c r="AB326" s="3"/>
      <c r="AC326" s="5"/>
      <c r="AD326" s="3"/>
      <c r="AE326" s="5"/>
    </row>
    <row r="327" spans="1:31" ht="15.75" customHeight="1" x14ac:dyDescent="0.2">
      <c r="A327" s="3"/>
      <c r="B327" s="3"/>
      <c r="C327" s="3"/>
      <c r="D327" s="4"/>
      <c r="E327" s="3"/>
      <c r="F327" s="5"/>
      <c r="G327" s="22"/>
      <c r="H327" s="3"/>
      <c r="I327" s="5"/>
      <c r="J327" s="3"/>
      <c r="K327" s="3"/>
      <c r="L327" s="3"/>
      <c r="M327" s="23"/>
      <c r="N327" s="24"/>
      <c r="O327" s="3"/>
      <c r="P327" s="3"/>
      <c r="Q327" s="3"/>
      <c r="R327" s="3"/>
      <c r="S327" s="3"/>
      <c r="T327" s="3"/>
      <c r="U327" s="3"/>
      <c r="V327" s="3"/>
      <c r="W327" s="5"/>
      <c r="X327" s="3"/>
      <c r="Y327" s="3"/>
      <c r="Z327" s="5"/>
      <c r="AA327" s="3"/>
      <c r="AB327" s="3"/>
      <c r="AC327" s="5"/>
      <c r="AD327" s="3"/>
      <c r="AE327" s="5"/>
    </row>
    <row r="328" spans="1:31" ht="15.75" customHeight="1" x14ac:dyDescent="0.2">
      <c r="A328" s="3"/>
      <c r="B328" s="3"/>
      <c r="C328" s="3"/>
      <c r="D328" s="4"/>
      <c r="E328" s="3"/>
      <c r="F328" s="5"/>
      <c r="G328" s="22"/>
      <c r="H328" s="3"/>
      <c r="I328" s="5"/>
      <c r="J328" s="3"/>
      <c r="K328" s="3"/>
      <c r="L328" s="3"/>
      <c r="M328" s="23"/>
      <c r="N328" s="24"/>
      <c r="O328" s="3"/>
      <c r="P328" s="3"/>
      <c r="Q328" s="3"/>
      <c r="R328" s="3"/>
      <c r="S328" s="3"/>
      <c r="T328" s="3"/>
      <c r="U328" s="3"/>
      <c r="V328" s="3"/>
      <c r="W328" s="5"/>
      <c r="X328" s="3"/>
      <c r="Y328" s="3"/>
      <c r="Z328" s="5"/>
      <c r="AA328" s="3"/>
      <c r="AB328" s="3"/>
      <c r="AC328" s="5"/>
      <c r="AD328" s="3"/>
      <c r="AE328" s="5"/>
    </row>
    <row r="329" spans="1:31" ht="15.75" customHeight="1" x14ac:dyDescent="0.2">
      <c r="A329" s="3"/>
      <c r="B329" s="3"/>
      <c r="C329" s="3"/>
      <c r="D329" s="4"/>
      <c r="E329" s="3"/>
      <c r="F329" s="5"/>
      <c r="G329" s="22"/>
      <c r="H329" s="3"/>
      <c r="I329" s="5"/>
      <c r="J329" s="3"/>
      <c r="K329" s="3"/>
      <c r="L329" s="3"/>
      <c r="M329" s="23"/>
      <c r="N329" s="24"/>
      <c r="O329" s="3"/>
      <c r="P329" s="3"/>
      <c r="Q329" s="3"/>
      <c r="R329" s="3"/>
      <c r="S329" s="3"/>
      <c r="T329" s="3"/>
      <c r="U329" s="3"/>
      <c r="V329" s="3"/>
      <c r="W329" s="5"/>
      <c r="X329" s="3"/>
      <c r="Y329" s="3"/>
      <c r="Z329" s="5"/>
      <c r="AA329" s="3"/>
      <c r="AB329" s="3"/>
      <c r="AC329" s="5"/>
      <c r="AD329" s="3"/>
      <c r="AE329" s="5"/>
    </row>
    <row r="330" spans="1:31" ht="15.75" customHeight="1" x14ac:dyDescent="0.2">
      <c r="A330" s="3"/>
      <c r="B330" s="3"/>
      <c r="C330" s="3"/>
      <c r="D330" s="4"/>
      <c r="E330" s="3"/>
      <c r="F330" s="5"/>
      <c r="G330" s="22"/>
      <c r="H330" s="3"/>
      <c r="I330" s="5"/>
      <c r="J330" s="3"/>
      <c r="K330" s="3"/>
      <c r="L330" s="3"/>
      <c r="M330" s="23"/>
      <c r="N330" s="24"/>
      <c r="O330" s="3"/>
      <c r="P330" s="3"/>
      <c r="Q330" s="3"/>
      <c r="R330" s="3"/>
      <c r="S330" s="3"/>
      <c r="T330" s="3"/>
      <c r="U330" s="3"/>
      <c r="V330" s="3"/>
      <c r="W330" s="5"/>
      <c r="X330" s="3"/>
      <c r="Y330" s="3"/>
      <c r="Z330" s="5"/>
      <c r="AA330" s="3"/>
      <c r="AB330" s="3"/>
      <c r="AC330" s="5"/>
      <c r="AD330" s="3"/>
      <c r="AE330" s="5"/>
    </row>
    <row r="331" spans="1:31" ht="15.75" customHeight="1" x14ac:dyDescent="0.2">
      <c r="A331" s="3"/>
      <c r="B331" s="3"/>
      <c r="C331" s="3"/>
      <c r="D331" s="4"/>
      <c r="E331" s="3"/>
      <c r="F331" s="5"/>
      <c r="G331" s="22"/>
      <c r="H331" s="3"/>
      <c r="I331" s="5"/>
      <c r="J331" s="3"/>
      <c r="K331" s="3"/>
      <c r="L331" s="3"/>
      <c r="M331" s="23"/>
      <c r="N331" s="24"/>
      <c r="O331" s="3"/>
      <c r="P331" s="3"/>
      <c r="Q331" s="3"/>
      <c r="R331" s="3"/>
      <c r="S331" s="3"/>
      <c r="T331" s="3"/>
      <c r="U331" s="3"/>
      <c r="V331" s="3"/>
      <c r="W331" s="5"/>
      <c r="X331" s="3"/>
      <c r="Y331" s="3"/>
      <c r="Z331" s="5"/>
      <c r="AA331" s="3"/>
      <c r="AB331" s="3"/>
      <c r="AC331" s="5"/>
      <c r="AD331" s="3"/>
      <c r="AE331" s="5"/>
    </row>
    <row r="332" spans="1:31" ht="15.75" customHeight="1" x14ac:dyDescent="0.2">
      <c r="A332" s="3"/>
      <c r="B332" s="3"/>
      <c r="C332" s="3"/>
      <c r="D332" s="4"/>
      <c r="E332" s="3"/>
      <c r="F332" s="5"/>
      <c r="G332" s="22"/>
      <c r="H332" s="3"/>
      <c r="I332" s="5"/>
      <c r="J332" s="3"/>
      <c r="K332" s="3"/>
      <c r="L332" s="3"/>
      <c r="M332" s="23"/>
      <c r="N332" s="24"/>
      <c r="O332" s="3"/>
      <c r="P332" s="3"/>
      <c r="Q332" s="3"/>
      <c r="R332" s="3"/>
      <c r="S332" s="3"/>
      <c r="T332" s="3"/>
      <c r="U332" s="3"/>
      <c r="V332" s="3"/>
      <c r="W332" s="5"/>
      <c r="X332" s="3"/>
      <c r="Y332" s="3"/>
      <c r="Z332" s="5"/>
      <c r="AA332" s="3"/>
      <c r="AB332" s="3"/>
      <c r="AC332" s="5"/>
      <c r="AD332" s="3"/>
      <c r="AE332" s="5"/>
    </row>
    <row r="333" spans="1:31" ht="15.75" customHeight="1" x14ac:dyDescent="0.2">
      <c r="A333" s="3"/>
      <c r="B333" s="3"/>
      <c r="C333" s="3"/>
      <c r="D333" s="4"/>
      <c r="E333" s="3"/>
      <c r="F333" s="5"/>
      <c r="G333" s="22"/>
      <c r="H333" s="3"/>
      <c r="I333" s="5"/>
      <c r="J333" s="3"/>
      <c r="K333" s="3"/>
      <c r="L333" s="3"/>
      <c r="M333" s="23"/>
      <c r="N333" s="24"/>
      <c r="O333" s="3"/>
      <c r="P333" s="3"/>
      <c r="Q333" s="3"/>
      <c r="R333" s="3"/>
      <c r="S333" s="3"/>
      <c r="T333" s="3"/>
      <c r="U333" s="3"/>
      <c r="V333" s="3"/>
      <c r="W333" s="5"/>
      <c r="X333" s="3"/>
      <c r="Y333" s="3"/>
      <c r="Z333" s="5"/>
      <c r="AA333" s="3"/>
      <c r="AB333" s="3"/>
      <c r="AC333" s="5"/>
      <c r="AD333" s="3"/>
      <c r="AE333" s="5"/>
    </row>
    <row r="334" spans="1:31" ht="15.75" customHeight="1" x14ac:dyDescent="0.2">
      <c r="A334" s="3"/>
      <c r="B334" s="3"/>
      <c r="C334" s="3"/>
      <c r="D334" s="4"/>
      <c r="E334" s="3"/>
      <c r="F334" s="5"/>
      <c r="G334" s="22"/>
      <c r="H334" s="3"/>
      <c r="I334" s="5"/>
      <c r="J334" s="3"/>
      <c r="K334" s="3"/>
      <c r="L334" s="3"/>
      <c r="M334" s="23"/>
      <c r="N334" s="24"/>
      <c r="O334" s="3"/>
      <c r="P334" s="3"/>
      <c r="Q334" s="3"/>
      <c r="R334" s="3"/>
      <c r="S334" s="3"/>
      <c r="T334" s="3"/>
      <c r="U334" s="3"/>
      <c r="V334" s="3"/>
      <c r="W334" s="5"/>
      <c r="X334" s="3"/>
      <c r="Y334" s="3"/>
      <c r="Z334" s="5"/>
      <c r="AA334" s="3"/>
      <c r="AB334" s="3"/>
      <c r="AC334" s="5"/>
      <c r="AD334" s="3"/>
      <c r="AE334" s="5"/>
    </row>
    <row r="335" spans="1:31" ht="15.75" customHeight="1" x14ac:dyDescent="0.2">
      <c r="A335" s="3"/>
      <c r="B335" s="3"/>
      <c r="C335" s="3"/>
      <c r="D335" s="4"/>
      <c r="E335" s="3"/>
      <c r="F335" s="5"/>
      <c r="G335" s="22"/>
      <c r="H335" s="3"/>
      <c r="I335" s="5"/>
      <c r="J335" s="3"/>
      <c r="K335" s="3"/>
      <c r="L335" s="3"/>
      <c r="M335" s="23"/>
      <c r="N335" s="24"/>
      <c r="O335" s="3"/>
      <c r="P335" s="3"/>
      <c r="Q335" s="3"/>
      <c r="R335" s="3"/>
      <c r="S335" s="3"/>
      <c r="T335" s="3"/>
      <c r="U335" s="3"/>
      <c r="V335" s="3"/>
      <c r="W335" s="5"/>
      <c r="X335" s="3"/>
      <c r="Y335" s="3"/>
      <c r="Z335" s="5"/>
      <c r="AA335" s="3"/>
      <c r="AB335" s="3"/>
      <c r="AC335" s="5"/>
      <c r="AD335" s="3"/>
      <c r="AE335" s="5"/>
    </row>
    <row r="336" spans="1:31" ht="15.75" customHeight="1" x14ac:dyDescent="0.2">
      <c r="A336" s="3"/>
      <c r="B336" s="3"/>
      <c r="C336" s="3"/>
      <c r="D336" s="4"/>
      <c r="E336" s="3"/>
      <c r="F336" s="5"/>
      <c r="G336" s="22"/>
      <c r="H336" s="3"/>
      <c r="I336" s="5"/>
      <c r="J336" s="3"/>
      <c r="K336" s="3"/>
      <c r="L336" s="3"/>
      <c r="M336" s="23"/>
      <c r="N336" s="24"/>
      <c r="O336" s="3"/>
      <c r="P336" s="3"/>
      <c r="Q336" s="3"/>
      <c r="R336" s="3"/>
      <c r="S336" s="3"/>
      <c r="T336" s="3"/>
      <c r="U336" s="3"/>
      <c r="V336" s="3"/>
      <c r="W336" s="5"/>
      <c r="X336" s="3"/>
      <c r="Y336" s="3"/>
      <c r="Z336" s="5"/>
      <c r="AA336" s="3"/>
      <c r="AB336" s="3"/>
      <c r="AC336" s="5"/>
      <c r="AD336" s="3"/>
      <c r="AE336" s="5"/>
    </row>
    <row r="337" spans="1:31" ht="15.75" customHeight="1" x14ac:dyDescent="0.2">
      <c r="A337" s="3"/>
      <c r="B337" s="3"/>
      <c r="C337" s="3"/>
      <c r="D337" s="4"/>
      <c r="E337" s="3"/>
      <c r="F337" s="5"/>
      <c r="G337" s="22"/>
      <c r="H337" s="3"/>
      <c r="I337" s="5"/>
      <c r="J337" s="3"/>
      <c r="K337" s="3"/>
      <c r="L337" s="3"/>
      <c r="M337" s="23"/>
      <c r="N337" s="24"/>
      <c r="O337" s="3"/>
      <c r="P337" s="3"/>
      <c r="Q337" s="3"/>
      <c r="R337" s="3"/>
      <c r="S337" s="3"/>
      <c r="T337" s="3"/>
      <c r="U337" s="3"/>
      <c r="V337" s="3"/>
      <c r="W337" s="5"/>
      <c r="X337" s="3"/>
      <c r="Y337" s="3"/>
      <c r="Z337" s="5"/>
      <c r="AA337" s="3"/>
      <c r="AB337" s="3"/>
      <c r="AC337" s="5"/>
      <c r="AD337" s="3"/>
      <c r="AE337" s="5"/>
    </row>
    <row r="338" spans="1:31" ht="15.75" customHeight="1" x14ac:dyDescent="0.2">
      <c r="A338" s="3"/>
      <c r="B338" s="3"/>
      <c r="C338" s="3"/>
      <c r="D338" s="4"/>
      <c r="E338" s="3"/>
      <c r="F338" s="5"/>
      <c r="G338" s="22"/>
      <c r="H338" s="3"/>
      <c r="I338" s="5"/>
      <c r="J338" s="3"/>
      <c r="K338" s="3"/>
      <c r="L338" s="3"/>
      <c r="M338" s="23"/>
      <c r="N338" s="24"/>
      <c r="O338" s="3"/>
      <c r="P338" s="3"/>
      <c r="Q338" s="3"/>
      <c r="R338" s="3"/>
      <c r="S338" s="3"/>
      <c r="T338" s="3"/>
      <c r="U338" s="3"/>
      <c r="V338" s="3"/>
      <c r="W338" s="5"/>
      <c r="X338" s="3"/>
      <c r="Y338" s="3"/>
      <c r="Z338" s="5"/>
      <c r="AA338" s="3"/>
      <c r="AB338" s="3"/>
      <c r="AC338" s="5"/>
      <c r="AD338" s="3"/>
      <c r="AE338" s="5"/>
    </row>
    <row r="339" spans="1:31" ht="15.75" customHeight="1" x14ac:dyDescent="0.2"/>
    <row r="340" spans="1:31" ht="15.75" customHeight="1" x14ac:dyDescent="0.2"/>
    <row r="341" spans="1:31" ht="15.75" customHeight="1" x14ac:dyDescent="0.2"/>
    <row r="342" spans="1:31" ht="15.75" customHeight="1" x14ac:dyDescent="0.2"/>
    <row r="343" spans="1:31" ht="15.75" customHeight="1" x14ac:dyDescent="0.2"/>
    <row r="344" spans="1:31" ht="15.75" customHeight="1" x14ac:dyDescent="0.2"/>
    <row r="345" spans="1:31" ht="15.75" customHeight="1" x14ac:dyDescent="0.2"/>
    <row r="346" spans="1:31" ht="15.75" customHeight="1" x14ac:dyDescent="0.2"/>
    <row r="347" spans="1:31" ht="15.75" customHeight="1" x14ac:dyDescent="0.2"/>
    <row r="348" spans="1:31" ht="15.75" customHeight="1" x14ac:dyDescent="0.2"/>
    <row r="349" spans="1:31" ht="15.75" customHeight="1" x14ac:dyDescent="0.2">
      <c r="G349" s="24"/>
      <c r="N349" s="24"/>
    </row>
    <row r="350" spans="1:31" ht="15.75" customHeight="1" x14ac:dyDescent="0.2">
      <c r="G350" s="24"/>
      <c r="N350" s="24"/>
    </row>
    <row r="351" spans="1:31" ht="15.75" customHeight="1" x14ac:dyDescent="0.2">
      <c r="G351" s="24"/>
      <c r="N351" s="24"/>
    </row>
    <row r="352" spans="1:31" ht="15.75" customHeight="1" x14ac:dyDescent="0.2">
      <c r="G352" s="24"/>
      <c r="N352" s="24"/>
    </row>
    <row r="353" spans="7:14" ht="15.75" customHeight="1" x14ac:dyDescent="0.2">
      <c r="G353" s="24"/>
      <c r="N353" s="24"/>
    </row>
    <row r="354" spans="7:14" ht="15.75" customHeight="1" x14ac:dyDescent="0.2">
      <c r="G354" s="24"/>
      <c r="N354" s="24"/>
    </row>
    <row r="355" spans="7:14" ht="15.75" customHeight="1" x14ac:dyDescent="0.2">
      <c r="G355" s="24"/>
      <c r="N355" s="24"/>
    </row>
    <row r="356" spans="7:14" ht="15.75" customHeight="1" x14ac:dyDescent="0.2">
      <c r="G356" s="24"/>
      <c r="N356" s="24"/>
    </row>
    <row r="357" spans="7:14" ht="15.75" customHeight="1" x14ac:dyDescent="0.2">
      <c r="G357" s="24"/>
      <c r="N357" s="24"/>
    </row>
    <row r="358" spans="7:14" ht="15.75" customHeight="1" x14ac:dyDescent="0.2">
      <c r="G358" s="24"/>
      <c r="N358" s="24"/>
    </row>
    <row r="359" spans="7:14" ht="15.75" customHeight="1" x14ac:dyDescent="0.2">
      <c r="G359" s="24"/>
      <c r="N359" s="24"/>
    </row>
    <row r="360" spans="7:14" ht="15.75" customHeight="1" x14ac:dyDescent="0.2">
      <c r="G360" s="24"/>
      <c r="N360" s="24"/>
    </row>
    <row r="361" spans="7:14" ht="15.75" customHeight="1" x14ac:dyDescent="0.2">
      <c r="G361" s="24"/>
      <c r="N361" s="24"/>
    </row>
    <row r="362" spans="7:14" ht="15.75" customHeight="1" x14ac:dyDescent="0.2">
      <c r="G362" s="24"/>
      <c r="N362" s="24"/>
    </row>
    <row r="363" spans="7:14" ht="15.75" customHeight="1" x14ac:dyDescent="0.2">
      <c r="G363" s="24"/>
      <c r="N363" s="24"/>
    </row>
    <row r="364" spans="7:14" ht="15.75" customHeight="1" x14ac:dyDescent="0.2">
      <c r="G364" s="24"/>
      <c r="N364" s="24"/>
    </row>
    <row r="365" spans="7:14" ht="15.75" customHeight="1" x14ac:dyDescent="0.2">
      <c r="G365" s="24"/>
      <c r="N365" s="24"/>
    </row>
    <row r="366" spans="7:14" ht="15.75" customHeight="1" x14ac:dyDescent="0.2">
      <c r="G366" s="24"/>
      <c r="N366" s="24"/>
    </row>
    <row r="367" spans="7:14" ht="15.75" customHeight="1" x14ac:dyDescent="0.2">
      <c r="G367" s="24"/>
      <c r="N367" s="24"/>
    </row>
    <row r="368" spans="7:14" ht="15.75" customHeight="1" x14ac:dyDescent="0.2">
      <c r="G368" s="24"/>
      <c r="N368" s="24"/>
    </row>
    <row r="369" spans="7:14" ht="15.75" customHeight="1" x14ac:dyDescent="0.2">
      <c r="G369" s="24"/>
      <c r="N369" s="24"/>
    </row>
    <row r="370" spans="7:14" ht="15.75" customHeight="1" x14ac:dyDescent="0.2">
      <c r="G370" s="24"/>
      <c r="N370" s="24"/>
    </row>
    <row r="371" spans="7:14" ht="15.75" customHeight="1" x14ac:dyDescent="0.2">
      <c r="G371" s="24"/>
      <c r="N371" s="24"/>
    </row>
    <row r="372" spans="7:14" ht="15.75" customHeight="1" x14ac:dyDescent="0.2">
      <c r="G372" s="24"/>
      <c r="N372" s="24"/>
    </row>
    <row r="373" spans="7:14" ht="15.75" customHeight="1" x14ac:dyDescent="0.2">
      <c r="G373" s="24"/>
      <c r="N373" s="24"/>
    </row>
    <row r="374" spans="7:14" ht="15.75" customHeight="1" x14ac:dyDescent="0.2">
      <c r="G374" s="24"/>
      <c r="N374" s="24"/>
    </row>
    <row r="375" spans="7:14" ht="15.75" customHeight="1" x14ac:dyDescent="0.2">
      <c r="G375" s="24"/>
      <c r="N375" s="24"/>
    </row>
    <row r="376" spans="7:14" ht="15.75" customHeight="1" x14ac:dyDescent="0.2">
      <c r="G376" s="24"/>
      <c r="N376" s="24"/>
    </row>
    <row r="377" spans="7:14" ht="15.75" customHeight="1" x14ac:dyDescent="0.2">
      <c r="G377" s="24"/>
      <c r="N377" s="24"/>
    </row>
    <row r="378" spans="7:14" ht="15.75" customHeight="1" x14ac:dyDescent="0.2">
      <c r="G378" s="24"/>
      <c r="N378" s="24"/>
    </row>
    <row r="379" spans="7:14" ht="15.75" customHeight="1" x14ac:dyDescent="0.2">
      <c r="G379" s="24"/>
      <c r="N379" s="24"/>
    </row>
    <row r="380" spans="7:14" ht="15.75" customHeight="1" x14ac:dyDescent="0.2">
      <c r="G380" s="24"/>
      <c r="N380" s="24"/>
    </row>
    <row r="381" spans="7:14" ht="15.75" customHeight="1" x14ac:dyDescent="0.2">
      <c r="G381" s="24"/>
      <c r="N381" s="24"/>
    </row>
    <row r="382" spans="7:14" ht="15.75" customHeight="1" x14ac:dyDescent="0.2">
      <c r="G382" s="24"/>
      <c r="N382" s="24"/>
    </row>
    <row r="383" spans="7:14" ht="15.75" customHeight="1" x14ac:dyDescent="0.2">
      <c r="G383" s="24"/>
      <c r="N383" s="24"/>
    </row>
    <row r="384" spans="7:14" ht="15.75" customHeight="1" x14ac:dyDescent="0.2">
      <c r="G384" s="24"/>
      <c r="N384" s="24"/>
    </row>
    <row r="385" spans="7:14" ht="15.75" customHeight="1" x14ac:dyDescent="0.2">
      <c r="G385" s="24"/>
      <c r="N385" s="24"/>
    </row>
    <row r="386" spans="7:14" ht="15.75" customHeight="1" x14ac:dyDescent="0.2">
      <c r="G386" s="24"/>
      <c r="N386" s="24"/>
    </row>
    <row r="387" spans="7:14" ht="15.75" customHeight="1" x14ac:dyDescent="0.2">
      <c r="G387" s="24"/>
      <c r="N387" s="24"/>
    </row>
    <row r="388" spans="7:14" ht="15.75" customHeight="1" x14ac:dyDescent="0.2">
      <c r="G388" s="24"/>
      <c r="N388" s="24"/>
    </row>
    <row r="389" spans="7:14" ht="15.75" customHeight="1" x14ac:dyDescent="0.2">
      <c r="G389" s="24"/>
      <c r="N389" s="24"/>
    </row>
    <row r="390" spans="7:14" ht="15.75" customHeight="1" x14ac:dyDescent="0.2">
      <c r="G390" s="24"/>
      <c r="N390" s="24"/>
    </row>
    <row r="391" spans="7:14" ht="15.75" customHeight="1" x14ac:dyDescent="0.2">
      <c r="G391" s="24"/>
      <c r="N391" s="24"/>
    </row>
    <row r="392" spans="7:14" ht="15.75" customHeight="1" x14ac:dyDescent="0.2">
      <c r="G392" s="24"/>
      <c r="N392" s="24"/>
    </row>
    <row r="393" spans="7:14" ht="15.75" customHeight="1" x14ac:dyDescent="0.2">
      <c r="G393" s="24"/>
      <c r="N393" s="24"/>
    </row>
    <row r="394" spans="7:14" ht="15.75" customHeight="1" x14ac:dyDescent="0.2">
      <c r="G394" s="24"/>
      <c r="N394" s="24"/>
    </row>
    <row r="395" spans="7:14" ht="15.75" customHeight="1" x14ac:dyDescent="0.2">
      <c r="G395" s="24"/>
      <c r="N395" s="24"/>
    </row>
    <row r="396" spans="7:14" ht="15.75" customHeight="1" x14ac:dyDescent="0.2">
      <c r="G396" s="24"/>
      <c r="N396" s="24"/>
    </row>
    <row r="397" spans="7:14" ht="15.75" customHeight="1" x14ac:dyDescent="0.2">
      <c r="G397" s="24"/>
      <c r="N397" s="24"/>
    </row>
    <row r="398" spans="7:14" ht="15.75" customHeight="1" x14ac:dyDescent="0.2">
      <c r="G398" s="24"/>
      <c r="N398" s="24"/>
    </row>
    <row r="399" spans="7:14" ht="15.75" customHeight="1" x14ac:dyDescent="0.2">
      <c r="G399" s="24"/>
      <c r="N399" s="24"/>
    </row>
    <row r="400" spans="7:14" ht="15.75" customHeight="1" x14ac:dyDescent="0.2">
      <c r="G400" s="24"/>
      <c r="N400" s="24"/>
    </row>
    <row r="401" spans="7:14" ht="15.75" customHeight="1" x14ac:dyDescent="0.2">
      <c r="G401" s="24"/>
      <c r="N401" s="24"/>
    </row>
    <row r="402" spans="7:14" ht="15.75" customHeight="1" x14ac:dyDescent="0.2">
      <c r="G402" s="24"/>
      <c r="N402" s="24"/>
    </row>
    <row r="403" spans="7:14" ht="15.75" customHeight="1" x14ac:dyDescent="0.2">
      <c r="G403" s="24"/>
      <c r="N403" s="24"/>
    </row>
    <row r="404" spans="7:14" ht="15.75" customHeight="1" x14ac:dyDescent="0.2">
      <c r="G404" s="24"/>
      <c r="N404" s="24"/>
    </row>
    <row r="405" spans="7:14" ht="15.75" customHeight="1" x14ac:dyDescent="0.2">
      <c r="G405" s="24"/>
      <c r="N405" s="24"/>
    </row>
    <row r="406" spans="7:14" ht="15.75" customHeight="1" x14ac:dyDescent="0.2">
      <c r="G406" s="24"/>
      <c r="N406" s="24"/>
    </row>
    <row r="407" spans="7:14" ht="15.75" customHeight="1" x14ac:dyDescent="0.2">
      <c r="G407" s="24"/>
      <c r="N407" s="24"/>
    </row>
    <row r="408" spans="7:14" ht="15.75" customHeight="1" x14ac:dyDescent="0.2">
      <c r="G408" s="24"/>
      <c r="N408" s="24"/>
    </row>
    <row r="409" spans="7:14" ht="15.75" customHeight="1" x14ac:dyDescent="0.2">
      <c r="G409" s="24"/>
      <c r="N409" s="24"/>
    </row>
    <row r="410" spans="7:14" ht="15.75" customHeight="1" x14ac:dyDescent="0.2">
      <c r="G410" s="24"/>
      <c r="N410" s="24"/>
    </row>
    <row r="411" spans="7:14" ht="15.75" customHeight="1" x14ac:dyDescent="0.2">
      <c r="G411" s="24"/>
      <c r="N411" s="24"/>
    </row>
    <row r="412" spans="7:14" ht="15.75" customHeight="1" x14ac:dyDescent="0.2">
      <c r="G412" s="24"/>
      <c r="N412" s="24"/>
    </row>
    <row r="413" spans="7:14" ht="15.75" customHeight="1" x14ac:dyDescent="0.2">
      <c r="G413" s="24"/>
      <c r="N413" s="24"/>
    </row>
    <row r="414" spans="7:14" ht="15.75" customHeight="1" x14ac:dyDescent="0.2">
      <c r="G414" s="24"/>
      <c r="N414" s="24"/>
    </row>
    <row r="415" spans="7:14" ht="15.75" customHeight="1" x14ac:dyDescent="0.2">
      <c r="G415" s="24"/>
      <c r="N415" s="24"/>
    </row>
    <row r="416" spans="7:14" ht="15.75" customHeight="1" x14ac:dyDescent="0.2">
      <c r="G416" s="24"/>
      <c r="N416" s="24"/>
    </row>
    <row r="417" spans="7:14" ht="15.75" customHeight="1" x14ac:dyDescent="0.2">
      <c r="G417" s="24"/>
      <c r="N417" s="24"/>
    </row>
    <row r="418" spans="7:14" ht="15.75" customHeight="1" x14ac:dyDescent="0.2">
      <c r="G418" s="24"/>
      <c r="N418" s="24"/>
    </row>
    <row r="419" spans="7:14" ht="15.75" customHeight="1" x14ac:dyDescent="0.2">
      <c r="G419" s="24"/>
      <c r="N419" s="24"/>
    </row>
    <row r="420" spans="7:14" ht="15.75" customHeight="1" x14ac:dyDescent="0.2">
      <c r="G420" s="24"/>
      <c r="N420" s="24"/>
    </row>
    <row r="421" spans="7:14" ht="15.75" customHeight="1" x14ac:dyDescent="0.2">
      <c r="G421" s="24"/>
      <c r="N421" s="24"/>
    </row>
    <row r="422" spans="7:14" ht="15.75" customHeight="1" x14ac:dyDescent="0.2">
      <c r="G422" s="24"/>
      <c r="N422" s="24"/>
    </row>
    <row r="423" spans="7:14" ht="15.75" customHeight="1" x14ac:dyDescent="0.2">
      <c r="G423" s="24"/>
      <c r="N423" s="24"/>
    </row>
    <row r="424" spans="7:14" ht="15.75" customHeight="1" x14ac:dyDescent="0.2">
      <c r="G424" s="24"/>
      <c r="N424" s="24"/>
    </row>
    <row r="425" spans="7:14" ht="15.75" customHeight="1" x14ac:dyDescent="0.2">
      <c r="G425" s="24"/>
      <c r="N425" s="24"/>
    </row>
    <row r="426" spans="7:14" ht="15.75" customHeight="1" x14ac:dyDescent="0.2">
      <c r="G426" s="24"/>
      <c r="N426" s="24"/>
    </row>
    <row r="427" spans="7:14" ht="15.75" customHeight="1" x14ac:dyDescent="0.2">
      <c r="G427" s="24"/>
      <c r="N427" s="24"/>
    </row>
    <row r="428" spans="7:14" ht="15.75" customHeight="1" x14ac:dyDescent="0.2">
      <c r="G428" s="24"/>
      <c r="N428" s="24"/>
    </row>
    <row r="429" spans="7:14" ht="15.75" customHeight="1" x14ac:dyDescent="0.2">
      <c r="G429" s="24"/>
      <c r="N429" s="24"/>
    </row>
    <row r="430" spans="7:14" ht="15.75" customHeight="1" x14ac:dyDescent="0.2">
      <c r="G430" s="24"/>
      <c r="N430" s="24"/>
    </row>
    <row r="431" spans="7:14" ht="15.75" customHeight="1" x14ac:dyDescent="0.2">
      <c r="G431" s="24"/>
      <c r="N431" s="24"/>
    </row>
    <row r="432" spans="7:14" ht="15.75" customHeight="1" x14ac:dyDescent="0.2">
      <c r="G432" s="24"/>
      <c r="N432" s="24"/>
    </row>
    <row r="433" spans="7:14" ht="15.75" customHeight="1" x14ac:dyDescent="0.2">
      <c r="G433" s="24"/>
      <c r="N433" s="24"/>
    </row>
    <row r="434" spans="7:14" ht="15.75" customHeight="1" x14ac:dyDescent="0.2">
      <c r="G434" s="24"/>
      <c r="N434" s="24"/>
    </row>
    <row r="435" spans="7:14" ht="15.75" customHeight="1" x14ac:dyDescent="0.2">
      <c r="G435" s="24"/>
      <c r="N435" s="24"/>
    </row>
    <row r="436" spans="7:14" ht="15.75" customHeight="1" x14ac:dyDescent="0.2">
      <c r="G436" s="24"/>
      <c r="N436" s="24"/>
    </row>
    <row r="437" spans="7:14" ht="15.75" customHeight="1" x14ac:dyDescent="0.2">
      <c r="G437" s="24"/>
      <c r="N437" s="24"/>
    </row>
    <row r="438" spans="7:14" ht="15.75" customHeight="1" x14ac:dyDescent="0.2">
      <c r="G438" s="24"/>
      <c r="N438" s="24"/>
    </row>
    <row r="439" spans="7:14" ht="15.75" customHeight="1" x14ac:dyDescent="0.2">
      <c r="G439" s="24"/>
      <c r="N439" s="24"/>
    </row>
    <row r="440" spans="7:14" ht="15.75" customHeight="1" x14ac:dyDescent="0.2">
      <c r="G440" s="24"/>
      <c r="N440" s="24"/>
    </row>
    <row r="441" spans="7:14" ht="15.75" customHeight="1" x14ac:dyDescent="0.2">
      <c r="G441" s="24"/>
      <c r="N441" s="24"/>
    </row>
    <row r="442" spans="7:14" ht="15.75" customHeight="1" x14ac:dyDescent="0.2">
      <c r="G442" s="24"/>
      <c r="N442" s="24"/>
    </row>
    <row r="443" spans="7:14" ht="15.75" customHeight="1" x14ac:dyDescent="0.2">
      <c r="G443" s="24"/>
      <c r="N443" s="24"/>
    </row>
    <row r="444" spans="7:14" ht="15.75" customHeight="1" x14ac:dyDescent="0.2">
      <c r="G444" s="24"/>
      <c r="N444" s="24"/>
    </row>
    <row r="445" spans="7:14" ht="15.75" customHeight="1" x14ac:dyDescent="0.2">
      <c r="G445" s="24"/>
      <c r="N445" s="24"/>
    </row>
    <row r="446" spans="7:14" ht="15.75" customHeight="1" x14ac:dyDescent="0.2">
      <c r="G446" s="24"/>
      <c r="N446" s="24"/>
    </row>
    <row r="447" spans="7:14" ht="15.75" customHeight="1" x14ac:dyDescent="0.2">
      <c r="G447" s="24"/>
      <c r="N447" s="24"/>
    </row>
    <row r="448" spans="7:14" ht="15.75" customHeight="1" x14ac:dyDescent="0.2">
      <c r="G448" s="24"/>
      <c r="N448" s="24"/>
    </row>
    <row r="449" spans="7:14" ht="15.75" customHeight="1" x14ac:dyDescent="0.2">
      <c r="G449" s="24"/>
      <c r="N449" s="24"/>
    </row>
    <row r="450" spans="7:14" ht="15.75" customHeight="1" x14ac:dyDescent="0.2">
      <c r="G450" s="24"/>
      <c r="N450" s="24"/>
    </row>
    <row r="451" spans="7:14" ht="15.75" customHeight="1" x14ac:dyDescent="0.2">
      <c r="G451" s="24"/>
      <c r="N451" s="24"/>
    </row>
    <row r="452" spans="7:14" ht="15.75" customHeight="1" x14ac:dyDescent="0.2">
      <c r="G452" s="24"/>
      <c r="N452" s="24"/>
    </row>
    <row r="453" spans="7:14" ht="15.75" customHeight="1" x14ac:dyDescent="0.2">
      <c r="G453" s="24"/>
      <c r="N453" s="24"/>
    </row>
    <row r="454" spans="7:14" ht="15.75" customHeight="1" x14ac:dyDescent="0.2">
      <c r="G454" s="24"/>
      <c r="N454" s="24"/>
    </row>
    <row r="455" spans="7:14" ht="15.75" customHeight="1" x14ac:dyDescent="0.2">
      <c r="G455" s="24"/>
      <c r="N455" s="24"/>
    </row>
    <row r="456" spans="7:14" ht="15.75" customHeight="1" x14ac:dyDescent="0.2">
      <c r="G456" s="24"/>
      <c r="N456" s="24"/>
    </row>
    <row r="457" spans="7:14" ht="15.75" customHeight="1" x14ac:dyDescent="0.2">
      <c r="G457" s="24"/>
      <c r="N457" s="24"/>
    </row>
    <row r="458" spans="7:14" ht="15.75" customHeight="1" x14ac:dyDescent="0.2">
      <c r="G458" s="24"/>
      <c r="N458" s="24"/>
    </row>
    <row r="459" spans="7:14" ht="15.75" customHeight="1" x14ac:dyDescent="0.2">
      <c r="G459" s="24"/>
      <c r="N459" s="24"/>
    </row>
    <row r="460" spans="7:14" ht="15.75" customHeight="1" x14ac:dyDescent="0.2">
      <c r="G460" s="24"/>
      <c r="N460" s="24"/>
    </row>
    <row r="461" spans="7:14" ht="15.75" customHeight="1" x14ac:dyDescent="0.2">
      <c r="G461" s="24"/>
      <c r="N461" s="24"/>
    </row>
    <row r="462" spans="7:14" ht="15.75" customHeight="1" x14ac:dyDescent="0.2">
      <c r="G462" s="24"/>
      <c r="N462" s="24"/>
    </row>
    <row r="463" spans="7:14" ht="15.75" customHeight="1" x14ac:dyDescent="0.2">
      <c r="G463" s="24"/>
      <c r="N463" s="24"/>
    </row>
    <row r="464" spans="7:14" ht="15.75" customHeight="1" x14ac:dyDescent="0.2">
      <c r="G464" s="24"/>
      <c r="N464" s="24"/>
    </row>
    <row r="465" spans="7:14" ht="15.75" customHeight="1" x14ac:dyDescent="0.2">
      <c r="G465" s="24"/>
      <c r="N465" s="24"/>
    </row>
    <row r="466" spans="7:14" ht="15.75" customHeight="1" x14ac:dyDescent="0.2">
      <c r="G466" s="24"/>
      <c r="N466" s="24"/>
    </row>
    <row r="467" spans="7:14" ht="15.75" customHeight="1" x14ac:dyDescent="0.2">
      <c r="G467" s="24"/>
      <c r="N467" s="24"/>
    </row>
    <row r="468" spans="7:14" ht="15.75" customHeight="1" x14ac:dyDescent="0.2">
      <c r="G468" s="24"/>
      <c r="N468" s="24"/>
    </row>
    <row r="469" spans="7:14" ht="15.75" customHeight="1" x14ac:dyDescent="0.2">
      <c r="G469" s="24"/>
      <c r="N469" s="24"/>
    </row>
    <row r="470" spans="7:14" ht="15.75" customHeight="1" x14ac:dyDescent="0.2">
      <c r="G470" s="24"/>
      <c r="N470" s="24"/>
    </row>
    <row r="471" spans="7:14" ht="15.75" customHeight="1" x14ac:dyDescent="0.2">
      <c r="G471" s="24"/>
      <c r="N471" s="24"/>
    </row>
    <row r="472" spans="7:14" ht="15.75" customHeight="1" x14ac:dyDescent="0.2">
      <c r="G472" s="24"/>
      <c r="N472" s="24"/>
    </row>
    <row r="473" spans="7:14" ht="15.75" customHeight="1" x14ac:dyDescent="0.2">
      <c r="G473" s="24"/>
      <c r="N473" s="24"/>
    </row>
    <row r="474" spans="7:14" ht="15.75" customHeight="1" x14ac:dyDescent="0.2">
      <c r="G474" s="24"/>
      <c r="N474" s="24"/>
    </row>
    <row r="475" spans="7:14" ht="15.75" customHeight="1" x14ac:dyDescent="0.2">
      <c r="G475" s="24"/>
      <c r="N475" s="24"/>
    </row>
    <row r="476" spans="7:14" ht="15.75" customHeight="1" x14ac:dyDescent="0.2">
      <c r="G476" s="24"/>
      <c r="N476" s="24"/>
    </row>
    <row r="477" spans="7:14" ht="15.75" customHeight="1" x14ac:dyDescent="0.2">
      <c r="G477" s="24"/>
      <c r="N477" s="24"/>
    </row>
    <row r="478" spans="7:14" ht="15.75" customHeight="1" x14ac:dyDescent="0.2">
      <c r="G478" s="24"/>
      <c r="N478" s="24"/>
    </row>
    <row r="479" spans="7:14" ht="15.75" customHeight="1" x14ac:dyDescent="0.2">
      <c r="G479" s="24"/>
      <c r="N479" s="24"/>
    </row>
    <row r="480" spans="7:14" ht="15.75" customHeight="1" x14ac:dyDescent="0.2">
      <c r="G480" s="24"/>
      <c r="N480" s="24"/>
    </row>
    <row r="481" spans="7:14" ht="15.75" customHeight="1" x14ac:dyDescent="0.2">
      <c r="G481" s="24"/>
      <c r="N481" s="24"/>
    </row>
    <row r="482" spans="7:14" ht="15.75" customHeight="1" x14ac:dyDescent="0.2">
      <c r="G482" s="24"/>
      <c r="N482" s="24"/>
    </row>
    <row r="483" spans="7:14" ht="15.75" customHeight="1" x14ac:dyDescent="0.2">
      <c r="G483" s="24"/>
      <c r="N483" s="24"/>
    </row>
    <row r="484" spans="7:14" ht="15.75" customHeight="1" x14ac:dyDescent="0.2">
      <c r="G484" s="24"/>
      <c r="N484" s="24"/>
    </row>
    <row r="485" spans="7:14" ht="15.75" customHeight="1" x14ac:dyDescent="0.2">
      <c r="G485" s="24"/>
      <c r="N485" s="24"/>
    </row>
    <row r="486" spans="7:14" ht="15.75" customHeight="1" x14ac:dyDescent="0.2">
      <c r="G486" s="24"/>
      <c r="N486" s="24"/>
    </row>
    <row r="487" spans="7:14" ht="15.75" customHeight="1" x14ac:dyDescent="0.2">
      <c r="G487" s="24"/>
      <c r="N487" s="24"/>
    </row>
    <row r="488" spans="7:14" ht="15.75" customHeight="1" x14ac:dyDescent="0.2">
      <c r="G488" s="24"/>
      <c r="N488" s="24"/>
    </row>
    <row r="489" spans="7:14" ht="15.75" customHeight="1" x14ac:dyDescent="0.2">
      <c r="G489" s="24"/>
      <c r="N489" s="24"/>
    </row>
    <row r="490" spans="7:14" ht="15.75" customHeight="1" x14ac:dyDescent="0.2">
      <c r="G490" s="24"/>
      <c r="N490" s="24"/>
    </row>
    <row r="491" spans="7:14" ht="15.75" customHeight="1" x14ac:dyDescent="0.2">
      <c r="G491" s="24"/>
      <c r="N491" s="24"/>
    </row>
    <row r="492" spans="7:14" ht="15.75" customHeight="1" x14ac:dyDescent="0.2">
      <c r="G492" s="24"/>
      <c r="N492" s="24"/>
    </row>
    <row r="493" spans="7:14" ht="15.75" customHeight="1" x14ac:dyDescent="0.2">
      <c r="G493" s="24"/>
      <c r="N493" s="24"/>
    </row>
    <row r="494" spans="7:14" ht="15.75" customHeight="1" x14ac:dyDescent="0.2">
      <c r="G494" s="24"/>
      <c r="N494" s="24"/>
    </row>
    <row r="495" spans="7:14" ht="15.75" customHeight="1" x14ac:dyDescent="0.2">
      <c r="G495" s="24"/>
      <c r="N495" s="24"/>
    </row>
    <row r="496" spans="7:14" ht="15.75" customHeight="1" x14ac:dyDescent="0.2">
      <c r="G496" s="24"/>
      <c r="N496" s="24"/>
    </row>
    <row r="497" spans="7:14" ht="15.75" customHeight="1" x14ac:dyDescent="0.2">
      <c r="G497" s="24"/>
      <c r="N497" s="24"/>
    </row>
    <row r="498" spans="7:14" ht="15.75" customHeight="1" x14ac:dyDescent="0.2">
      <c r="G498" s="24"/>
      <c r="N498" s="24"/>
    </row>
    <row r="499" spans="7:14" ht="15.75" customHeight="1" x14ac:dyDescent="0.2">
      <c r="G499" s="24"/>
      <c r="N499" s="24"/>
    </row>
    <row r="500" spans="7:14" ht="15.75" customHeight="1" x14ac:dyDescent="0.2">
      <c r="G500" s="24"/>
      <c r="N500" s="24"/>
    </row>
    <row r="501" spans="7:14" ht="15.75" customHeight="1" x14ac:dyDescent="0.2">
      <c r="G501" s="24"/>
      <c r="N501" s="24"/>
    </row>
    <row r="502" spans="7:14" ht="15.75" customHeight="1" x14ac:dyDescent="0.2">
      <c r="G502" s="24"/>
      <c r="N502" s="24"/>
    </row>
    <row r="503" spans="7:14" ht="15.75" customHeight="1" x14ac:dyDescent="0.2">
      <c r="G503" s="24"/>
      <c r="N503" s="24"/>
    </row>
    <row r="504" spans="7:14" ht="15.75" customHeight="1" x14ac:dyDescent="0.2">
      <c r="G504" s="24"/>
      <c r="N504" s="24"/>
    </row>
    <row r="505" spans="7:14" ht="15.75" customHeight="1" x14ac:dyDescent="0.2">
      <c r="G505" s="24"/>
      <c r="N505" s="24"/>
    </row>
    <row r="506" spans="7:14" ht="15.75" customHeight="1" x14ac:dyDescent="0.2">
      <c r="G506" s="24"/>
      <c r="N506" s="24"/>
    </row>
    <row r="507" spans="7:14" ht="15.75" customHeight="1" x14ac:dyDescent="0.2">
      <c r="G507" s="24"/>
      <c r="N507" s="24"/>
    </row>
    <row r="508" spans="7:14" ht="15.75" customHeight="1" x14ac:dyDescent="0.2">
      <c r="G508" s="24"/>
      <c r="N508" s="24"/>
    </row>
    <row r="509" spans="7:14" ht="15.75" customHeight="1" x14ac:dyDescent="0.2">
      <c r="G509" s="24"/>
      <c r="N509" s="24"/>
    </row>
    <row r="510" spans="7:14" ht="15.75" customHeight="1" x14ac:dyDescent="0.2">
      <c r="G510" s="24"/>
      <c r="N510" s="24"/>
    </row>
    <row r="511" spans="7:14" ht="15.75" customHeight="1" x14ac:dyDescent="0.2">
      <c r="G511" s="24"/>
      <c r="N511" s="24"/>
    </row>
    <row r="512" spans="7:14" ht="15.75" customHeight="1" x14ac:dyDescent="0.2">
      <c r="G512" s="24"/>
      <c r="N512" s="24"/>
    </row>
    <row r="513" spans="7:14" ht="15.75" customHeight="1" x14ac:dyDescent="0.2">
      <c r="G513" s="24"/>
      <c r="N513" s="24"/>
    </row>
    <row r="514" spans="7:14" ht="15.75" customHeight="1" x14ac:dyDescent="0.2">
      <c r="G514" s="24"/>
      <c r="N514" s="24"/>
    </row>
    <row r="515" spans="7:14" ht="15.75" customHeight="1" x14ac:dyDescent="0.2">
      <c r="G515" s="24"/>
      <c r="N515" s="24"/>
    </row>
    <row r="516" spans="7:14" ht="15.75" customHeight="1" x14ac:dyDescent="0.2">
      <c r="G516" s="24"/>
      <c r="N516" s="24"/>
    </row>
    <row r="517" spans="7:14" ht="15.75" customHeight="1" x14ac:dyDescent="0.2">
      <c r="G517" s="24"/>
      <c r="N517" s="24"/>
    </row>
    <row r="518" spans="7:14" ht="15.75" customHeight="1" x14ac:dyDescent="0.2">
      <c r="G518" s="24"/>
      <c r="N518" s="24"/>
    </row>
    <row r="519" spans="7:14" ht="15.75" customHeight="1" x14ac:dyDescent="0.2">
      <c r="G519" s="24"/>
      <c r="N519" s="24"/>
    </row>
    <row r="520" spans="7:14" ht="15.75" customHeight="1" x14ac:dyDescent="0.2">
      <c r="G520" s="24"/>
      <c r="N520" s="24"/>
    </row>
    <row r="521" spans="7:14" ht="15.75" customHeight="1" x14ac:dyDescent="0.2">
      <c r="G521" s="24"/>
      <c r="N521" s="24"/>
    </row>
    <row r="522" spans="7:14" ht="15.75" customHeight="1" x14ac:dyDescent="0.2">
      <c r="G522" s="24"/>
      <c r="N522" s="24"/>
    </row>
    <row r="523" spans="7:14" ht="15.75" customHeight="1" x14ac:dyDescent="0.2">
      <c r="G523" s="24"/>
      <c r="N523" s="24"/>
    </row>
    <row r="524" spans="7:14" ht="15.75" customHeight="1" x14ac:dyDescent="0.2">
      <c r="G524" s="24"/>
      <c r="N524" s="24"/>
    </row>
    <row r="525" spans="7:14" ht="15.75" customHeight="1" x14ac:dyDescent="0.2">
      <c r="G525" s="24"/>
      <c r="N525" s="24"/>
    </row>
    <row r="526" spans="7:14" ht="15.75" customHeight="1" x14ac:dyDescent="0.2">
      <c r="G526" s="24"/>
      <c r="N526" s="24"/>
    </row>
    <row r="527" spans="7:14" ht="15.75" customHeight="1" x14ac:dyDescent="0.2">
      <c r="G527" s="24"/>
      <c r="N527" s="24"/>
    </row>
    <row r="528" spans="7:14" ht="15.75" customHeight="1" x14ac:dyDescent="0.2">
      <c r="G528" s="24"/>
      <c r="N528" s="24"/>
    </row>
    <row r="529" spans="7:14" ht="15.75" customHeight="1" x14ac:dyDescent="0.2">
      <c r="G529" s="24"/>
      <c r="N529" s="24"/>
    </row>
    <row r="530" spans="7:14" ht="15.75" customHeight="1" x14ac:dyDescent="0.2">
      <c r="G530" s="24"/>
      <c r="N530" s="24"/>
    </row>
    <row r="531" spans="7:14" ht="15.75" customHeight="1" x14ac:dyDescent="0.2">
      <c r="G531" s="24"/>
      <c r="N531" s="24"/>
    </row>
    <row r="532" spans="7:14" ht="15.75" customHeight="1" x14ac:dyDescent="0.2">
      <c r="G532" s="24"/>
      <c r="N532" s="24"/>
    </row>
    <row r="533" spans="7:14" ht="15.75" customHeight="1" x14ac:dyDescent="0.2">
      <c r="G533" s="24"/>
      <c r="N533" s="24"/>
    </row>
    <row r="534" spans="7:14" ht="15.75" customHeight="1" x14ac:dyDescent="0.2">
      <c r="G534" s="24"/>
      <c r="N534" s="24"/>
    </row>
    <row r="535" spans="7:14" ht="15.75" customHeight="1" x14ac:dyDescent="0.2">
      <c r="G535" s="24"/>
      <c r="N535" s="24"/>
    </row>
    <row r="536" spans="7:14" ht="15.75" customHeight="1" x14ac:dyDescent="0.2">
      <c r="G536" s="24"/>
      <c r="N536" s="24"/>
    </row>
    <row r="537" spans="7:14" ht="15.75" customHeight="1" x14ac:dyDescent="0.2">
      <c r="G537" s="24"/>
      <c r="N537" s="24"/>
    </row>
    <row r="538" spans="7:14" ht="15.75" customHeight="1" x14ac:dyDescent="0.2">
      <c r="G538" s="24"/>
      <c r="N538" s="24"/>
    </row>
    <row r="539" spans="7:14" ht="15.75" customHeight="1" x14ac:dyDescent="0.2">
      <c r="G539" s="24"/>
      <c r="N539" s="24"/>
    </row>
    <row r="540" spans="7:14" ht="15.75" customHeight="1" x14ac:dyDescent="0.2">
      <c r="G540" s="24"/>
      <c r="N540" s="24"/>
    </row>
    <row r="541" spans="7:14" ht="15.75" customHeight="1" x14ac:dyDescent="0.2">
      <c r="G541" s="24"/>
      <c r="N541" s="24"/>
    </row>
    <row r="542" spans="7:14" ht="15.75" customHeight="1" x14ac:dyDescent="0.2">
      <c r="G542" s="24"/>
      <c r="N542" s="24"/>
    </row>
    <row r="543" spans="7:14" ht="15.75" customHeight="1" x14ac:dyDescent="0.2">
      <c r="G543" s="24"/>
      <c r="N543" s="24"/>
    </row>
    <row r="544" spans="7:14" ht="15.75" customHeight="1" x14ac:dyDescent="0.2">
      <c r="G544" s="24"/>
      <c r="N544" s="24"/>
    </row>
    <row r="545" spans="7:14" ht="15.75" customHeight="1" x14ac:dyDescent="0.2">
      <c r="G545" s="24"/>
      <c r="N545" s="24"/>
    </row>
    <row r="546" spans="7:14" ht="15.75" customHeight="1" x14ac:dyDescent="0.2">
      <c r="G546" s="24"/>
      <c r="N546" s="24"/>
    </row>
    <row r="547" spans="7:14" ht="15.75" customHeight="1" x14ac:dyDescent="0.2">
      <c r="G547" s="24"/>
      <c r="N547" s="24"/>
    </row>
    <row r="548" spans="7:14" ht="15.75" customHeight="1" x14ac:dyDescent="0.2">
      <c r="G548" s="24"/>
      <c r="N548" s="24"/>
    </row>
    <row r="549" spans="7:14" ht="15.75" customHeight="1" x14ac:dyDescent="0.2">
      <c r="G549" s="24"/>
      <c r="N549" s="24"/>
    </row>
    <row r="550" spans="7:14" ht="15.75" customHeight="1" x14ac:dyDescent="0.2">
      <c r="G550" s="24"/>
      <c r="N550" s="24"/>
    </row>
    <row r="551" spans="7:14" ht="15.75" customHeight="1" x14ac:dyDescent="0.2">
      <c r="G551" s="24"/>
      <c r="N551" s="24"/>
    </row>
    <row r="552" spans="7:14" ht="15.75" customHeight="1" x14ac:dyDescent="0.2">
      <c r="G552" s="24"/>
      <c r="N552" s="24"/>
    </row>
    <row r="553" spans="7:14" ht="15.75" customHeight="1" x14ac:dyDescent="0.2">
      <c r="G553" s="24"/>
      <c r="N553" s="24"/>
    </row>
    <row r="554" spans="7:14" ht="15.75" customHeight="1" x14ac:dyDescent="0.2">
      <c r="G554" s="24"/>
      <c r="N554" s="24"/>
    </row>
    <row r="555" spans="7:14" ht="15.75" customHeight="1" x14ac:dyDescent="0.2">
      <c r="G555" s="24"/>
      <c r="N555" s="24"/>
    </row>
    <row r="556" spans="7:14" ht="15.75" customHeight="1" x14ac:dyDescent="0.2">
      <c r="G556" s="24"/>
      <c r="N556" s="24"/>
    </row>
    <row r="557" spans="7:14" ht="15.75" customHeight="1" x14ac:dyDescent="0.2">
      <c r="G557" s="24"/>
      <c r="N557" s="24"/>
    </row>
    <row r="558" spans="7:14" ht="15.75" customHeight="1" x14ac:dyDescent="0.2">
      <c r="G558" s="24"/>
      <c r="N558" s="24"/>
    </row>
    <row r="559" spans="7:14" ht="15.75" customHeight="1" x14ac:dyDescent="0.2">
      <c r="G559" s="24"/>
      <c r="N559" s="24"/>
    </row>
    <row r="560" spans="7:14" ht="15.75" customHeight="1" x14ac:dyDescent="0.2">
      <c r="G560" s="24"/>
      <c r="N560" s="24"/>
    </row>
    <row r="561" spans="7:14" ht="15.75" customHeight="1" x14ac:dyDescent="0.2">
      <c r="G561" s="24"/>
      <c r="N561" s="24"/>
    </row>
    <row r="562" spans="7:14" ht="15.75" customHeight="1" x14ac:dyDescent="0.2">
      <c r="G562" s="24"/>
      <c r="N562" s="24"/>
    </row>
    <row r="563" spans="7:14" ht="15.75" customHeight="1" x14ac:dyDescent="0.2">
      <c r="G563" s="24"/>
      <c r="N563" s="24"/>
    </row>
    <row r="564" spans="7:14" ht="15.75" customHeight="1" x14ac:dyDescent="0.2">
      <c r="G564" s="24"/>
      <c r="N564" s="24"/>
    </row>
    <row r="565" spans="7:14" ht="15.75" customHeight="1" x14ac:dyDescent="0.2">
      <c r="G565" s="24"/>
      <c r="N565" s="24"/>
    </row>
    <row r="566" spans="7:14" ht="15.75" customHeight="1" x14ac:dyDescent="0.2">
      <c r="G566" s="24"/>
      <c r="N566" s="24"/>
    </row>
    <row r="567" spans="7:14" ht="15.75" customHeight="1" x14ac:dyDescent="0.2">
      <c r="G567" s="24"/>
      <c r="N567" s="24"/>
    </row>
    <row r="568" spans="7:14" ht="15.75" customHeight="1" x14ac:dyDescent="0.2">
      <c r="G568" s="24"/>
      <c r="N568" s="24"/>
    </row>
    <row r="569" spans="7:14" ht="15.75" customHeight="1" x14ac:dyDescent="0.2">
      <c r="G569" s="24"/>
      <c r="N569" s="24"/>
    </row>
    <row r="570" spans="7:14" ht="15.75" customHeight="1" x14ac:dyDescent="0.2">
      <c r="G570" s="24"/>
      <c r="N570" s="24"/>
    </row>
    <row r="571" spans="7:14" ht="15.75" customHeight="1" x14ac:dyDescent="0.2">
      <c r="G571" s="24"/>
      <c r="N571" s="24"/>
    </row>
    <row r="572" spans="7:14" ht="15.75" customHeight="1" x14ac:dyDescent="0.2">
      <c r="G572" s="24"/>
      <c r="N572" s="24"/>
    </row>
    <row r="573" spans="7:14" ht="15.75" customHeight="1" x14ac:dyDescent="0.2">
      <c r="G573" s="24"/>
      <c r="N573" s="24"/>
    </row>
    <row r="574" spans="7:14" ht="15.75" customHeight="1" x14ac:dyDescent="0.2">
      <c r="G574" s="24"/>
      <c r="N574" s="24"/>
    </row>
    <row r="575" spans="7:14" ht="15.75" customHeight="1" x14ac:dyDescent="0.2">
      <c r="G575" s="24"/>
      <c r="N575" s="24"/>
    </row>
    <row r="576" spans="7:14" ht="15.75" customHeight="1" x14ac:dyDescent="0.2">
      <c r="G576" s="24"/>
      <c r="N576" s="24"/>
    </row>
    <row r="577" spans="7:14" ht="15.75" customHeight="1" x14ac:dyDescent="0.2">
      <c r="G577" s="24"/>
      <c r="N577" s="24"/>
    </row>
    <row r="578" spans="7:14" ht="15.75" customHeight="1" x14ac:dyDescent="0.2">
      <c r="G578" s="24"/>
      <c r="N578" s="24"/>
    </row>
    <row r="579" spans="7:14" ht="15.75" customHeight="1" x14ac:dyDescent="0.2">
      <c r="G579" s="24"/>
      <c r="N579" s="24"/>
    </row>
    <row r="580" spans="7:14" ht="15.75" customHeight="1" x14ac:dyDescent="0.2">
      <c r="G580" s="24"/>
      <c r="N580" s="24"/>
    </row>
    <row r="581" spans="7:14" ht="15.75" customHeight="1" x14ac:dyDescent="0.2">
      <c r="G581" s="24"/>
      <c r="N581" s="24"/>
    </row>
    <row r="582" spans="7:14" ht="15.75" customHeight="1" x14ac:dyDescent="0.2">
      <c r="G582" s="24"/>
      <c r="N582" s="24"/>
    </row>
    <row r="583" spans="7:14" ht="15.75" customHeight="1" x14ac:dyDescent="0.2">
      <c r="G583" s="24"/>
      <c r="N583" s="24"/>
    </row>
    <row r="584" spans="7:14" ht="15.75" customHeight="1" x14ac:dyDescent="0.2">
      <c r="G584" s="24"/>
      <c r="N584" s="24"/>
    </row>
    <row r="585" spans="7:14" ht="15.75" customHeight="1" x14ac:dyDescent="0.2">
      <c r="G585" s="24"/>
      <c r="N585" s="24"/>
    </row>
    <row r="586" spans="7:14" ht="15.75" customHeight="1" x14ac:dyDescent="0.2">
      <c r="G586" s="24"/>
      <c r="N586" s="24"/>
    </row>
    <row r="587" spans="7:14" ht="15.75" customHeight="1" x14ac:dyDescent="0.2">
      <c r="G587" s="24"/>
      <c r="N587" s="24"/>
    </row>
    <row r="588" spans="7:14" ht="15.75" customHeight="1" x14ac:dyDescent="0.2">
      <c r="G588" s="24"/>
      <c r="N588" s="24"/>
    </row>
    <row r="589" spans="7:14" ht="15.75" customHeight="1" x14ac:dyDescent="0.2">
      <c r="G589" s="24"/>
      <c r="N589" s="24"/>
    </row>
    <row r="590" spans="7:14" ht="15.75" customHeight="1" x14ac:dyDescent="0.2">
      <c r="G590" s="24"/>
      <c r="N590" s="24"/>
    </row>
    <row r="591" spans="7:14" ht="15.75" customHeight="1" x14ac:dyDescent="0.2">
      <c r="G591" s="24"/>
      <c r="N591" s="24"/>
    </row>
    <row r="592" spans="7:14" ht="15.75" customHeight="1" x14ac:dyDescent="0.2">
      <c r="G592" s="24"/>
      <c r="N592" s="24"/>
    </row>
    <row r="593" spans="7:14" ht="15.75" customHeight="1" x14ac:dyDescent="0.2">
      <c r="G593" s="24"/>
      <c r="N593" s="24"/>
    </row>
    <row r="594" spans="7:14" ht="15.75" customHeight="1" x14ac:dyDescent="0.2">
      <c r="G594" s="24"/>
      <c r="N594" s="24"/>
    </row>
    <row r="595" spans="7:14" ht="15.75" customHeight="1" x14ac:dyDescent="0.2">
      <c r="G595" s="24"/>
      <c r="N595" s="24"/>
    </row>
    <row r="596" spans="7:14" ht="15.75" customHeight="1" x14ac:dyDescent="0.2">
      <c r="G596" s="24"/>
      <c r="N596" s="24"/>
    </row>
    <row r="597" spans="7:14" ht="15.75" customHeight="1" x14ac:dyDescent="0.2">
      <c r="G597" s="24"/>
      <c r="N597" s="24"/>
    </row>
    <row r="598" spans="7:14" ht="15.75" customHeight="1" x14ac:dyDescent="0.2">
      <c r="G598" s="24"/>
      <c r="N598" s="24"/>
    </row>
    <row r="599" spans="7:14" ht="15.75" customHeight="1" x14ac:dyDescent="0.2">
      <c r="G599" s="24"/>
      <c r="N599" s="24"/>
    </row>
    <row r="600" spans="7:14" ht="15.75" customHeight="1" x14ac:dyDescent="0.2">
      <c r="G600" s="24"/>
      <c r="N600" s="24"/>
    </row>
    <row r="601" spans="7:14" ht="15.75" customHeight="1" x14ac:dyDescent="0.2">
      <c r="G601" s="24"/>
      <c r="N601" s="24"/>
    </row>
    <row r="602" spans="7:14" ht="15.75" customHeight="1" x14ac:dyDescent="0.2">
      <c r="G602" s="24"/>
      <c r="N602" s="24"/>
    </row>
    <row r="603" spans="7:14" ht="15.75" customHeight="1" x14ac:dyDescent="0.2">
      <c r="G603" s="24"/>
      <c r="N603" s="24"/>
    </row>
    <row r="604" spans="7:14" ht="15.75" customHeight="1" x14ac:dyDescent="0.2">
      <c r="G604" s="24"/>
      <c r="N604" s="24"/>
    </row>
    <row r="605" spans="7:14" ht="15.75" customHeight="1" x14ac:dyDescent="0.2">
      <c r="G605" s="24"/>
      <c r="N605" s="24"/>
    </row>
    <row r="606" spans="7:14" ht="15.75" customHeight="1" x14ac:dyDescent="0.2">
      <c r="G606" s="24"/>
      <c r="N606" s="24"/>
    </row>
    <row r="607" spans="7:14" ht="15.75" customHeight="1" x14ac:dyDescent="0.2">
      <c r="G607" s="24"/>
      <c r="N607" s="24"/>
    </row>
    <row r="608" spans="7:14" ht="15.75" customHeight="1" x14ac:dyDescent="0.2">
      <c r="G608" s="24"/>
      <c r="N608" s="24"/>
    </row>
    <row r="609" spans="7:14" ht="15.75" customHeight="1" x14ac:dyDescent="0.2">
      <c r="G609" s="24"/>
      <c r="N609" s="24"/>
    </row>
    <row r="610" spans="7:14" ht="15.75" customHeight="1" x14ac:dyDescent="0.2">
      <c r="G610" s="24"/>
      <c r="N610" s="24"/>
    </row>
    <row r="611" spans="7:14" ht="15.75" customHeight="1" x14ac:dyDescent="0.2">
      <c r="G611" s="24"/>
      <c r="N611" s="24"/>
    </row>
    <row r="612" spans="7:14" ht="15.75" customHeight="1" x14ac:dyDescent="0.2">
      <c r="G612" s="24"/>
      <c r="N612" s="24"/>
    </row>
    <row r="613" spans="7:14" ht="15.75" customHeight="1" x14ac:dyDescent="0.2">
      <c r="G613" s="24"/>
      <c r="N613" s="24"/>
    </row>
    <row r="614" spans="7:14" ht="15.75" customHeight="1" x14ac:dyDescent="0.2">
      <c r="G614" s="24"/>
      <c r="N614" s="24"/>
    </row>
    <row r="615" spans="7:14" ht="15.75" customHeight="1" x14ac:dyDescent="0.2">
      <c r="G615" s="24"/>
      <c r="N615" s="24"/>
    </row>
    <row r="616" spans="7:14" ht="15.75" customHeight="1" x14ac:dyDescent="0.2">
      <c r="G616" s="24"/>
      <c r="N616" s="24"/>
    </row>
    <row r="617" spans="7:14" ht="15.75" customHeight="1" x14ac:dyDescent="0.2">
      <c r="G617" s="24"/>
      <c r="N617" s="24"/>
    </row>
    <row r="618" spans="7:14" ht="15.75" customHeight="1" x14ac:dyDescent="0.2">
      <c r="G618" s="24"/>
      <c r="N618" s="24"/>
    </row>
    <row r="619" spans="7:14" ht="15.75" customHeight="1" x14ac:dyDescent="0.2">
      <c r="G619" s="24"/>
      <c r="N619" s="24"/>
    </row>
    <row r="620" spans="7:14" ht="15.75" customHeight="1" x14ac:dyDescent="0.2">
      <c r="G620" s="24"/>
      <c r="N620" s="24"/>
    </row>
    <row r="621" spans="7:14" ht="15.75" customHeight="1" x14ac:dyDescent="0.2">
      <c r="G621" s="24"/>
      <c r="N621" s="24"/>
    </row>
    <row r="622" spans="7:14" ht="15.75" customHeight="1" x14ac:dyDescent="0.2">
      <c r="G622" s="24"/>
      <c r="N622" s="24"/>
    </row>
    <row r="623" spans="7:14" ht="15.75" customHeight="1" x14ac:dyDescent="0.2">
      <c r="G623" s="24"/>
      <c r="N623" s="24"/>
    </row>
    <row r="624" spans="7:14" ht="15.75" customHeight="1" x14ac:dyDescent="0.2">
      <c r="G624" s="24"/>
      <c r="N624" s="24"/>
    </row>
    <row r="625" spans="7:14" ht="15.75" customHeight="1" x14ac:dyDescent="0.2">
      <c r="G625" s="24"/>
      <c r="N625" s="24"/>
    </row>
    <row r="626" spans="7:14" ht="15.75" customHeight="1" x14ac:dyDescent="0.2">
      <c r="G626" s="24"/>
      <c r="N626" s="24"/>
    </row>
    <row r="627" spans="7:14" ht="15.75" customHeight="1" x14ac:dyDescent="0.2">
      <c r="G627" s="24"/>
      <c r="N627" s="24"/>
    </row>
    <row r="628" spans="7:14" ht="15.75" customHeight="1" x14ac:dyDescent="0.2">
      <c r="G628" s="24"/>
      <c r="N628" s="24"/>
    </row>
    <row r="629" spans="7:14" ht="15.75" customHeight="1" x14ac:dyDescent="0.2">
      <c r="G629" s="24"/>
      <c r="N629" s="24"/>
    </row>
    <row r="630" spans="7:14" ht="15.75" customHeight="1" x14ac:dyDescent="0.2">
      <c r="G630" s="24"/>
      <c r="N630" s="24"/>
    </row>
    <row r="631" spans="7:14" ht="15.75" customHeight="1" x14ac:dyDescent="0.2">
      <c r="G631" s="24"/>
      <c r="N631" s="24"/>
    </row>
    <row r="632" spans="7:14" ht="15.75" customHeight="1" x14ac:dyDescent="0.2">
      <c r="G632" s="24"/>
      <c r="N632" s="24"/>
    </row>
    <row r="633" spans="7:14" ht="15.75" customHeight="1" x14ac:dyDescent="0.2">
      <c r="G633" s="24"/>
      <c r="N633" s="24"/>
    </row>
    <row r="634" spans="7:14" ht="15.75" customHeight="1" x14ac:dyDescent="0.2">
      <c r="G634" s="24"/>
      <c r="N634" s="24"/>
    </row>
    <row r="635" spans="7:14" ht="15.75" customHeight="1" x14ac:dyDescent="0.2">
      <c r="G635" s="24"/>
      <c r="N635" s="24"/>
    </row>
    <row r="636" spans="7:14" ht="15.75" customHeight="1" x14ac:dyDescent="0.2">
      <c r="G636" s="24"/>
      <c r="N636" s="24"/>
    </row>
    <row r="637" spans="7:14" ht="15.75" customHeight="1" x14ac:dyDescent="0.2">
      <c r="G637" s="24"/>
      <c r="N637" s="24"/>
    </row>
    <row r="638" spans="7:14" ht="15.75" customHeight="1" x14ac:dyDescent="0.2">
      <c r="G638" s="24"/>
      <c r="N638" s="24"/>
    </row>
    <row r="639" spans="7:14" ht="15.75" customHeight="1" x14ac:dyDescent="0.2">
      <c r="G639" s="24"/>
      <c r="N639" s="24"/>
    </row>
    <row r="640" spans="7:14" ht="15.75" customHeight="1" x14ac:dyDescent="0.2">
      <c r="G640" s="24"/>
      <c r="N640" s="24"/>
    </row>
    <row r="641" spans="7:14" ht="15.75" customHeight="1" x14ac:dyDescent="0.2">
      <c r="G641" s="24"/>
      <c r="N641" s="24"/>
    </row>
    <row r="642" spans="7:14" ht="15.75" customHeight="1" x14ac:dyDescent="0.2">
      <c r="G642" s="24"/>
      <c r="N642" s="24"/>
    </row>
    <row r="643" spans="7:14" ht="15.75" customHeight="1" x14ac:dyDescent="0.2">
      <c r="G643" s="24"/>
      <c r="N643" s="24"/>
    </row>
    <row r="644" spans="7:14" ht="15.75" customHeight="1" x14ac:dyDescent="0.2">
      <c r="G644" s="24"/>
      <c r="N644" s="24"/>
    </row>
    <row r="645" spans="7:14" ht="15.75" customHeight="1" x14ac:dyDescent="0.2">
      <c r="G645" s="24"/>
      <c r="N645" s="24"/>
    </row>
    <row r="646" spans="7:14" ht="15.75" customHeight="1" x14ac:dyDescent="0.2">
      <c r="G646" s="24"/>
      <c r="N646" s="24"/>
    </row>
    <row r="647" spans="7:14" ht="15.75" customHeight="1" x14ac:dyDescent="0.2">
      <c r="G647" s="24"/>
      <c r="N647" s="24"/>
    </row>
    <row r="648" spans="7:14" ht="15.75" customHeight="1" x14ac:dyDescent="0.2">
      <c r="G648" s="24"/>
      <c r="N648" s="24"/>
    </row>
    <row r="649" spans="7:14" ht="15.75" customHeight="1" x14ac:dyDescent="0.2">
      <c r="G649" s="24"/>
      <c r="N649" s="24"/>
    </row>
    <row r="650" spans="7:14" ht="15.75" customHeight="1" x14ac:dyDescent="0.2">
      <c r="G650" s="24"/>
      <c r="N650" s="24"/>
    </row>
    <row r="651" spans="7:14" ht="15.75" customHeight="1" x14ac:dyDescent="0.2">
      <c r="G651" s="24"/>
      <c r="N651" s="24"/>
    </row>
    <row r="652" spans="7:14" ht="15.75" customHeight="1" x14ac:dyDescent="0.2">
      <c r="G652" s="24"/>
      <c r="N652" s="24"/>
    </row>
    <row r="653" spans="7:14" ht="15.75" customHeight="1" x14ac:dyDescent="0.2">
      <c r="G653" s="24"/>
      <c r="N653" s="24"/>
    </row>
    <row r="654" spans="7:14" ht="15.75" customHeight="1" x14ac:dyDescent="0.2">
      <c r="G654" s="24"/>
      <c r="N654" s="24"/>
    </row>
    <row r="655" spans="7:14" ht="15.75" customHeight="1" x14ac:dyDescent="0.2">
      <c r="G655" s="24"/>
      <c r="N655" s="24"/>
    </row>
    <row r="656" spans="7:14" ht="15.75" customHeight="1" x14ac:dyDescent="0.2">
      <c r="G656" s="24"/>
      <c r="N656" s="24"/>
    </row>
    <row r="657" spans="7:14" ht="15.75" customHeight="1" x14ac:dyDescent="0.2">
      <c r="G657" s="24"/>
      <c r="N657" s="24"/>
    </row>
    <row r="658" spans="7:14" ht="15.75" customHeight="1" x14ac:dyDescent="0.2">
      <c r="G658" s="24"/>
      <c r="N658" s="24"/>
    </row>
    <row r="659" spans="7:14" ht="15.75" customHeight="1" x14ac:dyDescent="0.2">
      <c r="G659" s="24"/>
      <c r="N659" s="24"/>
    </row>
    <row r="660" spans="7:14" ht="15.75" customHeight="1" x14ac:dyDescent="0.2">
      <c r="G660" s="24"/>
      <c r="N660" s="24"/>
    </row>
    <row r="661" spans="7:14" ht="15.75" customHeight="1" x14ac:dyDescent="0.2">
      <c r="G661" s="24"/>
      <c r="N661" s="24"/>
    </row>
    <row r="662" spans="7:14" ht="15.75" customHeight="1" x14ac:dyDescent="0.2">
      <c r="G662" s="24"/>
      <c r="N662" s="24"/>
    </row>
    <row r="663" spans="7:14" ht="15.75" customHeight="1" x14ac:dyDescent="0.2">
      <c r="G663" s="24"/>
      <c r="N663" s="24"/>
    </row>
    <row r="664" spans="7:14" ht="15.75" customHeight="1" x14ac:dyDescent="0.2">
      <c r="G664" s="24"/>
      <c r="N664" s="24"/>
    </row>
    <row r="665" spans="7:14" ht="15.75" customHeight="1" x14ac:dyDescent="0.2">
      <c r="G665" s="24"/>
      <c r="N665" s="24"/>
    </row>
    <row r="666" spans="7:14" ht="15.75" customHeight="1" x14ac:dyDescent="0.2">
      <c r="G666" s="24"/>
      <c r="N666" s="24"/>
    </row>
    <row r="667" spans="7:14" ht="15.75" customHeight="1" x14ac:dyDescent="0.2">
      <c r="G667" s="24"/>
      <c r="N667" s="24"/>
    </row>
    <row r="668" spans="7:14" ht="15.75" customHeight="1" x14ac:dyDescent="0.2">
      <c r="G668" s="24"/>
      <c r="N668" s="24"/>
    </row>
    <row r="669" spans="7:14" ht="15.75" customHeight="1" x14ac:dyDescent="0.2">
      <c r="G669" s="24"/>
      <c r="N669" s="24"/>
    </row>
    <row r="670" spans="7:14" ht="15.75" customHeight="1" x14ac:dyDescent="0.2">
      <c r="G670" s="24"/>
      <c r="N670" s="24"/>
    </row>
    <row r="671" spans="7:14" ht="15.75" customHeight="1" x14ac:dyDescent="0.2">
      <c r="G671" s="24"/>
      <c r="N671" s="24"/>
    </row>
    <row r="672" spans="7:14" ht="15.75" customHeight="1" x14ac:dyDescent="0.2">
      <c r="G672" s="24"/>
      <c r="N672" s="24"/>
    </row>
    <row r="673" spans="7:14" ht="15.75" customHeight="1" x14ac:dyDescent="0.2">
      <c r="G673" s="24"/>
      <c r="N673" s="24"/>
    </row>
    <row r="674" spans="7:14" ht="15.75" customHeight="1" x14ac:dyDescent="0.2">
      <c r="G674" s="24"/>
      <c r="N674" s="24"/>
    </row>
    <row r="675" spans="7:14" ht="15.75" customHeight="1" x14ac:dyDescent="0.2">
      <c r="G675" s="24"/>
      <c r="N675" s="24"/>
    </row>
    <row r="676" spans="7:14" ht="15.75" customHeight="1" x14ac:dyDescent="0.2">
      <c r="G676" s="24"/>
      <c r="N676" s="24"/>
    </row>
    <row r="677" spans="7:14" ht="15.75" customHeight="1" x14ac:dyDescent="0.2">
      <c r="G677" s="24"/>
      <c r="N677" s="24"/>
    </row>
    <row r="678" spans="7:14" ht="15.75" customHeight="1" x14ac:dyDescent="0.2">
      <c r="G678" s="24"/>
      <c r="N678" s="24"/>
    </row>
    <row r="679" spans="7:14" ht="15.75" customHeight="1" x14ac:dyDescent="0.2">
      <c r="G679" s="24"/>
      <c r="N679" s="24"/>
    </row>
    <row r="680" spans="7:14" ht="15.75" customHeight="1" x14ac:dyDescent="0.2">
      <c r="G680" s="24"/>
      <c r="N680" s="24"/>
    </row>
    <row r="681" spans="7:14" ht="15.75" customHeight="1" x14ac:dyDescent="0.2">
      <c r="G681" s="24"/>
      <c r="N681" s="24"/>
    </row>
    <row r="682" spans="7:14" ht="15.75" customHeight="1" x14ac:dyDescent="0.2">
      <c r="G682" s="24"/>
      <c r="N682" s="24"/>
    </row>
    <row r="683" spans="7:14" ht="15.75" customHeight="1" x14ac:dyDescent="0.2">
      <c r="G683" s="24"/>
      <c r="N683" s="24"/>
    </row>
    <row r="684" spans="7:14" ht="15.75" customHeight="1" x14ac:dyDescent="0.2">
      <c r="G684" s="24"/>
      <c r="N684" s="24"/>
    </row>
    <row r="685" spans="7:14" ht="15.75" customHeight="1" x14ac:dyDescent="0.2">
      <c r="G685" s="24"/>
      <c r="N685" s="24"/>
    </row>
    <row r="686" spans="7:14" ht="15.75" customHeight="1" x14ac:dyDescent="0.2">
      <c r="G686" s="24"/>
      <c r="N686" s="24"/>
    </row>
    <row r="687" spans="7:14" ht="15.75" customHeight="1" x14ac:dyDescent="0.2">
      <c r="G687" s="24"/>
      <c r="N687" s="24"/>
    </row>
    <row r="688" spans="7:14" ht="15.75" customHeight="1" x14ac:dyDescent="0.2">
      <c r="G688" s="24"/>
      <c r="N688" s="24"/>
    </row>
    <row r="689" spans="7:14" ht="15.75" customHeight="1" x14ac:dyDescent="0.2">
      <c r="G689" s="24"/>
      <c r="N689" s="24"/>
    </row>
    <row r="690" spans="7:14" ht="15.75" customHeight="1" x14ac:dyDescent="0.2">
      <c r="G690" s="24"/>
      <c r="N690" s="24"/>
    </row>
    <row r="691" spans="7:14" ht="15.75" customHeight="1" x14ac:dyDescent="0.2">
      <c r="G691" s="24"/>
      <c r="N691" s="24"/>
    </row>
    <row r="692" spans="7:14" ht="15.75" customHeight="1" x14ac:dyDescent="0.2">
      <c r="G692" s="24"/>
      <c r="N692" s="24"/>
    </row>
    <row r="693" spans="7:14" ht="15.75" customHeight="1" x14ac:dyDescent="0.2">
      <c r="G693" s="24"/>
      <c r="N693" s="24"/>
    </row>
    <row r="694" spans="7:14" ht="15.75" customHeight="1" x14ac:dyDescent="0.2">
      <c r="G694" s="24"/>
      <c r="N694" s="24"/>
    </row>
    <row r="695" spans="7:14" ht="15.75" customHeight="1" x14ac:dyDescent="0.2">
      <c r="G695" s="24"/>
      <c r="N695" s="24"/>
    </row>
    <row r="696" spans="7:14" ht="15.75" customHeight="1" x14ac:dyDescent="0.2">
      <c r="G696" s="24"/>
      <c r="N696" s="24"/>
    </row>
    <row r="697" spans="7:14" ht="15.75" customHeight="1" x14ac:dyDescent="0.2">
      <c r="G697" s="24"/>
      <c r="N697" s="24"/>
    </row>
    <row r="698" spans="7:14" ht="15.75" customHeight="1" x14ac:dyDescent="0.2">
      <c r="G698" s="24"/>
      <c r="N698" s="24"/>
    </row>
    <row r="699" spans="7:14" ht="15.75" customHeight="1" x14ac:dyDescent="0.2">
      <c r="G699" s="24"/>
      <c r="N699" s="24"/>
    </row>
    <row r="700" spans="7:14" ht="15.75" customHeight="1" x14ac:dyDescent="0.2">
      <c r="G700" s="24"/>
      <c r="N700" s="24"/>
    </row>
    <row r="701" spans="7:14" ht="15.75" customHeight="1" x14ac:dyDescent="0.2">
      <c r="G701" s="24"/>
      <c r="N701" s="24"/>
    </row>
    <row r="702" spans="7:14" ht="15.75" customHeight="1" x14ac:dyDescent="0.2">
      <c r="G702" s="24"/>
      <c r="N702" s="24"/>
    </row>
    <row r="703" spans="7:14" ht="15.75" customHeight="1" x14ac:dyDescent="0.2">
      <c r="G703" s="24"/>
      <c r="N703" s="24"/>
    </row>
    <row r="704" spans="7:14" ht="15.75" customHeight="1" x14ac:dyDescent="0.2">
      <c r="G704" s="24"/>
      <c r="N704" s="24"/>
    </row>
    <row r="705" spans="7:14" ht="15.75" customHeight="1" x14ac:dyDescent="0.2">
      <c r="G705" s="24"/>
      <c r="N705" s="24"/>
    </row>
    <row r="706" spans="7:14" ht="15.75" customHeight="1" x14ac:dyDescent="0.2">
      <c r="G706" s="24"/>
      <c r="N706" s="24"/>
    </row>
    <row r="707" spans="7:14" ht="15.75" customHeight="1" x14ac:dyDescent="0.2">
      <c r="G707" s="24"/>
      <c r="N707" s="24"/>
    </row>
    <row r="708" spans="7:14" ht="15.75" customHeight="1" x14ac:dyDescent="0.2">
      <c r="G708" s="24"/>
      <c r="N708" s="24"/>
    </row>
    <row r="709" spans="7:14" ht="15.75" customHeight="1" x14ac:dyDescent="0.2">
      <c r="G709" s="24"/>
      <c r="N709" s="24"/>
    </row>
    <row r="710" spans="7:14" ht="15.75" customHeight="1" x14ac:dyDescent="0.2">
      <c r="G710" s="24"/>
      <c r="N710" s="24"/>
    </row>
    <row r="711" spans="7:14" ht="15.75" customHeight="1" x14ac:dyDescent="0.2">
      <c r="G711" s="24"/>
      <c r="N711" s="24"/>
    </row>
    <row r="712" spans="7:14" ht="15.75" customHeight="1" x14ac:dyDescent="0.2">
      <c r="G712" s="24"/>
      <c r="N712" s="24"/>
    </row>
    <row r="713" spans="7:14" ht="15.75" customHeight="1" x14ac:dyDescent="0.2">
      <c r="G713" s="24"/>
      <c r="N713" s="24"/>
    </row>
    <row r="714" spans="7:14" ht="15.75" customHeight="1" x14ac:dyDescent="0.2">
      <c r="G714" s="24"/>
      <c r="N714" s="24"/>
    </row>
    <row r="715" spans="7:14" ht="15.75" customHeight="1" x14ac:dyDescent="0.2">
      <c r="G715" s="24"/>
      <c r="N715" s="24"/>
    </row>
    <row r="716" spans="7:14" ht="15.75" customHeight="1" x14ac:dyDescent="0.2">
      <c r="G716" s="24"/>
      <c r="N716" s="24"/>
    </row>
    <row r="717" spans="7:14" ht="15.75" customHeight="1" x14ac:dyDescent="0.2">
      <c r="G717" s="24"/>
      <c r="N717" s="24"/>
    </row>
    <row r="718" spans="7:14" ht="15.75" customHeight="1" x14ac:dyDescent="0.2">
      <c r="G718" s="24"/>
      <c r="N718" s="24"/>
    </row>
    <row r="719" spans="7:14" ht="15.75" customHeight="1" x14ac:dyDescent="0.2">
      <c r="G719" s="24"/>
      <c r="N719" s="24"/>
    </row>
    <row r="720" spans="7:14" ht="15.75" customHeight="1" x14ac:dyDescent="0.2">
      <c r="G720" s="24"/>
      <c r="N720" s="24"/>
    </row>
    <row r="721" spans="7:14" ht="15.75" customHeight="1" x14ac:dyDescent="0.2">
      <c r="G721" s="24"/>
      <c r="N721" s="24"/>
    </row>
    <row r="722" spans="7:14" ht="15.75" customHeight="1" x14ac:dyDescent="0.2">
      <c r="G722" s="24"/>
      <c r="N722" s="24"/>
    </row>
    <row r="723" spans="7:14" ht="15.75" customHeight="1" x14ac:dyDescent="0.2">
      <c r="G723" s="24"/>
      <c r="N723" s="24"/>
    </row>
    <row r="724" spans="7:14" ht="15.75" customHeight="1" x14ac:dyDescent="0.2">
      <c r="G724" s="24"/>
      <c r="N724" s="24"/>
    </row>
    <row r="725" spans="7:14" ht="15.75" customHeight="1" x14ac:dyDescent="0.2">
      <c r="G725" s="24"/>
      <c r="N725" s="24"/>
    </row>
    <row r="726" spans="7:14" ht="15.75" customHeight="1" x14ac:dyDescent="0.2">
      <c r="G726" s="24"/>
      <c r="N726" s="24"/>
    </row>
    <row r="727" spans="7:14" ht="15.75" customHeight="1" x14ac:dyDescent="0.2">
      <c r="G727" s="24"/>
      <c r="N727" s="24"/>
    </row>
    <row r="728" spans="7:14" ht="15.75" customHeight="1" x14ac:dyDescent="0.2">
      <c r="G728" s="24"/>
      <c r="N728" s="24"/>
    </row>
    <row r="729" spans="7:14" ht="15.75" customHeight="1" x14ac:dyDescent="0.2">
      <c r="G729" s="24"/>
      <c r="N729" s="24"/>
    </row>
    <row r="730" spans="7:14" ht="15.75" customHeight="1" x14ac:dyDescent="0.2">
      <c r="G730" s="24"/>
      <c r="N730" s="24"/>
    </row>
    <row r="731" spans="7:14" ht="15.75" customHeight="1" x14ac:dyDescent="0.2">
      <c r="G731" s="24"/>
      <c r="N731" s="24"/>
    </row>
    <row r="732" spans="7:14" ht="15.75" customHeight="1" x14ac:dyDescent="0.2">
      <c r="G732" s="24"/>
      <c r="N732" s="24"/>
    </row>
    <row r="733" spans="7:14" ht="15.75" customHeight="1" x14ac:dyDescent="0.2">
      <c r="G733" s="24"/>
      <c r="N733" s="24"/>
    </row>
    <row r="734" spans="7:14" ht="15.75" customHeight="1" x14ac:dyDescent="0.2">
      <c r="G734" s="24"/>
      <c r="N734" s="24"/>
    </row>
    <row r="735" spans="7:14" ht="15.75" customHeight="1" x14ac:dyDescent="0.2">
      <c r="G735" s="24"/>
      <c r="N735" s="24"/>
    </row>
    <row r="736" spans="7:14" ht="15.75" customHeight="1" x14ac:dyDescent="0.2">
      <c r="G736" s="24"/>
      <c r="N736" s="24"/>
    </row>
    <row r="737" spans="7:14" ht="15.75" customHeight="1" x14ac:dyDescent="0.2">
      <c r="G737" s="24"/>
      <c r="N737" s="24"/>
    </row>
    <row r="738" spans="7:14" ht="15.75" customHeight="1" x14ac:dyDescent="0.2">
      <c r="G738" s="24"/>
      <c r="N738" s="24"/>
    </row>
    <row r="739" spans="7:14" ht="15.75" customHeight="1" x14ac:dyDescent="0.2">
      <c r="G739" s="24"/>
      <c r="N739" s="24"/>
    </row>
    <row r="740" spans="7:14" ht="15.75" customHeight="1" x14ac:dyDescent="0.2">
      <c r="G740" s="24"/>
      <c r="N740" s="24"/>
    </row>
    <row r="741" spans="7:14" ht="15.75" customHeight="1" x14ac:dyDescent="0.2">
      <c r="G741" s="24"/>
      <c r="N741" s="24"/>
    </row>
    <row r="742" spans="7:14" ht="15.75" customHeight="1" x14ac:dyDescent="0.2">
      <c r="G742" s="24"/>
      <c r="N742" s="24"/>
    </row>
    <row r="743" spans="7:14" ht="15.75" customHeight="1" x14ac:dyDescent="0.2">
      <c r="G743" s="24"/>
      <c r="N743" s="24"/>
    </row>
    <row r="744" spans="7:14" ht="15.75" customHeight="1" x14ac:dyDescent="0.2">
      <c r="G744" s="24"/>
      <c r="N744" s="24"/>
    </row>
    <row r="745" spans="7:14" ht="15.75" customHeight="1" x14ac:dyDescent="0.2">
      <c r="G745" s="24"/>
      <c r="N745" s="24"/>
    </row>
    <row r="746" spans="7:14" ht="15.75" customHeight="1" x14ac:dyDescent="0.2">
      <c r="G746" s="24"/>
      <c r="N746" s="24"/>
    </row>
    <row r="747" spans="7:14" ht="15.75" customHeight="1" x14ac:dyDescent="0.2">
      <c r="G747" s="24"/>
      <c r="N747" s="24"/>
    </row>
    <row r="748" spans="7:14" ht="15.75" customHeight="1" x14ac:dyDescent="0.2">
      <c r="G748" s="24"/>
      <c r="N748" s="24"/>
    </row>
    <row r="749" spans="7:14" ht="15.75" customHeight="1" x14ac:dyDescent="0.2">
      <c r="G749" s="24"/>
      <c r="N749" s="24"/>
    </row>
    <row r="750" spans="7:14" ht="15.75" customHeight="1" x14ac:dyDescent="0.2">
      <c r="G750" s="24"/>
      <c r="N750" s="24"/>
    </row>
    <row r="751" spans="7:14" ht="15.75" customHeight="1" x14ac:dyDescent="0.2">
      <c r="G751" s="24"/>
      <c r="N751" s="24"/>
    </row>
    <row r="752" spans="7:14" ht="15.75" customHeight="1" x14ac:dyDescent="0.2">
      <c r="G752" s="24"/>
      <c r="N752" s="24"/>
    </row>
    <row r="753" spans="7:14" ht="15.75" customHeight="1" x14ac:dyDescent="0.2">
      <c r="G753" s="24"/>
      <c r="N753" s="24"/>
    </row>
    <row r="754" spans="7:14" ht="15.75" customHeight="1" x14ac:dyDescent="0.2">
      <c r="G754" s="24"/>
      <c r="N754" s="24"/>
    </row>
    <row r="755" spans="7:14" ht="15.75" customHeight="1" x14ac:dyDescent="0.2">
      <c r="G755" s="24"/>
      <c r="N755" s="24"/>
    </row>
    <row r="756" spans="7:14" ht="15.75" customHeight="1" x14ac:dyDescent="0.2">
      <c r="G756" s="24"/>
      <c r="N756" s="24"/>
    </row>
    <row r="757" spans="7:14" ht="15.75" customHeight="1" x14ac:dyDescent="0.2">
      <c r="G757" s="24"/>
      <c r="N757" s="24"/>
    </row>
    <row r="758" spans="7:14" ht="15.75" customHeight="1" x14ac:dyDescent="0.2">
      <c r="G758" s="24"/>
      <c r="N758" s="24"/>
    </row>
    <row r="759" spans="7:14" ht="15.75" customHeight="1" x14ac:dyDescent="0.2">
      <c r="G759" s="24"/>
      <c r="N759" s="24"/>
    </row>
    <row r="760" spans="7:14" ht="15.75" customHeight="1" x14ac:dyDescent="0.2">
      <c r="G760" s="24"/>
      <c r="N760" s="24"/>
    </row>
    <row r="761" spans="7:14" ht="15.75" customHeight="1" x14ac:dyDescent="0.2">
      <c r="G761" s="24"/>
      <c r="N761" s="24"/>
    </row>
    <row r="762" spans="7:14" ht="15.75" customHeight="1" x14ac:dyDescent="0.2">
      <c r="G762" s="24"/>
      <c r="N762" s="24"/>
    </row>
    <row r="763" spans="7:14" ht="15.75" customHeight="1" x14ac:dyDescent="0.2">
      <c r="G763" s="24"/>
      <c r="N763" s="24"/>
    </row>
    <row r="764" spans="7:14" ht="15.75" customHeight="1" x14ac:dyDescent="0.2">
      <c r="G764" s="24"/>
      <c r="N764" s="24"/>
    </row>
    <row r="765" spans="7:14" ht="15.75" customHeight="1" x14ac:dyDescent="0.2">
      <c r="G765" s="24"/>
      <c r="N765" s="24"/>
    </row>
    <row r="766" spans="7:14" ht="15.75" customHeight="1" x14ac:dyDescent="0.2">
      <c r="G766" s="24"/>
      <c r="N766" s="24"/>
    </row>
    <row r="767" spans="7:14" ht="15.75" customHeight="1" x14ac:dyDescent="0.2">
      <c r="G767" s="24"/>
      <c r="N767" s="24"/>
    </row>
    <row r="768" spans="7:14" ht="15.75" customHeight="1" x14ac:dyDescent="0.2">
      <c r="G768" s="24"/>
      <c r="N768" s="24"/>
    </row>
    <row r="769" spans="7:14" ht="15.75" customHeight="1" x14ac:dyDescent="0.2">
      <c r="G769" s="24"/>
      <c r="N769" s="24"/>
    </row>
    <row r="770" spans="7:14" ht="15.75" customHeight="1" x14ac:dyDescent="0.2">
      <c r="G770" s="24"/>
      <c r="N770" s="24"/>
    </row>
    <row r="771" spans="7:14" ht="15.75" customHeight="1" x14ac:dyDescent="0.2">
      <c r="G771" s="24"/>
      <c r="N771" s="24"/>
    </row>
    <row r="772" spans="7:14" ht="15.75" customHeight="1" x14ac:dyDescent="0.2">
      <c r="G772" s="24"/>
      <c r="N772" s="24"/>
    </row>
    <row r="773" spans="7:14" ht="15.75" customHeight="1" x14ac:dyDescent="0.2">
      <c r="G773" s="24"/>
      <c r="N773" s="24"/>
    </row>
    <row r="774" spans="7:14" ht="15.75" customHeight="1" x14ac:dyDescent="0.2">
      <c r="G774" s="24"/>
      <c r="N774" s="24"/>
    </row>
    <row r="775" spans="7:14" ht="15.75" customHeight="1" x14ac:dyDescent="0.2">
      <c r="G775" s="24"/>
      <c r="N775" s="24"/>
    </row>
    <row r="776" spans="7:14" ht="15.75" customHeight="1" x14ac:dyDescent="0.2">
      <c r="G776" s="24"/>
      <c r="N776" s="24"/>
    </row>
    <row r="777" spans="7:14" ht="15.75" customHeight="1" x14ac:dyDescent="0.2">
      <c r="G777" s="24"/>
      <c r="N777" s="24"/>
    </row>
    <row r="778" spans="7:14" ht="15.75" customHeight="1" x14ac:dyDescent="0.2">
      <c r="G778" s="24"/>
      <c r="N778" s="24"/>
    </row>
    <row r="779" spans="7:14" ht="15.75" customHeight="1" x14ac:dyDescent="0.2">
      <c r="G779" s="24"/>
      <c r="N779" s="24"/>
    </row>
    <row r="780" spans="7:14" ht="15.75" customHeight="1" x14ac:dyDescent="0.2">
      <c r="G780" s="24"/>
      <c r="N780" s="24"/>
    </row>
    <row r="781" spans="7:14" ht="15.75" customHeight="1" x14ac:dyDescent="0.2">
      <c r="G781" s="24"/>
      <c r="N781" s="24"/>
    </row>
    <row r="782" spans="7:14" ht="15.75" customHeight="1" x14ac:dyDescent="0.2">
      <c r="G782" s="24"/>
      <c r="N782" s="24"/>
    </row>
    <row r="783" spans="7:14" ht="15.75" customHeight="1" x14ac:dyDescent="0.2">
      <c r="G783" s="24"/>
      <c r="N783" s="24"/>
    </row>
    <row r="784" spans="7:14" ht="15.75" customHeight="1" x14ac:dyDescent="0.2">
      <c r="G784" s="24"/>
      <c r="N784" s="24"/>
    </row>
    <row r="785" spans="7:14" ht="15.75" customHeight="1" x14ac:dyDescent="0.2">
      <c r="G785" s="24"/>
      <c r="N785" s="24"/>
    </row>
    <row r="786" spans="7:14" ht="15.75" customHeight="1" x14ac:dyDescent="0.2">
      <c r="G786" s="24"/>
      <c r="N786" s="24"/>
    </row>
    <row r="787" spans="7:14" ht="15.75" customHeight="1" x14ac:dyDescent="0.2">
      <c r="G787" s="24"/>
      <c r="N787" s="24"/>
    </row>
    <row r="788" spans="7:14" ht="15.75" customHeight="1" x14ac:dyDescent="0.2">
      <c r="G788" s="24"/>
      <c r="N788" s="24"/>
    </row>
    <row r="789" spans="7:14" ht="15.75" customHeight="1" x14ac:dyDescent="0.2">
      <c r="G789" s="24"/>
      <c r="N789" s="24"/>
    </row>
    <row r="790" spans="7:14" ht="15.75" customHeight="1" x14ac:dyDescent="0.2">
      <c r="G790" s="24"/>
      <c r="N790" s="24"/>
    </row>
    <row r="791" spans="7:14" ht="15.75" customHeight="1" x14ac:dyDescent="0.2">
      <c r="G791" s="24"/>
      <c r="N791" s="24"/>
    </row>
    <row r="792" spans="7:14" ht="15.75" customHeight="1" x14ac:dyDescent="0.2">
      <c r="G792" s="24"/>
      <c r="N792" s="24"/>
    </row>
    <row r="793" spans="7:14" ht="15.75" customHeight="1" x14ac:dyDescent="0.2">
      <c r="G793" s="24"/>
      <c r="N793" s="24"/>
    </row>
    <row r="794" spans="7:14" ht="15.75" customHeight="1" x14ac:dyDescent="0.2">
      <c r="G794" s="24"/>
      <c r="N794" s="24"/>
    </row>
    <row r="795" spans="7:14" ht="15.75" customHeight="1" x14ac:dyDescent="0.2">
      <c r="G795" s="24"/>
      <c r="N795" s="24"/>
    </row>
    <row r="796" spans="7:14" ht="15.75" customHeight="1" x14ac:dyDescent="0.2">
      <c r="G796" s="24"/>
      <c r="N796" s="24"/>
    </row>
    <row r="797" spans="7:14" ht="15.75" customHeight="1" x14ac:dyDescent="0.2">
      <c r="G797" s="24"/>
      <c r="N797" s="24"/>
    </row>
    <row r="798" spans="7:14" ht="15.75" customHeight="1" x14ac:dyDescent="0.2">
      <c r="G798" s="24"/>
      <c r="N798" s="24"/>
    </row>
    <row r="799" spans="7:14" ht="15.75" customHeight="1" x14ac:dyDescent="0.2">
      <c r="G799" s="24"/>
      <c r="N799" s="24"/>
    </row>
    <row r="800" spans="7:14" ht="15.75" customHeight="1" x14ac:dyDescent="0.2">
      <c r="G800" s="24"/>
      <c r="N800" s="24"/>
    </row>
    <row r="801" spans="7:14" ht="15.75" customHeight="1" x14ac:dyDescent="0.2">
      <c r="G801" s="24"/>
      <c r="N801" s="24"/>
    </row>
    <row r="802" spans="7:14" ht="15.75" customHeight="1" x14ac:dyDescent="0.2">
      <c r="G802" s="24"/>
      <c r="N802" s="24"/>
    </row>
    <row r="803" spans="7:14" ht="15.75" customHeight="1" x14ac:dyDescent="0.2">
      <c r="G803" s="24"/>
      <c r="N803" s="24"/>
    </row>
    <row r="804" spans="7:14" ht="15.75" customHeight="1" x14ac:dyDescent="0.2">
      <c r="G804" s="24"/>
      <c r="N804" s="24"/>
    </row>
    <row r="805" spans="7:14" ht="15.75" customHeight="1" x14ac:dyDescent="0.2">
      <c r="G805" s="24"/>
      <c r="N805" s="24"/>
    </row>
    <row r="806" spans="7:14" ht="15.75" customHeight="1" x14ac:dyDescent="0.2">
      <c r="G806" s="24"/>
      <c r="N806" s="24"/>
    </row>
    <row r="807" spans="7:14" ht="15.75" customHeight="1" x14ac:dyDescent="0.2">
      <c r="G807" s="24"/>
      <c r="N807" s="24"/>
    </row>
    <row r="808" spans="7:14" ht="15.75" customHeight="1" x14ac:dyDescent="0.2">
      <c r="G808" s="24"/>
      <c r="N808" s="24"/>
    </row>
    <row r="809" spans="7:14" ht="15.75" customHeight="1" x14ac:dyDescent="0.2">
      <c r="G809" s="24"/>
      <c r="N809" s="24"/>
    </row>
    <row r="810" spans="7:14" ht="15.75" customHeight="1" x14ac:dyDescent="0.2">
      <c r="G810" s="24"/>
      <c r="N810" s="24"/>
    </row>
    <row r="811" spans="7:14" ht="15.75" customHeight="1" x14ac:dyDescent="0.2">
      <c r="G811" s="24"/>
      <c r="N811" s="24"/>
    </row>
    <row r="812" spans="7:14" ht="15.75" customHeight="1" x14ac:dyDescent="0.2">
      <c r="G812" s="24"/>
      <c r="N812" s="24"/>
    </row>
    <row r="813" spans="7:14" ht="15.75" customHeight="1" x14ac:dyDescent="0.2">
      <c r="G813" s="24"/>
      <c r="N813" s="24"/>
    </row>
    <row r="814" spans="7:14" ht="15.75" customHeight="1" x14ac:dyDescent="0.2">
      <c r="G814" s="24"/>
      <c r="N814" s="24"/>
    </row>
    <row r="815" spans="7:14" ht="15.75" customHeight="1" x14ac:dyDescent="0.2">
      <c r="G815" s="24"/>
      <c r="N815" s="24"/>
    </row>
    <row r="816" spans="7:14" ht="15.75" customHeight="1" x14ac:dyDescent="0.2">
      <c r="G816" s="24"/>
      <c r="N816" s="24"/>
    </row>
    <row r="817" spans="7:14" ht="15.75" customHeight="1" x14ac:dyDescent="0.2">
      <c r="G817" s="24"/>
      <c r="N817" s="24"/>
    </row>
    <row r="818" spans="7:14" ht="15.75" customHeight="1" x14ac:dyDescent="0.2">
      <c r="G818" s="24"/>
      <c r="N818" s="24"/>
    </row>
    <row r="819" spans="7:14" ht="15.75" customHeight="1" x14ac:dyDescent="0.2">
      <c r="G819" s="24"/>
      <c r="N819" s="24"/>
    </row>
    <row r="820" spans="7:14" ht="15.75" customHeight="1" x14ac:dyDescent="0.2">
      <c r="G820" s="24"/>
      <c r="N820" s="24"/>
    </row>
    <row r="821" spans="7:14" ht="15.75" customHeight="1" x14ac:dyDescent="0.2">
      <c r="G821" s="24"/>
      <c r="N821" s="24"/>
    </row>
    <row r="822" spans="7:14" ht="15.75" customHeight="1" x14ac:dyDescent="0.2">
      <c r="G822" s="24"/>
      <c r="N822" s="24"/>
    </row>
    <row r="823" spans="7:14" ht="15.75" customHeight="1" x14ac:dyDescent="0.2">
      <c r="G823" s="24"/>
      <c r="N823" s="24"/>
    </row>
    <row r="824" spans="7:14" ht="15.75" customHeight="1" x14ac:dyDescent="0.2">
      <c r="G824" s="24"/>
      <c r="N824" s="24"/>
    </row>
    <row r="825" spans="7:14" ht="15.75" customHeight="1" x14ac:dyDescent="0.2">
      <c r="G825" s="24"/>
      <c r="N825" s="24"/>
    </row>
    <row r="826" spans="7:14" ht="15.75" customHeight="1" x14ac:dyDescent="0.2">
      <c r="G826" s="24"/>
      <c r="N826" s="24"/>
    </row>
    <row r="827" spans="7:14" ht="15.75" customHeight="1" x14ac:dyDescent="0.2">
      <c r="G827" s="24"/>
      <c r="N827" s="24"/>
    </row>
    <row r="828" spans="7:14" ht="15.75" customHeight="1" x14ac:dyDescent="0.2">
      <c r="G828" s="24"/>
      <c r="N828" s="24"/>
    </row>
    <row r="829" spans="7:14" ht="15.75" customHeight="1" x14ac:dyDescent="0.2">
      <c r="G829" s="24"/>
      <c r="N829" s="24"/>
    </row>
    <row r="830" spans="7:14" ht="15.75" customHeight="1" x14ac:dyDescent="0.2">
      <c r="G830" s="24"/>
      <c r="N830" s="24"/>
    </row>
    <row r="831" spans="7:14" ht="15.75" customHeight="1" x14ac:dyDescent="0.2">
      <c r="G831" s="24"/>
      <c r="N831" s="24"/>
    </row>
    <row r="832" spans="7:14" ht="15.75" customHeight="1" x14ac:dyDescent="0.2">
      <c r="G832" s="24"/>
      <c r="N832" s="24"/>
    </row>
    <row r="833" spans="7:14" ht="15.75" customHeight="1" x14ac:dyDescent="0.2">
      <c r="G833" s="24"/>
      <c r="N833" s="24"/>
    </row>
    <row r="834" spans="7:14" ht="15.75" customHeight="1" x14ac:dyDescent="0.2">
      <c r="G834" s="24"/>
      <c r="N834" s="24"/>
    </row>
    <row r="835" spans="7:14" ht="15.75" customHeight="1" x14ac:dyDescent="0.2">
      <c r="G835" s="24"/>
      <c r="N835" s="24"/>
    </row>
    <row r="836" spans="7:14" ht="15.75" customHeight="1" x14ac:dyDescent="0.2">
      <c r="G836" s="24"/>
      <c r="N836" s="24"/>
    </row>
    <row r="837" spans="7:14" ht="15.75" customHeight="1" x14ac:dyDescent="0.2">
      <c r="G837" s="24"/>
      <c r="N837" s="24"/>
    </row>
    <row r="838" spans="7:14" ht="15.75" customHeight="1" x14ac:dyDescent="0.2">
      <c r="G838" s="24"/>
      <c r="N838" s="24"/>
    </row>
    <row r="839" spans="7:14" ht="15.75" customHeight="1" x14ac:dyDescent="0.2">
      <c r="G839" s="24"/>
      <c r="N839" s="24"/>
    </row>
    <row r="840" spans="7:14" ht="15.75" customHeight="1" x14ac:dyDescent="0.2">
      <c r="G840" s="24"/>
      <c r="N840" s="24"/>
    </row>
    <row r="841" spans="7:14" ht="15.75" customHeight="1" x14ac:dyDescent="0.2">
      <c r="G841" s="24"/>
      <c r="N841" s="24"/>
    </row>
    <row r="842" spans="7:14" ht="15.75" customHeight="1" x14ac:dyDescent="0.2">
      <c r="G842" s="24"/>
      <c r="N842" s="24"/>
    </row>
    <row r="843" spans="7:14" ht="15.75" customHeight="1" x14ac:dyDescent="0.2">
      <c r="G843" s="24"/>
      <c r="N843" s="24"/>
    </row>
    <row r="844" spans="7:14" ht="15.75" customHeight="1" x14ac:dyDescent="0.2">
      <c r="G844" s="24"/>
      <c r="N844" s="24"/>
    </row>
    <row r="845" spans="7:14" ht="15.75" customHeight="1" x14ac:dyDescent="0.2">
      <c r="G845" s="24"/>
      <c r="N845" s="24"/>
    </row>
    <row r="846" spans="7:14" ht="15.75" customHeight="1" x14ac:dyDescent="0.2">
      <c r="G846" s="24"/>
      <c r="N846" s="24"/>
    </row>
    <row r="847" spans="7:14" ht="15.75" customHeight="1" x14ac:dyDescent="0.2">
      <c r="G847" s="24"/>
      <c r="N847" s="24"/>
    </row>
    <row r="848" spans="7:14" ht="15.75" customHeight="1" x14ac:dyDescent="0.2">
      <c r="G848" s="24"/>
      <c r="N848" s="24"/>
    </row>
    <row r="849" spans="7:14" ht="15.75" customHeight="1" x14ac:dyDescent="0.2">
      <c r="G849" s="24"/>
      <c r="N849" s="24"/>
    </row>
    <row r="850" spans="7:14" ht="15.75" customHeight="1" x14ac:dyDescent="0.2">
      <c r="G850" s="24"/>
      <c r="N850" s="24"/>
    </row>
    <row r="851" spans="7:14" ht="15.75" customHeight="1" x14ac:dyDescent="0.2">
      <c r="G851" s="24"/>
      <c r="N851" s="24"/>
    </row>
    <row r="852" spans="7:14" ht="15.75" customHeight="1" x14ac:dyDescent="0.2">
      <c r="G852" s="24"/>
      <c r="N852" s="24"/>
    </row>
    <row r="853" spans="7:14" ht="15.75" customHeight="1" x14ac:dyDescent="0.2">
      <c r="G853" s="24"/>
      <c r="N853" s="24"/>
    </row>
    <row r="854" spans="7:14" ht="15.75" customHeight="1" x14ac:dyDescent="0.2">
      <c r="G854" s="24"/>
      <c r="N854" s="24"/>
    </row>
    <row r="855" spans="7:14" ht="15.75" customHeight="1" x14ac:dyDescent="0.2">
      <c r="G855" s="24"/>
      <c r="N855" s="24"/>
    </row>
    <row r="856" spans="7:14" ht="15.75" customHeight="1" x14ac:dyDescent="0.2">
      <c r="G856" s="24"/>
      <c r="N856" s="24"/>
    </row>
    <row r="857" spans="7:14" ht="15.75" customHeight="1" x14ac:dyDescent="0.2">
      <c r="G857" s="24"/>
      <c r="N857" s="24"/>
    </row>
    <row r="858" spans="7:14" ht="15.75" customHeight="1" x14ac:dyDescent="0.2">
      <c r="G858" s="24"/>
      <c r="N858" s="24"/>
    </row>
    <row r="859" spans="7:14" ht="15.75" customHeight="1" x14ac:dyDescent="0.2">
      <c r="G859" s="24"/>
      <c r="N859" s="24"/>
    </row>
    <row r="860" spans="7:14" ht="15.75" customHeight="1" x14ac:dyDescent="0.2">
      <c r="G860" s="24"/>
      <c r="N860" s="24"/>
    </row>
    <row r="861" spans="7:14" ht="15.75" customHeight="1" x14ac:dyDescent="0.2">
      <c r="G861" s="24"/>
      <c r="N861" s="24"/>
    </row>
    <row r="862" spans="7:14" ht="15.75" customHeight="1" x14ac:dyDescent="0.2">
      <c r="G862" s="24"/>
      <c r="N862" s="24"/>
    </row>
    <row r="863" spans="7:14" ht="15.75" customHeight="1" x14ac:dyDescent="0.2">
      <c r="G863" s="24"/>
      <c r="N863" s="24"/>
    </row>
    <row r="864" spans="7:14" ht="15.75" customHeight="1" x14ac:dyDescent="0.2">
      <c r="G864" s="24"/>
      <c r="N864" s="24"/>
    </row>
    <row r="865" spans="7:14" ht="15.75" customHeight="1" x14ac:dyDescent="0.2">
      <c r="G865" s="24"/>
      <c r="N865" s="24"/>
    </row>
    <row r="866" spans="7:14" ht="15.75" customHeight="1" x14ac:dyDescent="0.2">
      <c r="G866" s="24"/>
      <c r="N866" s="24"/>
    </row>
    <row r="867" spans="7:14" ht="15.75" customHeight="1" x14ac:dyDescent="0.2">
      <c r="G867" s="24"/>
      <c r="N867" s="24"/>
    </row>
    <row r="868" spans="7:14" ht="15.75" customHeight="1" x14ac:dyDescent="0.2">
      <c r="G868" s="24"/>
      <c r="N868" s="24"/>
    </row>
    <row r="869" spans="7:14" ht="15.75" customHeight="1" x14ac:dyDescent="0.2">
      <c r="G869" s="24"/>
      <c r="N869" s="24"/>
    </row>
    <row r="870" spans="7:14" ht="15.75" customHeight="1" x14ac:dyDescent="0.2">
      <c r="G870" s="24"/>
      <c r="N870" s="24"/>
    </row>
    <row r="871" spans="7:14" ht="15.75" customHeight="1" x14ac:dyDescent="0.2">
      <c r="G871" s="24"/>
      <c r="N871" s="24"/>
    </row>
    <row r="872" spans="7:14" ht="15.75" customHeight="1" x14ac:dyDescent="0.2">
      <c r="G872" s="24"/>
      <c r="N872" s="24"/>
    </row>
    <row r="873" spans="7:14" ht="15.75" customHeight="1" x14ac:dyDescent="0.2">
      <c r="G873" s="24"/>
      <c r="N873" s="24"/>
    </row>
    <row r="874" spans="7:14" ht="15.75" customHeight="1" x14ac:dyDescent="0.2">
      <c r="G874" s="24"/>
      <c r="N874" s="24"/>
    </row>
    <row r="875" spans="7:14" ht="15.75" customHeight="1" x14ac:dyDescent="0.2">
      <c r="G875" s="24"/>
      <c r="N875" s="24"/>
    </row>
    <row r="876" spans="7:14" ht="15.75" customHeight="1" x14ac:dyDescent="0.2">
      <c r="G876" s="24"/>
      <c r="N876" s="24"/>
    </row>
    <row r="877" spans="7:14" ht="15.75" customHeight="1" x14ac:dyDescent="0.2">
      <c r="G877" s="24"/>
      <c r="N877" s="24"/>
    </row>
    <row r="878" spans="7:14" ht="15.75" customHeight="1" x14ac:dyDescent="0.2">
      <c r="G878" s="24"/>
      <c r="N878" s="24"/>
    </row>
    <row r="879" spans="7:14" ht="15.75" customHeight="1" x14ac:dyDescent="0.2">
      <c r="G879" s="24"/>
      <c r="N879" s="24"/>
    </row>
    <row r="880" spans="7:14" ht="15.75" customHeight="1" x14ac:dyDescent="0.2">
      <c r="G880" s="24"/>
      <c r="N880" s="24"/>
    </row>
    <row r="881" spans="7:14" ht="15.75" customHeight="1" x14ac:dyDescent="0.2">
      <c r="G881" s="24"/>
      <c r="N881" s="24"/>
    </row>
    <row r="882" spans="7:14" ht="15.75" customHeight="1" x14ac:dyDescent="0.2">
      <c r="G882" s="24"/>
      <c r="N882" s="24"/>
    </row>
    <row r="883" spans="7:14" ht="15.75" customHeight="1" x14ac:dyDescent="0.2">
      <c r="G883" s="24"/>
      <c r="N883" s="24"/>
    </row>
    <row r="884" spans="7:14" ht="15.75" customHeight="1" x14ac:dyDescent="0.2">
      <c r="G884" s="24"/>
      <c r="N884" s="24"/>
    </row>
    <row r="885" spans="7:14" ht="15.75" customHeight="1" x14ac:dyDescent="0.2">
      <c r="G885" s="24"/>
      <c r="N885" s="24"/>
    </row>
    <row r="886" spans="7:14" ht="15.75" customHeight="1" x14ac:dyDescent="0.2">
      <c r="G886" s="24"/>
      <c r="N886" s="24"/>
    </row>
    <row r="887" spans="7:14" ht="15.75" customHeight="1" x14ac:dyDescent="0.2">
      <c r="G887" s="24"/>
      <c r="N887" s="24"/>
    </row>
    <row r="888" spans="7:14" ht="15.75" customHeight="1" x14ac:dyDescent="0.2">
      <c r="G888" s="24"/>
      <c r="N888" s="24"/>
    </row>
    <row r="889" spans="7:14" ht="15.75" customHeight="1" x14ac:dyDescent="0.2">
      <c r="G889" s="24"/>
      <c r="N889" s="24"/>
    </row>
    <row r="890" spans="7:14" ht="15.75" customHeight="1" x14ac:dyDescent="0.2">
      <c r="G890" s="24"/>
      <c r="N890" s="24"/>
    </row>
    <row r="891" spans="7:14" ht="15.75" customHeight="1" x14ac:dyDescent="0.2">
      <c r="G891" s="24"/>
      <c r="N891" s="24"/>
    </row>
    <row r="892" spans="7:14" ht="15.75" customHeight="1" x14ac:dyDescent="0.2">
      <c r="G892" s="24"/>
      <c r="N892" s="24"/>
    </row>
    <row r="893" spans="7:14" ht="15.75" customHeight="1" x14ac:dyDescent="0.2">
      <c r="G893" s="24"/>
      <c r="N893" s="24"/>
    </row>
    <row r="894" spans="7:14" ht="15.75" customHeight="1" x14ac:dyDescent="0.2">
      <c r="G894" s="24"/>
      <c r="N894" s="24"/>
    </row>
    <row r="895" spans="7:14" ht="15.75" customHeight="1" x14ac:dyDescent="0.2">
      <c r="G895" s="24"/>
      <c r="N895" s="24"/>
    </row>
    <row r="896" spans="7:14" ht="15.75" customHeight="1" x14ac:dyDescent="0.2">
      <c r="G896" s="24"/>
      <c r="N896" s="24"/>
    </row>
    <row r="897" spans="7:14" ht="15.75" customHeight="1" x14ac:dyDescent="0.2">
      <c r="G897" s="24"/>
      <c r="N897" s="24"/>
    </row>
    <row r="898" spans="7:14" ht="15.75" customHeight="1" x14ac:dyDescent="0.2">
      <c r="G898" s="24"/>
      <c r="N898" s="24"/>
    </row>
    <row r="899" spans="7:14" ht="15.75" customHeight="1" x14ac:dyDescent="0.2">
      <c r="G899" s="24"/>
      <c r="N899" s="24"/>
    </row>
    <row r="900" spans="7:14" ht="15.75" customHeight="1" x14ac:dyDescent="0.2">
      <c r="G900" s="24"/>
      <c r="N900" s="24"/>
    </row>
    <row r="901" spans="7:14" ht="15.75" customHeight="1" x14ac:dyDescent="0.2">
      <c r="G901" s="24"/>
      <c r="N901" s="24"/>
    </row>
    <row r="902" spans="7:14" ht="15.75" customHeight="1" x14ac:dyDescent="0.2">
      <c r="G902" s="24"/>
      <c r="N902" s="24"/>
    </row>
    <row r="903" spans="7:14" ht="15.75" customHeight="1" x14ac:dyDescent="0.2">
      <c r="G903" s="24"/>
      <c r="N903" s="24"/>
    </row>
    <row r="904" spans="7:14" ht="15.75" customHeight="1" x14ac:dyDescent="0.2">
      <c r="G904" s="24"/>
      <c r="N904" s="24"/>
    </row>
    <row r="905" spans="7:14" ht="15.75" customHeight="1" x14ac:dyDescent="0.2">
      <c r="G905" s="24"/>
      <c r="N905" s="24"/>
    </row>
    <row r="906" spans="7:14" ht="15.75" customHeight="1" x14ac:dyDescent="0.2">
      <c r="G906" s="24"/>
      <c r="N906" s="24"/>
    </row>
    <row r="907" spans="7:14" ht="15.75" customHeight="1" x14ac:dyDescent="0.2">
      <c r="G907" s="24"/>
      <c r="N907" s="24"/>
    </row>
    <row r="908" spans="7:14" ht="15.75" customHeight="1" x14ac:dyDescent="0.2">
      <c r="G908" s="24"/>
      <c r="N908" s="24"/>
    </row>
    <row r="909" spans="7:14" ht="15.75" customHeight="1" x14ac:dyDescent="0.2">
      <c r="G909" s="24"/>
      <c r="N909" s="24"/>
    </row>
    <row r="910" spans="7:14" ht="15.75" customHeight="1" x14ac:dyDescent="0.2">
      <c r="G910" s="24"/>
      <c r="N910" s="24"/>
    </row>
    <row r="911" spans="7:14" ht="15.75" customHeight="1" x14ac:dyDescent="0.2">
      <c r="G911" s="24"/>
      <c r="N911" s="24"/>
    </row>
    <row r="912" spans="7:14" ht="15.75" customHeight="1" x14ac:dyDescent="0.2">
      <c r="G912" s="24"/>
      <c r="N912" s="24"/>
    </row>
    <row r="913" spans="7:14" ht="15.75" customHeight="1" x14ac:dyDescent="0.2">
      <c r="G913" s="24"/>
      <c r="N913" s="24"/>
    </row>
    <row r="914" spans="7:14" ht="15.75" customHeight="1" x14ac:dyDescent="0.2">
      <c r="G914" s="24"/>
      <c r="N914" s="24"/>
    </row>
    <row r="915" spans="7:14" ht="15.75" customHeight="1" x14ac:dyDescent="0.2">
      <c r="G915" s="24"/>
      <c r="N915" s="24"/>
    </row>
    <row r="916" spans="7:14" ht="15.75" customHeight="1" x14ac:dyDescent="0.2">
      <c r="G916" s="24"/>
      <c r="N916" s="24"/>
    </row>
    <row r="917" spans="7:14" ht="15.75" customHeight="1" x14ac:dyDescent="0.2">
      <c r="G917" s="24"/>
      <c r="N917" s="24"/>
    </row>
    <row r="918" spans="7:14" ht="15.75" customHeight="1" x14ac:dyDescent="0.2">
      <c r="G918" s="24"/>
      <c r="N918" s="24"/>
    </row>
    <row r="919" spans="7:14" ht="15.75" customHeight="1" x14ac:dyDescent="0.2">
      <c r="G919" s="24"/>
      <c r="N919" s="24"/>
    </row>
    <row r="920" spans="7:14" ht="15.75" customHeight="1" x14ac:dyDescent="0.2">
      <c r="G920" s="24"/>
      <c r="N920" s="24"/>
    </row>
    <row r="921" spans="7:14" ht="15.75" customHeight="1" x14ac:dyDescent="0.2">
      <c r="G921" s="24"/>
      <c r="N921" s="24"/>
    </row>
    <row r="922" spans="7:14" ht="15.75" customHeight="1" x14ac:dyDescent="0.2">
      <c r="G922" s="24"/>
      <c r="N922" s="24"/>
    </row>
    <row r="923" spans="7:14" ht="15.75" customHeight="1" x14ac:dyDescent="0.2">
      <c r="G923" s="24"/>
      <c r="N923" s="24"/>
    </row>
    <row r="924" spans="7:14" ht="15.75" customHeight="1" x14ac:dyDescent="0.2">
      <c r="G924" s="24"/>
      <c r="N924" s="24"/>
    </row>
    <row r="925" spans="7:14" ht="15.75" customHeight="1" x14ac:dyDescent="0.2">
      <c r="G925" s="24"/>
      <c r="N925" s="24"/>
    </row>
    <row r="926" spans="7:14" ht="15.75" customHeight="1" x14ac:dyDescent="0.2">
      <c r="G926" s="24"/>
      <c r="N926" s="24"/>
    </row>
    <row r="927" spans="7:14" ht="15.75" customHeight="1" x14ac:dyDescent="0.2">
      <c r="G927" s="24"/>
      <c r="N927" s="24"/>
    </row>
    <row r="928" spans="7:14" ht="15.75" customHeight="1" x14ac:dyDescent="0.2">
      <c r="G928" s="24"/>
      <c r="N928" s="24"/>
    </row>
    <row r="929" spans="7:14" ht="15.75" customHeight="1" x14ac:dyDescent="0.2">
      <c r="G929" s="24"/>
      <c r="N929" s="24"/>
    </row>
    <row r="930" spans="7:14" ht="15.75" customHeight="1" x14ac:dyDescent="0.2">
      <c r="G930" s="24"/>
      <c r="N930" s="24"/>
    </row>
    <row r="931" spans="7:14" ht="15.75" customHeight="1" x14ac:dyDescent="0.2">
      <c r="G931" s="24"/>
      <c r="N931" s="24"/>
    </row>
    <row r="932" spans="7:14" ht="15.75" customHeight="1" x14ac:dyDescent="0.2">
      <c r="G932" s="24"/>
      <c r="N932" s="24"/>
    </row>
    <row r="933" spans="7:14" ht="15.75" customHeight="1" x14ac:dyDescent="0.2">
      <c r="G933" s="24"/>
      <c r="N933" s="24"/>
    </row>
    <row r="934" spans="7:14" ht="15.75" customHeight="1" x14ac:dyDescent="0.2">
      <c r="G934" s="24"/>
      <c r="N934" s="24"/>
    </row>
    <row r="935" spans="7:14" ht="15.75" customHeight="1" x14ac:dyDescent="0.2">
      <c r="G935" s="24"/>
      <c r="N935" s="24"/>
    </row>
    <row r="936" spans="7:14" ht="15.75" customHeight="1" x14ac:dyDescent="0.2">
      <c r="G936" s="24"/>
      <c r="N936" s="24"/>
    </row>
    <row r="937" spans="7:14" ht="15.75" customHeight="1" x14ac:dyDescent="0.2">
      <c r="G937" s="24"/>
      <c r="N937" s="24"/>
    </row>
    <row r="938" spans="7:14" ht="15.75" customHeight="1" x14ac:dyDescent="0.2">
      <c r="G938" s="24"/>
      <c r="N938" s="24"/>
    </row>
    <row r="939" spans="7:14" ht="15.75" customHeight="1" x14ac:dyDescent="0.2">
      <c r="G939" s="24"/>
      <c r="N939" s="24"/>
    </row>
    <row r="940" spans="7:14" ht="15.75" customHeight="1" x14ac:dyDescent="0.2">
      <c r="G940" s="24"/>
      <c r="N940" s="24"/>
    </row>
    <row r="941" spans="7:14" ht="15.75" customHeight="1" x14ac:dyDescent="0.2">
      <c r="G941" s="24"/>
      <c r="N941" s="24"/>
    </row>
    <row r="942" spans="7:14" ht="15.75" customHeight="1" x14ac:dyDescent="0.2">
      <c r="G942" s="24"/>
      <c r="N942" s="24"/>
    </row>
    <row r="943" spans="7:14" ht="15.75" customHeight="1" x14ac:dyDescent="0.2">
      <c r="G943" s="24"/>
      <c r="N943" s="24"/>
    </row>
    <row r="944" spans="7:14" ht="15.75" customHeight="1" x14ac:dyDescent="0.2">
      <c r="G944" s="24"/>
      <c r="N944" s="24"/>
    </row>
    <row r="945" spans="7:14" ht="15.75" customHeight="1" x14ac:dyDescent="0.2">
      <c r="G945" s="24"/>
      <c r="N945" s="24"/>
    </row>
    <row r="946" spans="7:14" ht="15.75" customHeight="1" x14ac:dyDescent="0.2">
      <c r="G946" s="24"/>
      <c r="N946" s="24"/>
    </row>
    <row r="947" spans="7:14" ht="15.75" customHeight="1" x14ac:dyDescent="0.2">
      <c r="G947" s="24"/>
      <c r="N947" s="24"/>
    </row>
    <row r="948" spans="7:14" ht="15.75" customHeight="1" x14ac:dyDescent="0.2">
      <c r="G948" s="24"/>
      <c r="N948" s="24"/>
    </row>
    <row r="949" spans="7:14" ht="15.75" customHeight="1" x14ac:dyDescent="0.2">
      <c r="G949" s="24"/>
      <c r="N949" s="24"/>
    </row>
    <row r="950" spans="7:14" ht="15.75" customHeight="1" x14ac:dyDescent="0.2">
      <c r="G950" s="24"/>
      <c r="N950" s="24"/>
    </row>
    <row r="951" spans="7:14" ht="15.75" customHeight="1" x14ac:dyDescent="0.2">
      <c r="G951" s="24"/>
      <c r="N951" s="24"/>
    </row>
    <row r="952" spans="7:14" ht="15.75" customHeight="1" x14ac:dyDescent="0.2">
      <c r="G952" s="24"/>
      <c r="N952" s="24"/>
    </row>
    <row r="953" spans="7:14" ht="15.75" customHeight="1" x14ac:dyDescent="0.2">
      <c r="G953" s="24"/>
      <c r="N953" s="24"/>
    </row>
    <row r="954" spans="7:14" ht="15.75" customHeight="1" x14ac:dyDescent="0.2">
      <c r="G954" s="24"/>
      <c r="N954" s="24"/>
    </row>
    <row r="955" spans="7:14" ht="15.75" customHeight="1" x14ac:dyDescent="0.2">
      <c r="G955" s="24"/>
      <c r="N955" s="24"/>
    </row>
    <row r="956" spans="7:14" ht="15.75" customHeight="1" x14ac:dyDescent="0.2">
      <c r="G956" s="24"/>
      <c r="N956" s="24"/>
    </row>
    <row r="957" spans="7:14" ht="15.75" customHeight="1" x14ac:dyDescent="0.2">
      <c r="G957" s="24"/>
      <c r="N957" s="24"/>
    </row>
    <row r="958" spans="7:14" ht="15.75" customHeight="1" x14ac:dyDescent="0.2">
      <c r="G958" s="24"/>
      <c r="N958" s="24"/>
    </row>
    <row r="959" spans="7:14" ht="15.75" customHeight="1" x14ac:dyDescent="0.2">
      <c r="G959" s="24"/>
      <c r="N959" s="24"/>
    </row>
    <row r="960" spans="7:14" ht="15.75" customHeight="1" x14ac:dyDescent="0.2">
      <c r="G960" s="24"/>
      <c r="N960" s="24"/>
    </row>
    <row r="961" spans="7:14" ht="15.75" customHeight="1" x14ac:dyDescent="0.2">
      <c r="G961" s="24"/>
      <c r="N961" s="24"/>
    </row>
    <row r="962" spans="7:14" ht="15.75" customHeight="1" x14ac:dyDescent="0.2">
      <c r="G962" s="24"/>
      <c r="N962" s="24"/>
    </row>
    <row r="963" spans="7:14" ht="15.75" customHeight="1" x14ac:dyDescent="0.2">
      <c r="G963" s="24"/>
      <c r="N963" s="24"/>
    </row>
    <row r="964" spans="7:14" ht="15.75" customHeight="1" x14ac:dyDescent="0.2">
      <c r="G964" s="24"/>
      <c r="N964" s="24"/>
    </row>
    <row r="965" spans="7:14" ht="15.75" customHeight="1" x14ac:dyDescent="0.2">
      <c r="G965" s="24"/>
      <c r="N965" s="24"/>
    </row>
    <row r="966" spans="7:14" ht="15.75" customHeight="1" x14ac:dyDescent="0.2">
      <c r="G966" s="24"/>
      <c r="N966" s="24"/>
    </row>
    <row r="967" spans="7:14" ht="15.75" customHeight="1" x14ac:dyDescent="0.2">
      <c r="G967" s="24"/>
      <c r="N967" s="24"/>
    </row>
    <row r="968" spans="7:14" ht="15.75" customHeight="1" x14ac:dyDescent="0.2">
      <c r="G968" s="24"/>
      <c r="N968" s="24"/>
    </row>
    <row r="969" spans="7:14" ht="15.75" customHeight="1" x14ac:dyDescent="0.2">
      <c r="G969" s="24"/>
      <c r="N969" s="24"/>
    </row>
    <row r="970" spans="7:14" ht="15.75" customHeight="1" x14ac:dyDescent="0.2">
      <c r="G970" s="24"/>
      <c r="N970" s="24"/>
    </row>
    <row r="971" spans="7:14" ht="15.75" customHeight="1" x14ac:dyDescent="0.2">
      <c r="G971" s="24"/>
      <c r="N971" s="24"/>
    </row>
    <row r="972" spans="7:14" ht="15.75" customHeight="1" x14ac:dyDescent="0.2">
      <c r="G972" s="24"/>
      <c r="N972" s="24"/>
    </row>
    <row r="973" spans="7:14" ht="15.75" customHeight="1" x14ac:dyDescent="0.2">
      <c r="G973" s="24"/>
      <c r="N973" s="24"/>
    </row>
    <row r="974" spans="7:14" ht="15.75" customHeight="1" x14ac:dyDescent="0.2">
      <c r="G974" s="24"/>
      <c r="N974" s="24"/>
    </row>
    <row r="975" spans="7:14" ht="15.75" customHeight="1" x14ac:dyDescent="0.2">
      <c r="G975" s="24"/>
      <c r="N975" s="24"/>
    </row>
    <row r="976" spans="7:14" ht="15.75" customHeight="1" x14ac:dyDescent="0.2">
      <c r="G976" s="24"/>
      <c r="N976" s="24"/>
    </row>
    <row r="977" spans="7:14" ht="15.75" customHeight="1" x14ac:dyDescent="0.2">
      <c r="G977" s="24"/>
      <c r="N977" s="24"/>
    </row>
    <row r="978" spans="7:14" ht="15.75" customHeight="1" x14ac:dyDescent="0.2">
      <c r="G978" s="24"/>
      <c r="N978" s="24"/>
    </row>
    <row r="979" spans="7:14" ht="15.75" customHeight="1" x14ac:dyDescent="0.2">
      <c r="G979" s="24"/>
      <c r="N979" s="24"/>
    </row>
    <row r="980" spans="7:14" ht="15.75" customHeight="1" x14ac:dyDescent="0.2">
      <c r="G980" s="24"/>
      <c r="N980" s="24"/>
    </row>
    <row r="981" spans="7:14" ht="15.75" customHeight="1" x14ac:dyDescent="0.2">
      <c r="G981" s="24"/>
      <c r="N981" s="24"/>
    </row>
    <row r="982" spans="7:14" ht="15.75" customHeight="1" x14ac:dyDescent="0.2">
      <c r="G982" s="24"/>
      <c r="N982" s="24"/>
    </row>
    <row r="983" spans="7:14" ht="15.75" customHeight="1" x14ac:dyDescent="0.2">
      <c r="G983" s="24"/>
      <c r="N983" s="24"/>
    </row>
    <row r="984" spans="7:14" ht="15.75" customHeight="1" x14ac:dyDescent="0.2">
      <c r="G984" s="24"/>
      <c r="N984" s="24"/>
    </row>
    <row r="985" spans="7:14" ht="15.75" customHeight="1" x14ac:dyDescent="0.2">
      <c r="G985" s="24"/>
      <c r="N985" s="24"/>
    </row>
    <row r="986" spans="7:14" ht="15.75" customHeight="1" x14ac:dyDescent="0.2">
      <c r="G986" s="24"/>
      <c r="N986" s="24"/>
    </row>
    <row r="987" spans="7:14" ht="15.75" customHeight="1" x14ac:dyDescent="0.2">
      <c r="G987" s="24"/>
      <c r="N987" s="24"/>
    </row>
    <row r="988" spans="7:14" ht="15.75" customHeight="1" x14ac:dyDescent="0.2">
      <c r="G988" s="24"/>
      <c r="N988" s="24"/>
    </row>
    <row r="989" spans="7:14" ht="15.75" customHeight="1" x14ac:dyDescent="0.2">
      <c r="G989" s="24"/>
      <c r="N989" s="24"/>
    </row>
    <row r="990" spans="7:14" ht="15.75" customHeight="1" x14ac:dyDescent="0.2">
      <c r="G990" s="24"/>
      <c r="N990" s="24"/>
    </row>
    <row r="991" spans="7:14" ht="15.75" customHeight="1" x14ac:dyDescent="0.2">
      <c r="G991" s="24"/>
      <c r="N991" s="24"/>
    </row>
    <row r="992" spans="7:14" ht="15.75" customHeight="1" x14ac:dyDescent="0.2">
      <c r="G992" s="24"/>
      <c r="N992" s="24"/>
    </row>
    <row r="993" spans="7:14" ht="15.75" customHeight="1" x14ac:dyDescent="0.2">
      <c r="G993" s="24"/>
      <c r="N993" s="24"/>
    </row>
    <row r="994" spans="7:14" ht="15.75" customHeight="1" x14ac:dyDescent="0.2">
      <c r="G994" s="24"/>
      <c r="N994" s="24"/>
    </row>
    <row r="995" spans="7:14" ht="15.75" customHeight="1" x14ac:dyDescent="0.2">
      <c r="G995" s="24"/>
      <c r="N995" s="24"/>
    </row>
    <row r="996" spans="7:14" ht="15.75" customHeight="1" x14ac:dyDescent="0.2">
      <c r="G996" s="24"/>
      <c r="N996" s="24"/>
    </row>
    <row r="997" spans="7:14" ht="15.75" customHeight="1" x14ac:dyDescent="0.2">
      <c r="G997" s="24"/>
      <c r="N997" s="24"/>
    </row>
    <row r="998" spans="7:14" ht="15.75" customHeight="1" x14ac:dyDescent="0.2">
      <c r="G998" s="24"/>
      <c r="N998" s="24"/>
    </row>
  </sheetData>
  <mergeCells count="94">
    <mergeCell ref="B102:B133"/>
    <mergeCell ref="C102:C105"/>
    <mergeCell ref="C106:C109"/>
    <mergeCell ref="C110:C117"/>
    <mergeCell ref="C118:C121"/>
    <mergeCell ref="C122:C125"/>
    <mergeCell ref="C126:C129"/>
    <mergeCell ref="C130:C133"/>
    <mergeCell ref="B91:D91"/>
    <mergeCell ref="B92:B94"/>
    <mergeCell ref="B96:B101"/>
    <mergeCell ref="C96:C97"/>
    <mergeCell ref="C98:C99"/>
    <mergeCell ref="C100:C101"/>
    <mergeCell ref="B67:B90"/>
    <mergeCell ref="C67:C70"/>
    <mergeCell ref="C71:C74"/>
    <mergeCell ref="C75:C82"/>
    <mergeCell ref="C83:C86"/>
    <mergeCell ref="C87:C90"/>
    <mergeCell ref="B56:D56"/>
    <mergeCell ref="B57:B59"/>
    <mergeCell ref="B61:B66"/>
    <mergeCell ref="C61:C62"/>
    <mergeCell ref="C63:C64"/>
    <mergeCell ref="C65:C66"/>
    <mergeCell ref="B42:B51"/>
    <mergeCell ref="C42:C44"/>
    <mergeCell ref="C46:C47"/>
    <mergeCell ref="C49:C50"/>
    <mergeCell ref="B52:B55"/>
    <mergeCell ref="C52:C55"/>
    <mergeCell ref="B25:B27"/>
    <mergeCell ref="B29:B31"/>
    <mergeCell ref="B33:B36"/>
    <mergeCell ref="C33:C36"/>
    <mergeCell ref="B37:B40"/>
    <mergeCell ref="C39:C40"/>
    <mergeCell ref="AB13:AB14"/>
    <mergeCell ref="AC13:AC14"/>
    <mergeCell ref="AD13:AD14"/>
    <mergeCell ref="AE13:AE14"/>
    <mergeCell ref="B16:B21"/>
    <mergeCell ref="Z13:Z14"/>
    <mergeCell ref="AA13:AA14"/>
    <mergeCell ref="O13:O14"/>
    <mergeCell ref="W13:W14"/>
    <mergeCell ref="X13:X14"/>
    <mergeCell ref="Y13:Y14"/>
    <mergeCell ref="P13:P14"/>
    <mergeCell ref="Q13:Q14"/>
    <mergeCell ref="R13:R14"/>
    <mergeCell ref="S13:S14"/>
    <mergeCell ref="T13:T14"/>
    <mergeCell ref="G13:G14"/>
    <mergeCell ref="H13:H14"/>
    <mergeCell ref="I13:I14"/>
    <mergeCell ref="B23:B24"/>
    <mergeCell ref="B13:B14"/>
    <mergeCell ref="C13:C14"/>
    <mergeCell ref="D13:D14"/>
    <mergeCell ref="E13:E14"/>
    <mergeCell ref="F13:F14"/>
    <mergeCell ref="V13:V14"/>
    <mergeCell ref="J13:J14"/>
    <mergeCell ref="K13:K14"/>
    <mergeCell ref="L13:L14"/>
    <mergeCell ref="M13:M14"/>
    <mergeCell ref="N13:N14"/>
    <mergeCell ref="U13:U14"/>
    <mergeCell ref="AC10:AE10"/>
    <mergeCell ref="G11:N12"/>
    <mergeCell ref="O11:O12"/>
    <mergeCell ref="P11:R12"/>
    <mergeCell ref="S11:S12"/>
    <mergeCell ref="T11:V12"/>
    <mergeCell ref="W11:W12"/>
    <mergeCell ref="X11:Y12"/>
    <mergeCell ref="Z11:Z12"/>
    <mergeCell ref="AA11:AB12"/>
    <mergeCell ref="Z10:AB10"/>
    <mergeCell ref="AC11:AC12"/>
    <mergeCell ref="AD11:AE12"/>
    <mergeCell ref="C9:E9"/>
    <mergeCell ref="G10:N10"/>
    <mergeCell ref="O10:R10"/>
    <mergeCell ref="S10:V10"/>
    <mergeCell ref="W10:Y10"/>
    <mergeCell ref="C8:E8"/>
    <mergeCell ref="B2:V2"/>
    <mergeCell ref="C4:E4"/>
    <mergeCell ref="C5:E5"/>
    <mergeCell ref="C6:E6"/>
    <mergeCell ref="C7:E7"/>
  </mergeCells>
  <dataValidations count="10">
    <dataValidation type="list" allowBlank="1" showErrorMessage="1" sqref="G15:G138" xr:uid="{58330719-E028-4E38-8CFE-BD9B739BAA6A}">
      <formula1>Du_an</formula1>
    </dataValidation>
    <dataValidation type="list" allowBlank="1" sqref="I98:I133 I63:I90 I46:I51" xr:uid="{3A84F119-252F-4019-A12F-53D5E48713FE}">
      <formula1>$E$2:$E$53</formula1>
    </dataValidation>
    <dataValidation type="list" allowBlank="1" sqref="K67:K90 K102:K133" xr:uid="{F18CF19A-CC7D-4FCC-BAC1-8AD866850E96}">
      <formula1>$I$2:$I$31</formula1>
    </dataValidation>
    <dataValidation type="list" allowBlank="1" sqref="L99:L133 L64:L90 L48:L51" xr:uid="{301AE203-7EAB-4871-833E-A975B7F1CD98}">
      <formula1>$K$2:$K$21</formula1>
    </dataValidation>
    <dataValidation type="list" allowBlank="1" showErrorMessage="1" sqref="J56:J66 J91:J101 J15:J51" xr:uid="{8A0D5EA2-4380-4D7D-8577-45A02A73DB01}">
      <formula1>Cao_trinh_Vi_tri</formula1>
    </dataValidation>
    <dataValidation type="list" allowBlank="1" showErrorMessage="1" sqref="I56:I62 I91:I97 I15:I45" xr:uid="{772AD153-159F-47FB-8547-001A21A70A26}">
      <formula1>Khoi_tich</formula1>
    </dataValidation>
    <dataValidation type="list" allowBlank="1" showErrorMessage="1" sqref="L56:L63 L91:L98 L15:L47" xr:uid="{97639A82-6E45-48D2-A186-807190A23E97}">
      <formula1>Vai_tro_dam_nhiem</formula1>
    </dataValidation>
    <dataValidation type="list" allowBlank="1" showErrorMessage="1" sqref="H135:H138 H15:H133" xr:uid="{CBBDEEC4-94D6-4E91-86C5-D3F5BB321A35}">
      <formula1>Don_vi_khoi_tao</formula1>
    </dataValidation>
    <dataValidation type="list" allowBlank="1" showErrorMessage="1" sqref="K56:K66 K91:K101 K15:K51" xr:uid="{4B25F112-6154-4C93-A068-1D3C8ADAF378}">
      <formula1>Loai_Kieu</formula1>
    </dataValidation>
    <dataValidation type="list" allowBlank="1" sqref="J67:J90 J102:J133" xr:uid="{05D444EC-B3DB-4C67-A975-EA0B175FF401}">
      <formula1>$G$3:$G$10</formula1>
    </dataValidation>
  </dataValidations>
  <pageMargins left="0.23622047244094488" right="0.23622047244094488" top="0.51180993000874886" bottom="0.51180993000874886" header="0" footer="0"/>
  <pageSetup paperSize="8" scale="56" fitToHeight="0" orientation="landscape" r:id="rId1"/>
  <headerFooter>
    <oddFooter>&amp;CBEP - &amp;P</oddFooter>
  </headerFooter>
  <legacyDrawing r:id="rId2"/>
  <extLst>
    <ext xmlns:x14="http://schemas.microsoft.com/office/spreadsheetml/2009/9/main" uri="{CCE6A557-97BC-4b89-ADB6-D9C93CAAB3DF}">
      <x14:dataValidations xmlns:xm="http://schemas.microsoft.com/office/excel/2006/main" count="5">
        <x14:dataValidation type="list" allowBlank="1" xr:uid="{143804B1-27C9-4606-93A8-99EB1397173A}">
          <x14:formula1>
            <xm:f>Naming!$M$4:$M$31</xm:f>
          </x14:formula1>
          <xm:sqref>K52:K55</xm:sqref>
        </x14:dataValidation>
        <x14:dataValidation type="list" allowBlank="1" xr:uid="{86F1AE61-4811-463D-BEBD-06E526F22728}">
          <x14:formula1>
            <xm:f>Naming!$O$4:$O$5</xm:f>
          </x14:formula1>
          <xm:sqref>M15:M138</xm:sqref>
        </x14:dataValidation>
        <x14:dataValidation type="list" allowBlank="1" xr:uid="{BC63A1FE-D334-48E3-8040-0DB2538A8020}">
          <x14:formula1>
            <xm:f>Naming!$G$4:$G$11</xm:f>
          </x14:formula1>
          <xm:sqref>J52:J55</xm:sqref>
        </x14:dataValidation>
        <x14:dataValidation type="list" allowBlank="1" xr:uid="{D2B567CB-5A2A-48A4-90AE-79DDF82D2A80}">
          <x14:formula1>
            <xm:f>Naming!$E$4:$E$38</xm:f>
          </x14:formula1>
          <xm:sqref>I52:I55</xm:sqref>
        </x14:dataValidation>
        <x14:dataValidation type="list" allowBlank="1" xr:uid="{C4CFA18B-5196-40C4-8009-38544A984EC8}">
          <x14:formula1>
            <xm:f>Naming!#REF!</xm:f>
          </x14:formula1>
          <xm:sqref>L52:L55</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11</vt:i4>
      </vt:variant>
    </vt:vector>
  </HeadingPairs>
  <TitlesOfParts>
    <vt:vector size="24" baseType="lpstr">
      <vt:lpstr>Cover</vt:lpstr>
      <vt:lpstr>Naming</vt:lpstr>
      <vt:lpstr>MIDP</vt:lpstr>
      <vt:lpstr>LIST_TT</vt:lpstr>
      <vt:lpstr>LIST_BAS</vt:lpstr>
      <vt:lpstr>LIST_TA</vt:lpstr>
      <vt:lpstr>LIST_TB1</vt:lpstr>
      <vt:lpstr>LIST_TB2</vt:lpstr>
      <vt:lpstr>Sheet3</vt:lpstr>
      <vt:lpstr>Sheet1</vt:lpstr>
      <vt:lpstr>Sheet2</vt:lpstr>
      <vt:lpstr>KH TH</vt:lpstr>
      <vt:lpstr>MIDP </vt:lpstr>
      <vt:lpstr>Cao_trinh_Vi_tri</vt:lpstr>
      <vt:lpstr>Don_vi_khoi_tao</vt:lpstr>
      <vt:lpstr>Du_an</vt:lpstr>
      <vt:lpstr>Khoi_tich</vt:lpstr>
      <vt:lpstr>Loai_Kieu</vt:lpstr>
      <vt:lpstr>'KH TH'!Print_Area</vt:lpstr>
      <vt:lpstr>MIDP!Print_Area</vt:lpstr>
      <vt:lpstr>'MIDP '!Print_Area</vt:lpstr>
      <vt:lpstr>Naming!Print_Area</vt:lpstr>
      <vt:lpstr>MIDP!Print_Titles</vt:lpstr>
      <vt:lpstr>So_thu_tu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 Anh Tuan</dc:creator>
  <cp:lastModifiedBy>Personal</cp:lastModifiedBy>
  <cp:lastPrinted>2026-03-10T10:38:59Z</cp:lastPrinted>
  <dcterms:created xsi:type="dcterms:W3CDTF">2024-05-19T03:11:05Z</dcterms:created>
  <dcterms:modified xsi:type="dcterms:W3CDTF">2026-04-24T08:29:44Z</dcterms:modified>
</cp:coreProperties>
</file>