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minhvn\Downloads\"/>
    </mc:Choice>
  </mc:AlternateContent>
  <bookViews>
    <workbookView xWindow="0" yWindow="0" windowWidth="5730" windowHeight="2325" firstSheet="3" activeTab="4"/>
  </bookViews>
  <sheets>
    <sheet name="Yeu cau" sheetId="11" r:id="rId1"/>
    <sheet name="yeu cau 260616" sheetId="14" r:id="rId2"/>
    <sheet name="PA1-Cloud server vmware" sheetId="13" r:id="rId3"/>
    <sheet name="PA1-Cloud server openstack" sheetId="15" r:id="rId4"/>
    <sheet name="PA2-Cloud server open-vfirewall" sheetId="16" r:id="rId5"/>
    <sheet name="PA2-Cloud server vmware-vfirewa" sheetId="1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7" l="1"/>
  <c r="F26" i="16"/>
  <c r="F24" i="15"/>
  <c r="F24" i="13"/>
  <c r="C18" i="17" l="1"/>
  <c r="F15" i="17" l="1"/>
  <c r="F14" i="17"/>
  <c r="F13" i="17"/>
  <c r="F20" i="17"/>
  <c r="E18" i="17"/>
  <c r="F18" i="17"/>
  <c r="E17" i="17"/>
  <c r="F17" i="17" s="1"/>
  <c r="F12" i="17"/>
  <c r="F10" i="17"/>
  <c r="C17" i="16"/>
  <c r="F17" i="16" s="1"/>
  <c r="F14" i="16"/>
  <c r="F13" i="16"/>
  <c r="F19" i="16"/>
  <c r="E17" i="16"/>
  <c r="E16" i="16"/>
  <c r="F16" i="16" s="1"/>
  <c r="F12" i="16"/>
  <c r="F10" i="16"/>
  <c r="F17" i="15"/>
  <c r="E15" i="15"/>
  <c r="C15" i="15"/>
  <c r="F15" i="15" s="1"/>
  <c r="E14" i="15"/>
  <c r="F14" i="15" s="1"/>
  <c r="F12" i="15"/>
  <c r="F10" i="15"/>
  <c r="F21" i="15" s="1"/>
  <c r="C15" i="13"/>
  <c r="F12" i="13"/>
  <c r="F24" i="17" l="1"/>
  <c r="F25" i="17" s="1"/>
  <c r="F26" i="17" s="1"/>
  <c r="F23" i="16"/>
  <c r="F24" i="16" s="1"/>
  <c r="F25" i="16" s="1"/>
  <c r="F22" i="15"/>
  <c r="F23" i="15" s="1"/>
  <c r="F17" i="13"/>
  <c r="E15" i="13"/>
  <c r="E14" i="13"/>
  <c r="F14" i="13" s="1"/>
  <c r="F10" i="13"/>
  <c r="F15" i="13" l="1"/>
  <c r="F21" i="13"/>
  <c r="F22" i="13"/>
  <c r="F23" i="13" l="1"/>
</calcChain>
</file>

<file path=xl/sharedStrings.xml><?xml version="1.0" encoding="utf-8"?>
<sst xmlns="http://schemas.openxmlformats.org/spreadsheetml/2006/main" count="244" uniqueCount="93">
  <si>
    <t>I</t>
  </si>
  <si>
    <t>Gói</t>
  </si>
  <si>
    <t>GB</t>
  </si>
  <si>
    <t>CÔNG TY TNHH VIETTEL - CHT</t>
  </si>
  <si>
    <r>
      <rPr>
        <b/>
        <sz val="11"/>
        <rFont val="Times New Roman"/>
        <family val="1"/>
      </rPr>
      <t>Địa chỉ:</t>
    </r>
    <r>
      <rPr>
        <sz val="11"/>
        <rFont val="Times New Roman"/>
        <family val="1"/>
      </rPr>
      <t xml:space="preserve"> 85Đ, Vũ Trọng Phụng, Thanh Xuân, Hà Nội</t>
    </r>
  </si>
  <si>
    <r>
      <rPr>
        <b/>
        <sz val="11"/>
        <rFont val="Times New Roman"/>
        <family val="1"/>
      </rPr>
      <t>Điện thoại:</t>
    </r>
    <r>
      <rPr>
        <sz val="11"/>
        <rFont val="Times New Roman"/>
        <family val="1"/>
      </rPr>
      <t xml:space="preserve"> 1800.8088 *** </t>
    </r>
    <r>
      <rPr>
        <b/>
        <sz val="11"/>
        <rFont val="Times New Roman"/>
        <family val="1"/>
      </rPr>
      <t>Email:</t>
    </r>
    <r>
      <rPr>
        <sz val="11"/>
        <rFont val="Times New Roman"/>
        <family val="1"/>
      </rPr>
      <t xml:space="preserve"> support@viettelidc.com.vn</t>
    </r>
  </si>
  <si>
    <r>
      <rPr>
        <b/>
        <sz val="11"/>
        <rFont val="Times New Roman"/>
        <family val="1"/>
      </rPr>
      <t>Website:</t>
    </r>
    <r>
      <rPr>
        <sz val="11"/>
        <rFont val="Times New Roman"/>
        <family val="1"/>
      </rPr>
      <t xml:space="preserve"> http://www.viettelidc.com.vn</t>
    </r>
  </si>
  <si>
    <t xml:space="preserve">Add-On </t>
  </si>
  <si>
    <t>2.1</t>
  </si>
  <si>
    <t>Subnet</t>
  </si>
  <si>
    <t>2.2</t>
  </si>
  <si>
    <t>2.3</t>
  </si>
  <si>
    <t>2.4</t>
  </si>
  <si>
    <t>IP</t>
  </si>
  <si>
    <t>VAT (10%)</t>
  </si>
  <si>
    <t>SSD</t>
  </si>
  <si>
    <t>Note:</t>
  </si>
  <si>
    <t>II</t>
  </si>
  <si>
    <t>III</t>
  </si>
  <si>
    <t>1. Thông tin khách hàng</t>
  </si>
  <si>
    <t>- Tên khách hàng: Công ty Cổ phần Công nghệ và Tư vấn CIC</t>
  </si>
  <si>
    <t>- Người liên hệ: Nguyễn Quốc Anh</t>
  </si>
  <si>
    <t>2. Nhu cầu khách hàng</t>
  </si>
  <si>
    <t>- Hệ thống: Web App quản lý dự án</t>
  </si>
  <si>
    <t>- Số lượng user: ~150 users</t>
  </si>
  <si>
    <t>- Concurrent online: ~50 users đồng thời</t>
  </si>
  <si>
    <t>- Dung lượng lưu trữ: khoảng 2TB</t>
  </si>
  <si>
    <t>- Ứng dụng hiện tại: Supabase</t>
  </si>
  <si>
    <t>- Khách hàng muốn chuyển toàn bộ hệ thống sang hạ tầng Viettel IDC</t>
  </si>
  <si>
    <t>STT</t>
  </si>
  <si>
    <t>Dịch vụ</t>
  </si>
  <si>
    <t>Số lượng</t>
  </si>
  <si>
    <t>Đơn vị tính</t>
  </si>
  <si>
    <t>Ghi chú</t>
  </si>
  <si>
    <t>Đơn giá/tháng (VNĐ)</t>
  </si>
  <si>
    <t>Thành tiền/tháng (VNĐ)</t>
  </si>
  <si>
    <t>Viettel Cloud Backup</t>
  </si>
  <si>
    <t>License backup
- Tương đương số lượng VM cần backup</t>
  </si>
  <si>
    <t>License</t>
  </si>
  <si>
    <t>Dung lượng backup</t>
  </si>
  <si>
    <t xml:space="preserve">Viettel Object Storage Gold </t>
  </si>
  <si>
    <t>Dung lượng</t>
  </si>
  <si>
    <r>
      <t xml:space="preserve">Data Transfer In
</t>
    </r>
    <r>
      <rPr>
        <sz val="12"/>
        <color theme="1"/>
        <rFont val="Times New Roman"/>
        <family val="1"/>
      </rPr>
      <t>Block 1GB/tháng
Miễn phí: x10 dung lượng/Tháng
- Vượt tính phí 100đ/GB.</t>
    </r>
  </si>
  <si>
    <r>
      <t xml:space="preserve">Data Transfer Out
</t>
    </r>
    <r>
      <rPr>
        <sz val="12"/>
        <color theme="1"/>
        <rFont val="Times New Roman"/>
        <family val="1"/>
      </rPr>
      <t>Block 1GB/tháng
Miễn phí: x10 dung lượng/Tháng
- Vượt tính phí 100đ/GB.</t>
    </r>
  </si>
  <si>
    <r>
      <t xml:space="preserve">Request
</t>
    </r>
    <r>
      <rPr>
        <sz val="12"/>
        <color theme="1"/>
        <rFont val="Times New Roman"/>
        <family val="1"/>
      </rPr>
      <t>Block: 2.592.000 Request/Tháng
Miễn phí: 103.680.000 Request/tháng
- Vượt tính phí 50đ/1000 Request
- Block 2.592.000 request/Tháng ~ 129.600đ/tháng</t>
    </r>
  </si>
  <si>
    <t>Note: Báo gía trên chưa bao gồm chi phí OS, triển khai, vận hành và license DB</t>
  </si>
  <si>
    <t>- Báo giá theo cskd ban hành ngày 260508</t>
  </si>
  <si>
    <t>- Báo giá có hiệu lực 30 ngày</t>
  </si>
  <si>
    <t>Dịch vụ hạ tầng &amp; Cấu hình yêu cầu</t>
  </si>
  <si>
    <t>Phương án 1: Tối giản (1 VM)</t>
  </si>
  <si>
    <t>Phương án 2: Tiêu chuẩn (2 VM)</t>
  </si>
  <si>
    <t>VM Ứng dụng &amp; CSDL chính</t>
  </si>
  <si>
    <t>- PA 1: 4 vCPU, 8 GB RAM, 100 GB SSD, 01 IP Public tĩnh</t>
  </si>
  <si>
    <t>- PA 2: 8 vCPU, 16 GB RAM, 200 GB SSD, chỉ dùng IP Private</t>
  </si>
  <si>
    <t>............................ VNĐ/tháng</t>
  </si>
  <si>
    <t>VM Tường lửa Gateway (pfSense)</t>
  </si>
  <si>
    <t>- PA 1: Không yêu cầu</t>
  </si>
  <si>
    <t>- PA 2: 2 vCPU, 4 GB RAM, 50 GB SSD, 01 IP Public tĩnh</t>
  </si>
  <si>
    <t>Không áp dụng</t>
  </si>
  <si>
    <t>Kho lưu trữ vStorage Gold (Tạm tính 500GB)</t>
  </si>
  <si>
    <t>- Hỗ trợ Object Lock (Compliance Mode / WORM)</t>
  </si>
  <si>
    <t>Dịch vụ Sao lưu (Viettel Cloud Backup)</t>
  </si>
  <si>
    <t>- PA 1: 01 VM License + 50 GB dung lượng backup</t>
  </si>
  <si>
    <t>- PA 2: 01 VM License + 150 GB dung lượng backup</t>
  </si>
  <si>
    <t>Chi phí IP Public tĩnh bổ sung</t>
  </si>
  <si>
    <t>A</t>
  </si>
  <si>
    <t>TỔNG CHI PHÍ HÀNG THÁNG (CHƯA VAT)</t>
  </si>
  <si>
    <t>B</t>
  </si>
  <si>
    <t>THUẾ GIÁ TRỊ GIA TĂNG (VAT 10%)</t>
  </si>
  <si>
    <t>C</t>
  </si>
  <si>
    <t>TỔNG CHI PHÍ HÀNG THÁNG (ĐÃ GỒM VAT)</t>
  </si>
  <si>
    <t>D</t>
  </si>
  <si>
    <t>TỔNG CHI PHÍ GÓI 12 THÁNG (Đã gồm chiết khấu)</t>
  </si>
  <si>
    <t>............................ VNĐ/năm</t>
  </si>
  <si>
    <t>Chi phí trung bình thực tế / tháng sau chiết khấu</t>
  </si>
  <si>
    <t>Viettel Cloud Server VMware</t>
  </si>
  <si>
    <t>Báo giá hạ tầng CIC</t>
  </si>
  <si>
    <t>16/06/2026</t>
  </si>
  <si>
    <r>
      <rPr>
        <b/>
        <sz val="12"/>
        <color theme="1"/>
        <rFont val="Times New Roman"/>
        <family val="1"/>
      </rPr>
      <t>T2.Gen 02</t>
    </r>
    <r>
      <rPr>
        <sz val="12"/>
        <color theme="1"/>
        <rFont val="Times New Roman"/>
        <family val="1"/>
      </rPr>
      <t xml:space="preserve">
4 vCPU
RAM 8GB
Storage 80GB
1 IPv4 và 300 Mbps băng thông trong nước (share)
Data transfer unlimited</t>
    </r>
  </si>
  <si>
    <t>Backup 1 bản full, 2 bản Incremental</t>
  </si>
  <si>
    <t>Viettel Cloud Server Openstack</t>
  </si>
  <si>
    <r>
      <rPr>
        <b/>
        <sz val="12"/>
        <color theme="1"/>
        <rFont val="Times New Roman"/>
        <family val="1"/>
      </rPr>
      <t>CS3</t>
    </r>
    <r>
      <rPr>
        <sz val="12"/>
        <color theme="1"/>
        <rFont val="Times New Roman"/>
        <family val="1"/>
      </rPr>
      <t xml:space="preserve">
4 vCPU
RAM 8GB
Storage 80GB
1 IPv4 và 300 Mbps băng thông trong nước (share)
Data transfer unlimited</t>
    </r>
  </si>
  <si>
    <t>vFirewall (Compact)</t>
  </si>
  <si>
    <t>Chiếc</t>
  </si>
  <si>
    <t>Thành tiền/tháng (chưa bao gồm VAT)</t>
  </si>
  <si>
    <t>Thành tiền/tháng (đã bao gồm VAT)</t>
  </si>
  <si>
    <t>vFirewall (Standard 1 )</t>
  </si>
  <si>
    <t>vswitch</t>
  </si>
  <si>
    <t>IPv4 for vFirewall</t>
  </si>
  <si>
    <r>
      <rPr>
        <b/>
        <sz val="12"/>
        <color theme="1"/>
        <rFont val="Times New Roman"/>
        <family val="1"/>
      </rPr>
      <t>CS4</t>
    </r>
    <r>
      <rPr>
        <sz val="12"/>
        <color theme="1"/>
        <rFont val="Times New Roman"/>
        <family val="1"/>
      </rPr>
      <t xml:space="preserve">
8 vCPU
RAM 16GB
Storage 120GB
1 IPv4 và 300 Mbps băng thông trong nước (share)
Data transfer unlimited</t>
    </r>
  </si>
  <si>
    <r>
      <rPr>
        <b/>
        <sz val="12"/>
        <color theme="1"/>
        <rFont val="Times New Roman"/>
        <family val="1"/>
      </rPr>
      <t>T2.Gen 05</t>
    </r>
    <r>
      <rPr>
        <sz val="12"/>
        <color theme="1"/>
        <rFont val="Times New Roman"/>
        <family val="1"/>
      </rPr>
      <t xml:space="preserve">
8 vCPU
RAM 16GB
Storage 120GB
1 IPv4 và 300 Mbps băng thông trong nước (share)
Data transfer unlimited</t>
    </r>
  </si>
  <si>
    <t>Không ra Internet bằng IP public, đi ra Internet qua vFrirewall</t>
  </si>
  <si>
    <t>Tổng gói 12 tháng (đã bao gồm VAT - chiết khấu 10% dành riêng cho KH)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</si>
</sst>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2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6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i/>
      <u/>
      <sz val="12"/>
      <name val="Times New Roman"/>
      <family val="1"/>
    </font>
    <font>
      <sz val="12"/>
      <color rgb="FFFF0000"/>
      <name val="Times New Roman"/>
      <family val="1"/>
    </font>
    <font>
      <i/>
      <sz val="12"/>
      <color rgb="FFFF0000"/>
      <name val="Times New Roman"/>
      <family val="1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sz val="13"/>
      <color rgb="FF1F2937"/>
      <name val="Times New Roman"/>
      <family val="1"/>
    </font>
    <font>
      <b/>
      <sz val="13"/>
      <color rgb="FF1F2937"/>
      <name val="Times New Roman"/>
      <family val="1"/>
    </font>
    <font>
      <b/>
      <sz val="13"/>
      <color rgb="FFFFFFFF"/>
      <name val="Times New Roman"/>
      <family val="1"/>
    </font>
    <font>
      <i/>
      <sz val="13"/>
      <color rgb="FF47556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1B3A5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/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/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/>
      <bottom/>
      <diagonal/>
    </border>
    <border>
      <left/>
      <right style="medium">
        <color rgb="FFCBD5E1"/>
      </right>
      <top/>
      <bottom style="medium">
        <color rgb="FFCBD5E1"/>
      </bottom>
      <diagonal/>
    </border>
    <border>
      <left/>
      <right style="medium">
        <color rgb="FFCBD5E1"/>
      </right>
      <top/>
      <bottom/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94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vertical="center"/>
    </xf>
    <xf numFmtId="166" fontId="3" fillId="2" borderId="1" xfId="2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vertical="center" wrapText="1"/>
    </xf>
    <xf numFmtId="0" fontId="6" fillId="0" borderId="0" xfId="4" applyFont="1" applyAlignment="1">
      <alignment vertical="center" wrapText="1"/>
    </xf>
    <xf numFmtId="0" fontId="7" fillId="0" borderId="0" xfId="4" applyFont="1" applyAlignment="1">
      <alignment vertical="center"/>
    </xf>
    <xf numFmtId="0" fontId="6" fillId="0" borderId="0" xfId="4" applyFont="1" applyAlignment="1">
      <alignment vertical="center"/>
    </xf>
    <xf numFmtId="166" fontId="3" fillId="2" borderId="1" xfId="2" applyNumberFormat="1" applyFont="1" applyFill="1" applyBorder="1" applyAlignment="1">
      <alignment horizontal="left" vertical="center"/>
    </xf>
    <xf numFmtId="0" fontId="9" fillId="0" borderId="0" xfId="2" applyFont="1" applyAlignment="1">
      <alignment vertical="center"/>
    </xf>
    <xf numFmtId="0" fontId="10" fillId="0" borderId="1" xfId="2" quotePrefix="1" applyFont="1" applyBorder="1" applyAlignment="1">
      <alignment horizontal="center" vertical="center"/>
    </xf>
    <xf numFmtId="0" fontId="9" fillId="0" borderId="1" xfId="2" applyFont="1" applyBorder="1" applyAlignment="1">
      <alignment horizontal="left" vertical="center" wrapText="1"/>
    </xf>
    <xf numFmtId="166" fontId="9" fillId="0" borderId="1" xfId="3" applyNumberFormat="1" applyFont="1" applyFill="1" applyBorder="1" applyAlignment="1">
      <alignment vertical="center"/>
    </xf>
    <xf numFmtId="166" fontId="9" fillId="0" borderId="1" xfId="2" applyNumberFormat="1" applyFont="1" applyBorder="1" applyAlignment="1">
      <alignment vertical="center" wrapText="1"/>
    </xf>
    <xf numFmtId="0" fontId="10" fillId="0" borderId="1" xfId="2" applyFont="1" applyBorder="1" applyAlignment="1">
      <alignment horizontal="left" vertical="center"/>
    </xf>
    <xf numFmtId="0" fontId="9" fillId="0" borderId="1" xfId="2" quotePrefix="1" applyFont="1" applyBorder="1" applyAlignment="1">
      <alignment horizontal="center" vertical="center"/>
    </xf>
    <xf numFmtId="166" fontId="10" fillId="0" borderId="1" xfId="2" applyNumberFormat="1" applyFont="1" applyBorder="1" applyAlignment="1">
      <alignment vertical="center" wrapText="1"/>
    </xf>
    <xf numFmtId="0" fontId="11" fillId="0" borderId="0" xfId="0" applyFont="1"/>
    <xf numFmtId="0" fontId="9" fillId="0" borderId="1" xfId="0" applyFont="1" applyBorder="1" applyAlignment="1">
      <alignment horizontal="center" vertical="center" wrapText="1"/>
    </xf>
    <xf numFmtId="165" fontId="9" fillId="0" borderId="1" xfId="1" applyNumberFormat="1" applyFont="1" applyBorder="1" applyAlignment="1">
      <alignment horizontal="right" vertical="center" wrapText="1"/>
    </xf>
    <xf numFmtId="0" fontId="9" fillId="0" borderId="1" xfId="2" applyFont="1" applyBorder="1" applyAlignment="1">
      <alignment horizontal="left" vertical="center"/>
    </xf>
    <xf numFmtId="166" fontId="9" fillId="0" borderId="1" xfId="2" quotePrefix="1" applyNumberFormat="1" applyFont="1" applyBorder="1" applyAlignment="1">
      <alignment horizontal="left" vertical="center" wrapText="1"/>
    </xf>
    <xf numFmtId="0" fontId="10" fillId="0" borderId="1" xfId="2" applyFont="1" applyBorder="1" applyAlignment="1">
      <alignment horizontal="center" vertical="center"/>
    </xf>
    <xf numFmtId="0" fontId="11" fillId="0" borderId="0" xfId="2" applyFont="1"/>
    <xf numFmtId="0" fontId="11" fillId="0" borderId="0" xfId="2" applyFont="1" applyAlignment="1">
      <alignment horizontal="center"/>
    </xf>
    <xf numFmtId="0" fontId="13" fillId="0" borderId="0" xfId="4" applyFont="1" applyAlignment="1">
      <alignment vertical="center"/>
    </xf>
    <xf numFmtId="0" fontId="4" fillId="0" borderId="0" xfId="4" quotePrefix="1" applyFont="1" applyAlignment="1">
      <alignment vertical="center"/>
    </xf>
    <xf numFmtId="0" fontId="4" fillId="0" borderId="0" xfId="4" applyFont="1" applyAlignment="1">
      <alignment vertical="center" wrapText="1"/>
    </xf>
    <xf numFmtId="0" fontId="4" fillId="0" borderId="0" xfId="4" applyFont="1" applyAlignment="1">
      <alignment vertical="center"/>
    </xf>
    <xf numFmtId="166" fontId="3" fillId="2" borderId="1" xfId="2" applyNumberFormat="1" applyFont="1" applyFill="1" applyBorder="1" applyAlignment="1">
      <alignment vertical="center"/>
    </xf>
    <xf numFmtId="0" fontId="9" fillId="0" borderId="1" xfId="2" quotePrefix="1" applyFont="1" applyBorder="1" applyAlignment="1">
      <alignment vertical="center"/>
    </xf>
    <xf numFmtId="0" fontId="9" fillId="0" borderId="1" xfId="2" applyFont="1" applyBorder="1" applyAlignment="1">
      <alignment vertical="center"/>
    </xf>
    <xf numFmtId="165" fontId="9" fillId="0" borderId="1" xfId="1" applyNumberFormat="1" applyFont="1" applyBorder="1" applyAlignment="1">
      <alignment vertical="center"/>
    </xf>
    <xf numFmtId="0" fontId="10" fillId="0" borderId="1" xfId="2" applyFont="1" applyBorder="1" applyAlignment="1">
      <alignment vertical="center"/>
    </xf>
    <xf numFmtId="165" fontId="10" fillId="0" borderId="1" xfId="1" applyNumberFormat="1" applyFont="1" applyBorder="1" applyAlignment="1">
      <alignment vertical="center"/>
    </xf>
    <xf numFmtId="14" fontId="11" fillId="0" borderId="0" xfId="2" quotePrefix="1" applyNumberFormat="1" applyFont="1" applyAlignment="1">
      <alignment horizontal="right"/>
    </xf>
    <xf numFmtId="0" fontId="9" fillId="0" borderId="1" xfId="2" applyFont="1" applyBorder="1" applyAlignment="1">
      <alignment horizontal="center" vertical="center"/>
    </xf>
    <xf numFmtId="165" fontId="9" fillId="0" borderId="1" xfId="2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3" fontId="9" fillId="0" borderId="1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14" fillId="0" borderId="1" xfId="2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2" applyFont="1" applyBorder="1" applyAlignment="1">
      <alignment horizontal="left"/>
    </xf>
    <xf numFmtId="0" fontId="3" fillId="2" borderId="1" xfId="2" applyFont="1" applyFill="1" applyBorder="1" applyAlignment="1">
      <alignment horizontal="center" vertical="center" wrapText="1"/>
    </xf>
    <xf numFmtId="165" fontId="3" fillId="2" borderId="1" xfId="3" applyNumberFormat="1" applyFont="1" applyFill="1" applyBorder="1" applyAlignment="1">
      <alignment horizontal="center" vertical="center" wrapText="1"/>
    </xf>
    <xf numFmtId="0" fontId="9" fillId="0" borderId="1" xfId="2" applyFont="1" applyBorder="1"/>
    <xf numFmtId="0" fontId="9" fillId="0" borderId="1" xfId="2" applyFont="1" applyBorder="1" applyAlignment="1">
      <alignment horizontal="center" vertical="center"/>
    </xf>
    <xf numFmtId="165" fontId="9" fillId="0" borderId="1" xfId="1" applyNumberFormat="1" applyFont="1" applyBorder="1" applyAlignment="1">
      <alignment horizontal="right" vertical="center"/>
    </xf>
    <xf numFmtId="0" fontId="11" fillId="0" borderId="0" xfId="2" applyFont="1" applyAlignment="1">
      <alignment horizontal="center"/>
    </xf>
    <xf numFmtId="165" fontId="9" fillId="0" borderId="1" xfId="2" applyNumberFormat="1" applyFont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vertical="center" wrapText="1"/>
    </xf>
    <xf numFmtId="0" fontId="18" fillId="4" borderId="10" xfId="0" applyFont="1" applyFill="1" applyBorder="1" applyAlignment="1">
      <alignment vertical="center" wrapText="1"/>
    </xf>
    <xf numFmtId="0" fontId="18" fillId="4" borderId="9" xfId="0" applyFont="1" applyFill="1" applyBorder="1" applyAlignment="1">
      <alignment vertical="center" wrapText="1"/>
    </xf>
    <xf numFmtId="0" fontId="19" fillId="5" borderId="10" xfId="0" applyFont="1" applyFill="1" applyBorder="1" applyAlignment="1">
      <alignment vertical="center" wrapText="1"/>
    </xf>
    <xf numFmtId="0" fontId="18" fillId="5" borderId="10" xfId="0" applyFont="1" applyFill="1" applyBorder="1" applyAlignment="1">
      <alignment vertical="center" wrapText="1"/>
    </xf>
    <xf numFmtId="0" fontId="18" fillId="5" borderId="9" xfId="0" applyFont="1" applyFill="1" applyBorder="1" applyAlignment="1">
      <alignment vertical="center" wrapText="1"/>
    </xf>
    <xf numFmtId="0" fontId="18" fillId="4" borderId="7" xfId="0" applyFont="1" applyFill="1" applyBorder="1" applyAlignment="1">
      <alignment vertical="center" wrapText="1"/>
    </xf>
    <xf numFmtId="0" fontId="19" fillId="4" borderId="9" xfId="0" applyFont="1" applyFill="1" applyBorder="1" applyAlignment="1">
      <alignment vertical="center" wrapText="1"/>
    </xf>
    <xf numFmtId="0" fontId="18" fillId="4" borderId="9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vertical="center" wrapText="1"/>
    </xf>
    <xf numFmtId="0" fontId="19" fillId="5" borderId="9" xfId="0" applyFont="1" applyFill="1" applyBorder="1" applyAlignment="1">
      <alignment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vertical="center" wrapText="1"/>
    </xf>
    <xf numFmtId="0" fontId="21" fillId="5" borderId="9" xfId="0" applyFont="1" applyFill="1" applyBorder="1" applyAlignment="1">
      <alignment vertical="center" wrapText="1"/>
    </xf>
    <xf numFmtId="0" fontId="21" fillId="5" borderId="9" xfId="0" applyFont="1" applyFill="1" applyBorder="1" applyAlignment="1">
      <alignment horizontal="center" vertical="center" wrapText="1"/>
    </xf>
    <xf numFmtId="0" fontId="10" fillId="0" borderId="1" xfId="2" applyFont="1" applyBorder="1" applyAlignment="1">
      <alignment horizontal="right" vertical="center" wrapText="1"/>
    </xf>
    <xf numFmtId="0" fontId="3" fillId="2" borderId="1" xfId="2" applyFont="1" applyFill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 wrapText="1"/>
    </xf>
    <xf numFmtId="166" fontId="14" fillId="0" borderId="1" xfId="2" applyNumberFormat="1" applyFont="1" applyBorder="1" applyAlignment="1">
      <alignment vertical="center" wrapText="1"/>
    </xf>
    <xf numFmtId="0" fontId="18" fillId="4" borderId="11" xfId="0" applyFont="1" applyFill="1" applyBorder="1" applyAlignment="1">
      <alignment vertical="center" wrapText="1"/>
    </xf>
    <xf numFmtId="0" fontId="18" fillId="4" borderId="7" xfId="0" applyFont="1" applyFill="1" applyBorder="1" applyAlignment="1">
      <alignment vertical="center" wrapText="1"/>
    </xf>
    <xf numFmtId="0" fontId="18" fillId="4" borderId="11" xfId="0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vertical="center" wrapText="1"/>
    </xf>
    <xf numFmtId="0" fontId="18" fillId="5" borderId="8" xfId="0" applyFont="1" applyFill="1" applyBorder="1" applyAlignment="1">
      <alignment vertical="center" wrapText="1"/>
    </xf>
    <xf numFmtId="0" fontId="18" fillId="5" borderId="7" xfId="0" applyFont="1" applyFill="1" applyBorder="1" applyAlignment="1">
      <alignment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vertical="center" wrapText="1"/>
    </xf>
    <xf numFmtId="0" fontId="18" fillId="4" borderId="8" xfId="0" applyFont="1" applyFill="1" applyBorder="1" applyAlignment="1">
      <alignment horizontal="center" vertical="center" wrapText="1"/>
    </xf>
    <xf numFmtId="0" fontId="11" fillId="0" borderId="0" xfId="2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8" fillId="0" borderId="0" xfId="4" applyFont="1" applyAlignment="1">
      <alignment horizontal="center" vertical="center" wrapText="1"/>
    </xf>
    <xf numFmtId="0" fontId="12" fillId="0" borderId="2" xfId="2" applyFont="1" applyBorder="1" applyAlignment="1">
      <alignment horizontal="center"/>
    </xf>
  </cellXfs>
  <cellStyles count="5">
    <cellStyle name="Comma" xfId="1" builtinId="3"/>
    <cellStyle name="Comma 2" xfId="3"/>
    <cellStyle name="Normal" xfId="0" builtinId="0"/>
    <cellStyle name="Normal 2" xfId="2"/>
    <cellStyle name="Normal_Bao gia_Colocation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200026</xdr:colOff>
      <xdr:row>0</xdr:row>
      <xdr:rowOff>161926</xdr:rowOff>
    </xdr:from>
    <xdr:to>
      <xdr:col>1</xdr:col>
      <xdr:colOff>1463253</xdr:colOff>
      <xdr:row>3</xdr:row>
      <xdr:rowOff>49980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6" y="161926"/>
          <a:ext cx="1263227" cy="4214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200026</xdr:colOff>
      <xdr:row>0</xdr:row>
      <xdr:rowOff>161926</xdr:rowOff>
    </xdr:from>
    <xdr:to>
      <xdr:col>1</xdr:col>
      <xdr:colOff>1463253</xdr:colOff>
      <xdr:row>3</xdr:row>
      <xdr:rowOff>49980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6" y="161926"/>
          <a:ext cx="1263227" cy="4214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200026</xdr:colOff>
      <xdr:row>0</xdr:row>
      <xdr:rowOff>161926</xdr:rowOff>
    </xdr:from>
    <xdr:to>
      <xdr:col>1</xdr:col>
      <xdr:colOff>1463253</xdr:colOff>
      <xdr:row>3</xdr:row>
      <xdr:rowOff>49980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6" y="161926"/>
          <a:ext cx="1263227" cy="4214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200026</xdr:colOff>
      <xdr:row>0</xdr:row>
      <xdr:rowOff>161926</xdr:rowOff>
    </xdr:from>
    <xdr:to>
      <xdr:col>1</xdr:col>
      <xdr:colOff>1463253</xdr:colOff>
      <xdr:row>3</xdr:row>
      <xdr:rowOff>49980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976" y="161926"/>
          <a:ext cx="1263227" cy="4214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I21" sqref="G15:I21"/>
    </sheetView>
  </sheetViews>
  <sheetFormatPr defaultRowHeight="14.25" x14ac:dyDescent="0.45"/>
  <sheetData>
    <row r="1" spans="1:1" ht="15" x14ac:dyDescent="0.45">
      <c r="A1" s="38" t="s">
        <v>19</v>
      </c>
    </row>
    <row r="2" spans="1:1" x14ac:dyDescent="0.45">
      <c r="A2" s="39" t="s">
        <v>20</v>
      </c>
    </row>
    <row r="3" spans="1:1" x14ac:dyDescent="0.45">
      <c r="A3" s="39" t="s">
        <v>21</v>
      </c>
    </row>
    <row r="4" spans="1:1" ht="15" x14ac:dyDescent="0.45">
      <c r="A4" s="38" t="s">
        <v>22</v>
      </c>
    </row>
    <row r="5" spans="1:1" x14ac:dyDescent="0.45">
      <c r="A5" s="39" t="s">
        <v>23</v>
      </c>
    </row>
    <row r="6" spans="1:1" x14ac:dyDescent="0.45">
      <c r="A6" s="39" t="s">
        <v>24</v>
      </c>
    </row>
    <row r="7" spans="1:1" x14ac:dyDescent="0.45">
      <c r="A7" s="39" t="s">
        <v>25</v>
      </c>
    </row>
    <row r="8" spans="1:1" x14ac:dyDescent="0.45">
      <c r="A8" s="39" t="s">
        <v>26</v>
      </c>
    </row>
    <row r="9" spans="1:1" x14ac:dyDescent="0.45">
      <c r="A9" s="39" t="s">
        <v>27</v>
      </c>
    </row>
    <row r="10" spans="1:1" x14ac:dyDescent="0.45">
      <c r="A10" s="39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30" sqref="D30"/>
    </sheetView>
  </sheetViews>
  <sheetFormatPr defaultRowHeight="14.25" x14ac:dyDescent="0.45"/>
  <cols>
    <col min="1" max="1" width="7.9296875" customWidth="1"/>
    <col min="2" max="2" width="73" customWidth="1"/>
    <col min="3" max="3" width="26.06640625" customWidth="1"/>
    <col min="4" max="4" width="33.265625" customWidth="1"/>
  </cols>
  <sheetData>
    <row r="1" spans="1:4" ht="33.4" thickBot="1" x14ac:dyDescent="0.5">
      <c r="A1" s="54" t="s">
        <v>29</v>
      </c>
      <c r="B1" s="55" t="s">
        <v>48</v>
      </c>
      <c r="C1" s="55" t="s">
        <v>49</v>
      </c>
      <c r="D1" s="55" t="s">
        <v>50</v>
      </c>
    </row>
    <row r="2" spans="1:4" ht="16.5" x14ac:dyDescent="0.45">
      <c r="A2" s="77">
        <v>1</v>
      </c>
      <c r="B2" s="56" t="s">
        <v>51</v>
      </c>
      <c r="C2" s="79" t="s">
        <v>54</v>
      </c>
      <c r="D2" s="79" t="s">
        <v>54</v>
      </c>
    </row>
    <row r="3" spans="1:4" ht="16.5" x14ac:dyDescent="0.45">
      <c r="A3" s="87"/>
      <c r="B3" s="57" t="s">
        <v>52</v>
      </c>
      <c r="C3" s="88"/>
      <c r="D3" s="88"/>
    </row>
    <row r="4" spans="1:4" ht="16.899999999999999" thickBot="1" x14ac:dyDescent="0.5">
      <c r="A4" s="78"/>
      <c r="B4" s="58" t="s">
        <v>53</v>
      </c>
      <c r="C4" s="80"/>
      <c r="D4" s="80"/>
    </row>
    <row r="5" spans="1:4" ht="16.5" x14ac:dyDescent="0.45">
      <c r="A5" s="81">
        <v>2</v>
      </c>
      <c r="B5" s="59" t="s">
        <v>55</v>
      </c>
      <c r="C5" s="84" t="s">
        <v>58</v>
      </c>
      <c r="D5" s="84" t="s">
        <v>54</v>
      </c>
    </row>
    <row r="6" spans="1:4" ht="16.5" x14ac:dyDescent="0.45">
      <c r="A6" s="82"/>
      <c r="B6" s="60" t="s">
        <v>56</v>
      </c>
      <c r="C6" s="85"/>
      <c r="D6" s="85"/>
    </row>
    <row r="7" spans="1:4" ht="16.899999999999999" thickBot="1" x14ac:dyDescent="0.5">
      <c r="A7" s="83"/>
      <c r="B7" s="61" t="s">
        <v>57</v>
      </c>
      <c r="C7" s="86"/>
      <c r="D7" s="86"/>
    </row>
    <row r="8" spans="1:4" ht="16.5" x14ac:dyDescent="0.45">
      <c r="A8" s="77">
        <v>3</v>
      </c>
      <c r="B8" s="56" t="s">
        <v>59</v>
      </c>
      <c r="C8" s="79" t="s">
        <v>54</v>
      </c>
      <c r="D8" s="79" t="s">
        <v>54</v>
      </c>
    </row>
    <row r="9" spans="1:4" ht="16.899999999999999" thickBot="1" x14ac:dyDescent="0.5">
      <c r="A9" s="78"/>
      <c r="B9" s="58" t="s">
        <v>60</v>
      </c>
      <c r="C9" s="80"/>
      <c r="D9" s="80"/>
    </row>
    <row r="10" spans="1:4" ht="16.5" x14ac:dyDescent="0.45">
      <c r="A10" s="81">
        <v>4</v>
      </c>
      <c r="B10" s="59" t="s">
        <v>61</v>
      </c>
      <c r="C10" s="84" t="s">
        <v>54</v>
      </c>
      <c r="D10" s="84" t="s">
        <v>54</v>
      </c>
    </row>
    <row r="11" spans="1:4" ht="16.5" x14ac:dyDescent="0.45">
      <c r="A11" s="82"/>
      <c r="B11" s="60" t="s">
        <v>62</v>
      </c>
      <c r="C11" s="85"/>
      <c r="D11" s="85"/>
    </row>
    <row r="12" spans="1:4" ht="16.899999999999999" thickBot="1" x14ac:dyDescent="0.5">
      <c r="A12" s="83"/>
      <c r="B12" s="61" t="s">
        <v>63</v>
      </c>
      <c r="C12" s="86"/>
      <c r="D12" s="86"/>
    </row>
    <row r="13" spans="1:4" ht="33.4" thickBot="1" x14ac:dyDescent="0.5">
      <c r="A13" s="62">
        <v>5</v>
      </c>
      <c r="B13" s="63" t="s">
        <v>64</v>
      </c>
      <c r="C13" s="64" t="s">
        <v>54</v>
      </c>
      <c r="D13" s="64" t="s">
        <v>54</v>
      </c>
    </row>
    <row r="14" spans="1:4" ht="33.4" thickBot="1" x14ac:dyDescent="0.5">
      <c r="A14" s="65" t="s">
        <v>65</v>
      </c>
      <c r="B14" s="66" t="s">
        <v>66</v>
      </c>
      <c r="C14" s="67" t="s">
        <v>54</v>
      </c>
      <c r="D14" s="67" t="s">
        <v>54</v>
      </c>
    </row>
    <row r="15" spans="1:4" ht="33.4" thickBot="1" x14ac:dyDescent="0.5">
      <c r="A15" s="68" t="s">
        <v>67</v>
      </c>
      <c r="B15" s="63" t="s">
        <v>68</v>
      </c>
      <c r="C15" s="69" t="s">
        <v>54</v>
      </c>
      <c r="D15" s="69" t="s">
        <v>54</v>
      </c>
    </row>
    <row r="16" spans="1:4" ht="33.4" thickBot="1" x14ac:dyDescent="0.5">
      <c r="A16" s="65" t="s">
        <v>69</v>
      </c>
      <c r="B16" s="66" t="s">
        <v>70</v>
      </c>
      <c r="C16" s="67" t="s">
        <v>54</v>
      </c>
      <c r="D16" s="67" t="s">
        <v>54</v>
      </c>
    </row>
    <row r="17" spans="1:4" ht="33.4" thickBot="1" x14ac:dyDescent="0.5">
      <c r="A17" s="68" t="s">
        <v>71</v>
      </c>
      <c r="B17" s="63" t="s">
        <v>72</v>
      </c>
      <c r="C17" s="69" t="s">
        <v>73</v>
      </c>
      <c r="D17" s="69" t="s">
        <v>73</v>
      </c>
    </row>
    <row r="18" spans="1:4" ht="33.4" thickBot="1" x14ac:dyDescent="0.5">
      <c r="A18" s="70"/>
      <c r="B18" s="71" t="s">
        <v>74</v>
      </c>
      <c r="C18" s="72" t="s">
        <v>54</v>
      </c>
      <c r="D18" s="72" t="s">
        <v>54</v>
      </c>
    </row>
  </sheetData>
  <mergeCells count="12">
    <mergeCell ref="A2:A4"/>
    <mergeCell ref="C2:C4"/>
    <mergeCell ref="D2:D4"/>
    <mergeCell ref="A5:A7"/>
    <mergeCell ref="C5:C7"/>
    <mergeCell ref="D5:D7"/>
    <mergeCell ref="A8:A9"/>
    <mergeCell ref="C8:C9"/>
    <mergeCell ref="D8:D9"/>
    <mergeCell ref="A10:A12"/>
    <mergeCell ref="C10:C12"/>
    <mergeCell ref="D10:D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opLeftCell="A19" zoomScale="85" zoomScaleNormal="85" workbookViewId="0">
      <selection activeCell="A24" sqref="A24:XFD24"/>
    </sheetView>
  </sheetViews>
  <sheetFormatPr defaultColWidth="8.796875" defaultRowHeight="13.9" x14ac:dyDescent="0.4"/>
  <cols>
    <col min="1" max="1" width="8.796875" style="24"/>
    <col min="2" max="2" width="44.46484375" style="23" customWidth="1"/>
    <col min="3" max="3" width="12.46484375" style="23" customWidth="1"/>
    <col min="4" max="4" width="10.46484375" style="23" bestFit="1" customWidth="1"/>
    <col min="5" max="5" width="17.796875" style="23" customWidth="1"/>
    <col min="6" max="6" width="19.265625" style="23" customWidth="1"/>
    <col min="7" max="7" width="35" style="23" customWidth="1"/>
    <col min="8" max="8" width="8.796875" style="23"/>
    <col min="9" max="9" width="10.19921875" style="23" bestFit="1" customWidth="1"/>
    <col min="10" max="16384" width="8.796875" style="23"/>
  </cols>
  <sheetData>
    <row r="1" spans="1:14" s="5" customFormat="1" x14ac:dyDescent="0.45">
      <c r="C1" s="6" t="s">
        <v>3</v>
      </c>
      <c r="D1" s="7"/>
      <c r="E1" s="7"/>
      <c r="F1" s="7"/>
    </row>
    <row r="2" spans="1:14" s="5" customFormat="1" x14ac:dyDescent="0.45">
      <c r="C2" s="7" t="s">
        <v>4</v>
      </c>
      <c r="D2" s="7"/>
      <c r="E2" s="7"/>
      <c r="F2" s="7"/>
    </row>
    <row r="3" spans="1:14" s="5" customFormat="1" x14ac:dyDescent="0.45">
      <c r="C3" s="7" t="s">
        <v>5</v>
      </c>
      <c r="D3" s="7"/>
      <c r="E3" s="7"/>
      <c r="F3" s="7"/>
    </row>
    <row r="4" spans="1:14" s="5" customFormat="1" x14ac:dyDescent="0.45">
      <c r="C4" s="7" t="s">
        <v>6</v>
      </c>
      <c r="D4" s="7"/>
      <c r="E4" s="7"/>
      <c r="F4" s="7"/>
    </row>
    <row r="5" spans="1:14" s="5" customFormat="1" x14ac:dyDescent="0.45">
      <c r="C5" s="7"/>
      <c r="D5" s="7"/>
      <c r="E5" s="7"/>
      <c r="F5" s="7"/>
    </row>
    <row r="6" spans="1:14" s="5" customFormat="1" ht="19.899999999999999" x14ac:dyDescent="0.45">
      <c r="A6" s="92" t="s">
        <v>76</v>
      </c>
      <c r="B6" s="92"/>
      <c r="C6" s="92"/>
      <c r="D6" s="92"/>
      <c r="E6" s="92"/>
      <c r="F6" s="92"/>
      <c r="G6" s="92"/>
    </row>
    <row r="7" spans="1:14" ht="16.5" x14ac:dyDescent="0.45">
      <c r="A7" s="93"/>
      <c r="B7" s="93"/>
      <c r="C7" s="93"/>
      <c r="F7" s="35" t="s">
        <v>77</v>
      </c>
    </row>
    <row r="8" spans="1:14" ht="30" x14ac:dyDescent="0.4">
      <c r="A8" s="1" t="s">
        <v>29</v>
      </c>
      <c r="B8" s="1" t="s">
        <v>30</v>
      </c>
      <c r="C8" s="47" t="s">
        <v>31</v>
      </c>
      <c r="D8" s="47" t="s">
        <v>32</v>
      </c>
      <c r="E8" s="47" t="s">
        <v>34</v>
      </c>
      <c r="F8" s="47" t="s">
        <v>35</v>
      </c>
      <c r="G8" s="48" t="s">
        <v>33</v>
      </c>
      <c r="J8" s="89"/>
      <c r="K8" s="89"/>
      <c r="L8" s="89"/>
      <c r="M8" s="89"/>
      <c r="N8" s="89"/>
    </row>
    <row r="9" spans="1:14" s="17" customFormat="1" ht="15.4" x14ac:dyDescent="0.4">
      <c r="A9" s="1" t="s">
        <v>0</v>
      </c>
      <c r="B9" s="2" t="s">
        <v>75</v>
      </c>
      <c r="C9" s="2"/>
      <c r="D9" s="1"/>
      <c r="E9" s="2"/>
      <c r="F9" s="29"/>
      <c r="G9" s="8"/>
      <c r="H9" s="9"/>
    </row>
    <row r="10" spans="1:14" s="17" customFormat="1" ht="92.25" x14ac:dyDescent="0.4">
      <c r="A10" s="10">
        <v>1</v>
      </c>
      <c r="B10" s="11" t="s">
        <v>78</v>
      </c>
      <c r="C10" s="36">
        <v>1</v>
      </c>
      <c r="D10" s="36" t="s">
        <v>1</v>
      </c>
      <c r="E10" s="19">
        <v>1600000</v>
      </c>
      <c r="F10" s="12">
        <f>E10*C10</f>
        <v>1600000</v>
      </c>
      <c r="G10" s="13"/>
      <c r="H10" s="9"/>
    </row>
    <row r="11" spans="1:14" s="17" customFormat="1" ht="15.4" x14ac:dyDescent="0.4">
      <c r="A11" s="10">
        <v>2</v>
      </c>
      <c r="B11" s="14" t="s">
        <v>7</v>
      </c>
      <c r="C11" s="15"/>
      <c r="D11" s="36"/>
      <c r="E11" s="73"/>
      <c r="F11" s="12"/>
      <c r="G11" s="16"/>
      <c r="H11" s="9"/>
    </row>
    <row r="12" spans="1:14" s="17" customFormat="1" ht="15.4" x14ac:dyDescent="0.4">
      <c r="A12" s="15" t="s">
        <v>8</v>
      </c>
      <c r="B12" s="20" t="s">
        <v>15</v>
      </c>
      <c r="C12" s="15">
        <v>20</v>
      </c>
      <c r="D12" s="50" t="s">
        <v>2</v>
      </c>
      <c r="E12" s="19">
        <v>3500</v>
      </c>
      <c r="F12" s="12">
        <f>E12*C12</f>
        <v>70000</v>
      </c>
      <c r="G12" s="21"/>
    </row>
    <row r="13" spans="1:14" ht="15.4" x14ac:dyDescent="0.4">
      <c r="A13" s="1" t="s">
        <v>17</v>
      </c>
      <c r="B13" s="2" t="s">
        <v>36</v>
      </c>
      <c r="C13" s="1"/>
      <c r="D13" s="2"/>
      <c r="E13" s="74"/>
      <c r="F13" s="3"/>
      <c r="G13" s="43"/>
    </row>
    <row r="14" spans="1:14" ht="30.75" x14ac:dyDescent="0.4">
      <c r="A14" s="36">
        <v>1</v>
      </c>
      <c r="B14" s="44" t="s">
        <v>37</v>
      </c>
      <c r="C14" s="36">
        <v>1</v>
      </c>
      <c r="D14" s="40" t="s">
        <v>38</v>
      </c>
      <c r="E14" s="75">
        <f>250000</f>
        <v>250000</v>
      </c>
      <c r="F14" s="37">
        <f>C14*E14</f>
        <v>250000</v>
      </c>
      <c r="G14" s="43"/>
    </row>
    <row r="15" spans="1:14" ht="15.4" x14ac:dyDescent="0.4">
      <c r="A15" s="36">
        <v>2</v>
      </c>
      <c r="B15" s="42" t="s">
        <v>39</v>
      </c>
      <c r="C15" s="36">
        <f>100*1.2</f>
        <v>120</v>
      </c>
      <c r="D15" s="40" t="s">
        <v>2</v>
      </c>
      <c r="E15" s="75">
        <f>650</f>
        <v>650</v>
      </c>
      <c r="F15" s="37">
        <f>C15*E15</f>
        <v>78000</v>
      </c>
      <c r="G15" s="43" t="s">
        <v>79</v>
      </c>
    </row>
    <row r="16" spans="1:14" ht="15.4" x14ac:dyDescent="0.4">
      <c r="A16" s="1" t="s">
        <v>18</v>
      </c>
      <c r="B16" s="2" t="s">
        <v>40</v>
      </c>
      <c r="C16" s="1"/>
      <c r="D16" s="2"/>
      <c r="E16" s="74"/>
      <c r="F16" s="3"/>
      <c r="G16" s="30"/>
    </row>
    <row r="17" spans="1:7" ht="15.4" x14ac:dyDescent="0.4">
      <c r="A17" s="18">
        <v>1</v>
      </c>
      <c r="B17" s="44" t="s">
        <v>41</v>
      </c>
      <c r="C17" s="36">
        <v>500</v>
      </c>
      <c r="D17" s="40" t="s">
        <v>2</v>
      </c>
      <c r="E17" s="51">
        <v>1000</v>
      </c>
      <c r="F17" s="37">
        <f>C17*E17</f>
        <v>500000</v>
      </c>
      <c r="G17" s="43"/>
    </row>
    <row r="18" spans="1:7" ht="61.15" x14ac:dyDescent="0.4">
      <c r="A18" s="41"/>
      <c r="B18" s="45" t="s">
        <v>42</v>
      </c>
      <c r="C18" s="36"/>
      <c r="D18" s="31"/>
      <c r="E18" s="32"/>
      <c r="F18" s="31"/>
      <c r="G18" s="43"/>
    </row>
    <row r="19" spans="1:7" ht="61.15" x14ac:dyDescent="0.4">
      <c r="A19" s="41"/>
      <c r="B19" s="45" t="s">
        <v>43</v>
      </c>
      <c r="C19" s="36"/>
      <c r="D19" s="31"/>
      <c r="E19" s="32"/>
      <c r="F19" s="31"/>
      <c r="G19" s="43"/>
    </row>
    <row r="20" spans="1:7" ht="76.5" x14ac:dyDescent="0.4">
      <c r="A20" s="41"/>
      <c r="B20" s="45" t="s">
        <v>44</v>
      </c>
      <c r="C20" s="22"/>
      <c r="D20" s="33"/>
      <c r="E20" s="34"/>
      <c r="F20" s="33"/>
      <c r="G20" s="46"/>
    </row>
    <row r="21" spans="1:7" ht="15.4" x14ac:dyDescent="0.45">
      <c r="A21" s="90" t="s">
        <v>84</v>
      </c>
      <c r="B21" s="90"/>
      <c r="C21" s="90"/>
      <c r="D21" s="90"/>
      <c r="E21" s="90"/>
      <c r="F21" s="4">
        <f>SUM(F9:F20)</f>
        <v>2498000</v>
      </c>
      <c r="G21" s="49"/>
    </row>
    <row r="22" spans="1:7" ht="15.4" x14ac:dyDescent="0.45">
      <c r="A22" s="90" t="s">
        <v>14</v>
      </c>
      <c r="B22" s="90"/>
      <c r="C22" s="90"/>
      <c r="D22" s="90"/>
      <c r="E22" s="90"/>
      <c r="F22" s="4">
        <f>F21*10%</f>
        <v>249800</v>
      </c>
      <c r="G22" s="49"/>
    </row>
    <row r="23" spans="1:7" ht="15.5" customHeight="1" x14ac:dyDescent="0.45">
      <c r="A23" s="90" t="s">
        <v>85</v>
      </c>
      <c r="B23" s="90"/>
      <c r="C23" s="90"/>
      <c r="D23" s="90"/>
      <c r="E23" s="90"/>
      <c r="F23" s="4">
        <f>F21+F22</f>
        <v>2747800</v>
      </c>
      <c r="G23" s="49"/>
    </row>
    <row r="24" spans="1:7" ht="15.5" customHeight="1" x14ac:dyDescent="0.45">
      <c r="A24" s="90" t="s">
        <v>92</v>
      </c>
      <c r="B24" s="90"/>
      <c r="C24" s="90"/>
      <c r="D24" s="90"/>
      <c r="E24" s="90"/>
      <c r="F24" s="4">
        <f>F23*12*90%</f>
        <v>29676240</v>
      </c>
      <c r="G24" s="49"/>
    </row>
    <row r="25" spans="1:7" ht="15.4" x14ac:dyDescent="0.45">
      <c r="A25" s="91" t="s">
        <v>45</v>
      </c>
      <c r="B25" s="91"/>
      <c r="C25" s="91"/>
      <c r="D25" s="91"/>
      <c r="E25" s="91"/>
      <c r="F25" s="91"/>
      <c r="G25" s="49"/>
    </row>
    <row r="26" spans="1:7" ht="15.4" x14ac:dyDescent="0.4">
      <c r="A26" s="25" t="s">
        <v>16</v>
      </c>
      <c r="B26" s="26"/>
      <c r="C26" s="24"/>
      <c r="D26" s="24"/>
      <c r="E26" s="24"/>
      <c r="F26" s="24"/>
    </row>
    <row r="27" spans="1:7" ht="15.4" x14ac:dyDescent="0.4">
      <c r="A27" s="25"/>
      <c r="B27" s="26"/>
      <c r="C27" s="24"/>
      <c r="D27" s="24"/>
      <c r="E27" s="24"/>
      <c r="F27" s="24"/>
    </row>
    <row r="28" spans="1:7" ht="15.4" x14ac:dyDescent="0.4">
      <c r="A28" s="27"/>
      <c r="B28" s="26" t="s">
        <v>46</v>
      </c>
      <c r="C28" s="24"/>
      <c r="D28" s="24"/>
      <c r="E28" s="24"/>
      <c r="F28" s="24"/>
    </row>
    <row r="29" spans="1:7" ht="15.4" x14ac:dyDescent="0.4">
      <c r="A29" s="27"/>
      <c r="B29" s="26" t="s">
        <v>47</v>
      </c>
      <c r="C29" s="24"/>
      <c r="D29" s="24"/>
      <c r="E29" s="24"/>
      <c r="F29" s="24"/>
    </row>
    <row r="30" spans="1:7" ht="15.4" x14ac:dyDescent="0.4">
      <c r="A30" s="27"/>
      <c r="B30" s="28"/>
      <c r="C30" s="24"/>
      <c r="D30" s="24"/>
      <c r="E30" s="24"/>
      <c r="F30" s="24"/>
    </row>
    <row r="31" spans="1:7" x14ac:dyDescent="0.4">
      <c r="B31" s="24"/>
      <c r="C31" s="24"/>
      <c r="D31" s="24"/>
      <c r="E31" s="24"/>
      <c r="F31" s="24"/>
    </row>
    <row r="32" spans="1:7" x14ac:dyDescent="0.4">
      <c r="B32" s="24"/>
      <c r="C32" s="24"/>
      <c r="D32" s="24"/>
      <c r="E32" s="24"/>
      <c r="F32" s="24"/>
    </row>
    <row r="33" spans="2:6" x14ac:dyDescent="0.4">
      <c r="B33" s="24"/>
      <c r="C33" s="24"/>
      <c r="D33" s="24"/>
      <c r="E33" s="24"/>
      <c r="F33" s="24"/>
    </row>
    <row r="34" spans="2:6" x14ac:dyDescent="0.4">
      <c r="B34" s="24"/>
      <c r="C34" s="24"/>
      <c r="D34" s="24"/>
      <c r="E34" s="24"/>
      <c r="F34" s="24"/>
    </row>
    <row r="35" spans="2:6" x14ac:dyDescent="0.4">
      <c r="B35" s="24"/>
      <c r="C35" s="24"/>
      <c r="D35" s="24"/>
      <c r="E35" s="24"/>
      <c r="F35" s="24"/>
    </row>
    <row r="36" spans="2:6" x14ac:dyDescent="0.4">
      <c r="B36" s="24"/>
      <c r="C36" s="24"/>
      <c r="D36" s="24"/>
      <c r="E36" s="24"/>
      <c r="F36" s="24"/>
    </row>
    <row r="37" spans="2:6" x14ac:dyDescent="0.4">
      <c r="B37" s="24"/>
      <c r="C37" s="24"/>
      <c r="D37" s="24"/>
      <c r="E37" s="24"/>
      <c r="F37" s="24"/>
    </row>
    <row r="38" spans="2:6" x14ac:dyDescent="0.4">
      <c r="B38" s="24"/>
      <c r="C38" s="24"/>
      <c r="D38" s="24"/>
      <c r="E38" s="24"/>
      <c r="F38" s="24"/>
    </row>
    <row r="39" spans="2:6" x14ac:dyDescent="0.4">
      <c r="B39" s="24"/>
      <c r="C39" s="24"/>
      <c r="D39" s="24"/>
      <c r="E39" s="24"/>
      <c r="F39" s="24"/>
    </row>
    <row r="40" spans="2:6" x14ac:dyDescent="0.4">
      <c r="B40" s="24"/>
      <c r="C40" s="24"/>
      <c r="D40" s="24"/>
      <c r="E40" s="24"/>
      <c r="F40" s="24"/>
    </row>
    <row r="41" spans="2:6" x14ac:dyDescent="0.4">
      <c r="B41" s="24"/>
      <c r="C41" s="24"/>
      <c r="D41" s="24"/>
      <c r="E41" s="24"/>
      <c r="F41" s="24"/>
    </row>
    <row r="42" spans="2:6" x14ac:dyDescent="0.4">
      <c r="B42" s="24"/>
      <c r="C42" s="24"/>
      <c r="D42" s="24"/>
      <c r="E42" s="24"/>
      <c r="F42" s="24"/>
    </row>
    <row r="43" spans="2:6" x14ac:dyDescent="0.4">
      <c r="B43" s="24"/>
      <c r="C43" s="24"/>
      <c r="D43" s="24"/>
      <c r="E43" s="24"/>
      <c r="F43" s="24"/>
    </row>
    <row r="44" spans="2:6" x14ac:dyDescent="0.4">
      <c r="B44" s="24"/>
      <c r="C44" s="24"/>
      <c r="D44" s="24"/>
      <c r="E44" s="24"/>
      <c r="F44" s="24"/>
    </row>
    <row r="45" spans="2:6" x14ac:dyDescent="0.4">
      <c r="B45" s="24"/>
      <c r="C45" s="24"/>
      <c r="D45" s="24"/>
      <c r="E45" s="24"/>
      <c r="F45" s="24"/>
    </row>
    <row r="46" spans="2:6" x14ac:dyDescent="0.4">
      <c r="B46" s="24"/>
      <c r="C46" s="24"/>
      <c r="D46" s="24"/>
      <c r="E46" s="24"/>
      <c r="F46" s="24"/>
    </row>
  </sheetData>
  <mergeCells count="8">
    <mergeCell ref="A6:G6"/>
    <mergeCell ref="A7:C7"/>
    <mergeCell ref="A24:E24"/>
    <mergeCell ref="J8:N8"/>
    <mergeCell ref="A21:E21"/>
    <mergeCell ref="A22:E22"/>
    <mergeCell ref="A23:E23"/>
    <mergeCell ref="A25:F25"/>
  </mergeCells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opLeftCell="A16" zoomScale="85" zoomScaleNormal="85" workbookViewId="0">
      <selection activeCell="A24" sqref="A24:XFD24"/>
    </sheetView>
  </sheetViews>
  <sheetFormatPr defaultColWidth="8.796875" defaultRowHeight="13.9" x14ac:dyDescent="0.4"/>
  <cols>
    <col min="1" max="1" width="8.796875" style="52"/>
    <col min="2" max="2" width="44.46484375" style="23" customWidth="1"/>
    <col min="3" max="3" width="12.46484375" style="23" customWidth="1"/>
    <col min="4" max="4" width="10.46484375" style="23" bestFit="1" customWidth="1"/>
    <col min="5" max="5" width="17.796875" style="23" customWidth="1"/>
    <col min="6" max="6" width="19.265625" style="23" customWidth="1"/>
    <col min="7" max="7" width="35" style="23" customWidth="1"/>
    <col min="8" max="8" width="8.796875" style="23"/>
    <col min="9" max="9" width="10.19921875" style="23" bestFit="1" customWidth="1"/>
    <col min="10" max="16384" width="8.796875" style="23"/>
  </cols>
  <sheetData>
    <row r="1" spans="1:14" s="5" customFormat="1" x14ac:dyDescent="0.45">
      <c r="C1" s="6" t="s">
        <v>3</v>
      </c>
      <c r="D1" s="7"/>
      <c r="E1" s="7"/>
      <c r="F1" s="7"/>
    </row>
    <row r="2" spans="1:14" s="5" customFormat="1" x14ac:dyDescent="0.45">
      <c r="C2" s="7" t="s">
        <v>4</v>
      </c>
      <c r="D2" s="7"/>
      <c r="E2" s="7"/>
      <c r="F2" s="7"/>
    </row>
    <row r="3" spans="1:14" s="5" customFormat="1" x14ac:dyDescent="0.45">
      <c r="C3" s="7" t="s">
        <v>5</v>
      </c>
      <c r="D3" s="7"/>
      <c r="E3" s="7"/>
      <c r="F3" s="7"/>
    </row>
    <row r="4" spans="1:14" s="5" customFormat="1" x14ac:dyDescent="0.45">
      <c r="C4" s="7" t="s">
        <v>6</v>
      </c>
      <c r="D4" s="7"/>
      <c r="E4" s="7"/>
      <c r="F4" s="7"/>
    </row>
    <row r="5" spans="1:14" s="5" customFormat="1" x14ac:dyDescent="0.45">
      <c r="C5" s="7"/>
      <c r="D5" s="7"/>
      <c r="E5" s="7"/>
      <c r="F5" s="7"/>
    </row>
    <row r="6" spans="1:14" s="5" customFormat="1" ht="19.899999999999999" x14ac:dyDescent="0.45">
      <c r="A6" s="92" t="s">
        <v>76</v>
      </c>
      <c r="B6" s="92"/>
      <c r="C6" s="92"/>
      <c r="D6" s="92"/>
      <c r="E6" s="92"/>
      <c r="F6" s="92"/>
      <c r="G6" s="92"/>
    </row>
    <row r="7" spans="1:14" ht="16.5" x14ac:dyDescent="0.45">
      <c r="A7" s="93"/>
      <c r="B7" s="93"/>
      <c r="C7" s="93"/>
      <c r="F7" s="35" t="s">
        <v>77</v>
      </c>
    </row>
    <row r="8" spans="1:14" ht="30" x14ac:dyDescent="0.4">
      <c r="A8" s="1" t="s">
        <v>29</v>
      </c>
      <c r="B8" s="1" t="s">
        <v>30</v>
      </c>
      <c r="C8" s="47" t="s">
        <v>31</v>
      </c>
      <c r="D8" s="47" t="s">
        <v>32</v>
      </c>
      <c r="E8" s="47" t="s">
        <v>34</v>
      </c>
      <c r="F8" s="47" t="s">
        <v>35</v>
      </c>
      <c r="G8" s="48" t="s">
        <v>33</v>
      </c>
      <c r="J8" s="89"/>
      <c r="K8" s="89"/>
      <c r="L8" s="89"/>
      <c r="M8" s="89"/>
      <c r="N8" s="89"/>
    </row>
    <row r="9" spans="1:14" s="17" customFormat="1" ht="15.4" x14ac:dyDescent="0.4">
      <c r="A9" s="1" t="s">
        <v>0</v>
      </c>
      <c r="B9" s="2" t="s">
        <v>80</v>
      </c>
      <c r="C9" s="2"/>
      <c r="D9" s="1"/>
      <c r="E9" s="2"/>
      <c r="F9" s="29"/>
      <c r="G9" s="8"/>
      <c r="H9" s="9"/>
    </row>
    <row r="10" spans="1:14" s="17" customFormat="1" ht="92.25" x14ac:dyDescent="0.4">
      <c r="A10" s="10">
        <v>1</v>
      </c>
      <c r="B10" s="11" t="s">
        <v>81</v>
      </c>
      <c r="C10" s="50">
        <v>1</v>
      </c>
      <c r="D10" s="50" t="s">
        <v>1</v>
      </c>
      <c r="E10" s="19">
        <v>1356000</v>
      </c>
      <c r="F10" s="12">
        <f>E10*C10</f>
        <v>1356000</v>
      </c>
      <c r="G10" s="13"/>
      <c r="H10" s="9"/>
    </row>
    <row r="11" spans="1:14" s="17" customFormat="1" ht="15.4" x14ac:dyDescent="0.4">
      <c r="A11" s="10">
        <v>2</v>
      </c>
      <c r="B11" s="14" t="s">
        <v>7</v>
      </c>
      <c r="C11" s="15"/>
      <c r="D11" s="50"/>
      <c r="E11" s="73"/>
      <c r="F11" s="12"/>
      <c r="G11" s="16"/>
      <c r="H11" s="9"/>
    </row>
    <row r="12" spans="1:14" s="17" customFormat="1" ht="15.4" x14ac:dyDescent="0.4">
      <c r="A12" s="15" t="s">
        <v>8</v>
      </c>
      <c r="B12" s="20" t="s">
        <v>15</v>
      </c>
      <c r="C12" s="15">
        <v>20</v>
      </c>
      <c r="D12" s="50" t="s">
        <v>2</v>
      </c>
      <c r="E12" s="19">
        <v>3200</v>
      </c>
      <c r="F12" s="12">
        <f>E12*C12</f>
        <v>64000</v>
      </c>
      <c r="G12" s="21"/>
    </row>
    <row r="13" spans="1:14" ht="15.4" x14ac:dyDescent="0.4">
      <c r="A13" s="1" t="s">
        <v>17</v>
      </c>
      <c r="B13" s="2" t="s">
        <v>36</v>
      </c>
      <c r="C13" s="1"/>
      <c r="D13" s="2"/>
      <c r="E13" s="74"/>
      <c r="F13" s="3"/>
      <c r="G13" s="43"/>
    </row>
    <row r="14" spans="1:14" ht="30.75" x14ac:dyDescent="0.4">
      <c r="A14" s="50">
        <v>1</v>
      </c>
      <c r="B14" s="44" t="s">
        <v>37</v>
      </c>
      <c r="C14" s="50">
        <v>1</v>
      </c>
      <c r="D14" s="40" t="s">
        <v>38</v>
      </c>
      <c r="E14" s="75">
        <f>250000</f>
        <v>250000</v>
      </c>
      <c r="F14" s="53">
        <f>C14*E14</f>
        <v>250000</v>
      </c>
      <c r="G14" s="43"/>
    </row>
    <row r="15" spans="1:14" ht="15.4" x14ac:dyDescent="0.4">
      <c r="A15" s="50">
        <v>2</v>
      </c>
      <c r="B15" s="42" t="s">
        <v>39</v>
      </c>
      <c r="C15" s="50">
        <f>100*1.2</f>
        <v>120</v>
      </c>
      <c r="D15" s="40" t="s">
        <v>2</v>
      </c>
      <c r="E15" s="75">
        <f>650</f>
        <v>650</v>
      </c>
      <c r="F15" s="53">
        <f>C15*E15</f>
        <v>78000</v>
      </c>
      <c r="G15" s="43" t="s">
        <v>79</v>
      </c>
    </row>
    <row r="16" spans="1:14" ht="15.4" x14ac:dyDescent="0.4">
      <c r="A16" s="1" t="s">
        <v>18</v>
      </c>
      <c r="B16" s="2" t="s">
        <v>40</v>
      </c>
      <c r="C16" s="1"/>
      <c r="D16" s="2"/>
      <c r="E16" s="74"/>
      <c r="F16" s="3"/>
      <c r="G16" s="30"/>
    </row>
    <row r="17" spans="1:7" ht="15.4" x14ac:dyDescent="0.4">
      <c r="A17" s="18">
        <v>1</v>
      </c>
      <c r="B17" s="44" t="s">
        <v>41</v>
      </c>
      <c r="C17" s="50">
        <v>500</v>
      </c>
      <c r="D17" s="40" t="s">
        <v>2</v>
      </c>
      <c r="E17" s="51">
        <v>1000</v>
      </c>
      <c r="F17" s="53">
        <f>C17*E17</f>
        <v>500000</v>
      </c>
      <c r="G17" s="43"/>
    </row>
    <row r="18" spans="1:7" ht="61.15" x14ac:dyDescent="0.4">
      <c r="A18" s="41"/>
      <c r="B18" s="45" t="s">
        <v>42</v>
      </c>
      <c r="C18" s="50"/>
      <c r="D18" s="31"/>
      <c r="E18" s="32"/>
      <c r="F18" s="31"/>
      <c r="G18" s="43"/>
    </row>
    <row r="19" spans="1:7" ht="61.15" x14ac:dyDescent="0.4">
      <c r="A19" s="41"/>
      <c r="B19" s="45" t="s">
        <v>43</v>
      </c>
      <c r="C19" s="50"/>
      <c r="D19" s="31"/>
      <c r="E19" s="32"/>
      <c r="F19" s="31"/>
      <c r="G19" s="43"/>
    </row>
    <row r="20" spans="1:7" ht="76.5" x14ac:dyDescent="0.4">
      <c r="A20" s="41"/>
      <c r="B20" s="45" t="s">
        <v>44</v>
      </c>
      <c r="C20" s="22"/>
      <c r="D20" s="33"/>
      <c r="E20" s="34"/>
      <c r="F20" s="33"/>
      <c r="G20" s="46"/>
    </row>
    <row r="21" spans="1:7" ht="15.5" customHeight="1" x14ac:dyDescent="0.45">
      <c r="A21" s="90" t="s">
        <v>84</v>
      </c>
      <c r="B21" s="90"/>
      <c r="C21" s="90"/>
      <c r="D21" s="90"/>
      <c r="E21" s="90"/>
      <c r="F21" s="4">
        <f>SUM(F9:F20)</f>
        <v>2248000</v>
      </c>
      <c r="G21" s="49"/>
    </row>
    <row r="22" spans="1:7" ht="15.5" customHeight="1" x14ac:dyDescent="0.45">
      <c r="A22" s="90" t="s">
        <v>14</v>
      </c>
      <c r="B22" s="90"/>
      <c r="C22" s="90"/>
      <c r="D22" s="90"/>
      <c r="E22" s="90"/>
      <c r="F22" s="4">
        <f>F21*10%</f>
        <v>224800</v>
      </c>
      <c r="G22" s="49"/>
    </row>
    <row r="23" spans="1:7" ht="15.5" customHeight="1" x14ac:dyDescent="0.45">
      <c r="A23" s="90" t="s">
        <v>85</v>
      </c>
      <c r="B23" s="90"/>
      <c r="C23" s="90"/>
      <c r="D23" s="90"/>
      <c r="E23" s="90"/>
      <c r="F23" s="4">
        <f>F21+F22</f>
        <v>2472800</v>
      </c>
      <c r="G23" s="49"/>
    </row>
    <row r="24" spans="1:7" ht="15.5" customHeight="1" x14ac:dyDescent="0.45">
      <c r="A24" s="90" t="s">
        <v>92</v>
      </c>
      <c r="B24" s="90"/>
      <c r="C24" s="90"/>
      <c r="D24" s="90"/>
      <c r="E24" s="90"/>
      <c r="F24" s="4">
        <f>F23*12*90%</f>
        <v>26706240</v>
      </c>
      <c r="G24" s="49"/>
    </row>
    <row r="25" spans="1:7" ht="15.4" x14ac:dyDescent="0.45">
      <c r="A25" s="91" t="s">
        <v>45</v>
      </c>
      <c r="B25" s="91"/>
      <c r="C25" s="91"/>
      <c r="D25" s="91"/>
      <c r="E25" s="91"/>
      <c r="F25" s="91"/>
      <c r="G25" s="49"/>
    </row>
    <row r="26" spans="1:7" ht="15.4" x14ac:dyDescent="0.4">
      <c r="A26" s="25" t="s">
        <v>16</v>
      </c>
      <c r="B26" s="26"/>
      <c r="C26" s="52"/>
      <c r="D26" s="52"/>
      <c r="E26" s="52"/>
      <c r="F26" s="52"/>
    </row>
    <row r="27" spans="1:7" ht="15.4" x14ac:dyDescent="0.4">
      <c r="A27" s="25"/>
      <c r="B27" s="26"/>
      <c r="C27" s="52"/>
      <c r="D27" s="52"/>
      <c r="E27" s="52"/>
      <c r="F27" s="52"/>
    </row>
    <row r="28" spans="1:7" ht="15.4" x14ac:dyDescent="0.4">
      <c r="A28" s="27"/>
      <c r="B28" s="26" t="s">
        <v>46</v>
      </c>
      <c r="C28" s="52"/>
      <c r="D28" s="52"/>
      <c r="E28" s="52"/>
      <c r="F28" s="52"/>
    </row>
    <row r="29" spans="1:7" ht="15.4" x14ac:dyDescent="0.4">
      <c r="A29" s="27"/>
      <c r="B29" s="26" t="s">
        <v>47</v>
      </c>
      <c r="C29" s="52"/>
      <c r="D29" s="52"/>
      <c r="E29" s="52"/>
      <c r="F29" s="52"/>
    </row>
    <row r="30" spans="1:7" ht="15.4" x14ac:dyDescent="0.4">
      <c r="A30" s="27"/>
      <c r="B30" s="28"/>
      <c r="C30" s="52"/>
      <c r="D30" s="52"/>
      <c r="E30" s="52"/>
      <c r="F30" s="52"/>
    </row>
    <row r="31" spans="1:7" x14ac:dyDescent="0.4">
      <c r="B31" s="52"/>
      <c r="C31" s="52"/>
      <c r="D31" s="52"/>
      <c r="E31" s="52"/>
      <c r="F31" s="52"/>
    </row>
    <row r="32" spans="1:7" x14ac:dyDescent="0.4">
      <c r="B32" s="52"/>
      <c r="C32" s="52"/>
      <c r="D32" s="52"/>
      <c r="E32" s="52"/>
      <c r="F32" s="52"/>
    </row>
    <row r="33" spans="2:6" x14ac:dyDescent="0.4">
      <c r="B33" s="52"/>
      <c r="C33" s="52"/>
      <c r="D33" s="52"/>
      <c r="E33" s="52"/>
      <c r="F33" s="52"/>
    </row>
    <row r="34" spans="2:6" x14ac:dyDescent="0.4">
      <c r="B34" s="52"/>
      <c r="C34" s="52"/>
      <c r="D34" s="52"/>
      <c r="E34" s="52"/>
      <c r="F34" s="52"/>
    </row>
    <row r="35" spans="2:6" x14ac:dyDescent="0.4">
      <c r="B35" s="52"/>
      <c r="C35" s="52"/>
      <c r="D35" s="52"/>
      <c r="E35" s="52"/>
      <c r="F35" s="52"/>
    </row>
    <row r="36" spans="2:6" x14ac:dyDescent="0.4">
      <c r="B36" s="52"/>
      <c r="C36" s="52"/>
      <c r="D36" s="52"/>
      <c r="E36" s="52"/>
      <c r="F36" s="52"/>
    </row>
    <row r="37" spans="2:6" x14ac:dyDescent="0.4">
      <c r="B37" s="52"/>
      <c r="C37" s="52"/>
      <c r="D37" s="52"/>
      <c r="E37" s="52"/>
      <c r="F37" s="52"/>
    </row>
    <row r="38" spans="2:6" x14ac:dyDescent="0.4">
      <c r="B38" s="52"/>
      <c r="C38" s="52"/>
      <c r="D38" s="52"/>
      <c r="E38" s="52"/>
      <c r="F38" s="52"/>
    </row>
    <row r="39" spans="2:6" x14ac:dyDescent="0.4">
      <c r="B39" s="52"/>
      <c r="C39" s="52"/>
      <c r="D39" s="52"/>
      <c r="E39" s="52"/>
      <c r="F39" s="52"/>
    </row>
    <row r="40" spans="2:6" x14ac:dyDescent="0.4">
      <c r="B40" s="52"/>
      <c r="C40" s="52"/>
      <c r="D40" s="52"/>
      <c r="E40" s="52"/>
      <c r="F40" s="52"/>
    </row>
    <row r="41" spans="2:6" x14ac:dyDescent="0.4">
      <c r="B41" s="52"/>
      <c r="C41" s="52"/>
      <c r="D41" s="52"/>
      <c r="E41" s="52"/>
      <c r="F41" s="52"/>
    </row>
    <row r="42" spans="2:6" x14ac:dyDescent="0.4">
      <c r="B42" s="52"/>
      <c r="C42" s="52"/>
      <c r="D42" s="52"/>
      <c r="E42" s="52"/>
      <c r="F42" s="52"/>
    </row>
    <row r="43" spans="2:6" x14ac:dyDescent="0.4">
      <c r="B43" s="52"/>
      <c r="C43" s="52"/>
      <c r="D43" s="52"/>
      <c r="E43" s="52"/>
      <c r="F43" s="52"/>
    </row>
    <row r="44" spans="2:6" x14ac:dyDescent="0.4">
      <c r="B44" s="52"/>
      <c r="C44" s="52"/>
      <c r="D44" s="52"/>
      <c r="E44" s="52"/>
      <c r="F44" s="52"/>
    </row>
    <row r="45" spans="2:6" x14ac:dyDescent="0.4">
      <c r="B45" s="52"/>
      <c r="C45" s="52"/>
      <c r="D45" s="52"/>
      <c r="E45" s="52"/>
      <c r="F45" s="52"/>
    </row>
    <row r="46" spans="2:6" x14ac:dyDescent="0.4">
      <c r="B46" s="52"/>
      <c r="C46" s="52"/>
      <c r="D46" s="52"/>
      <c r="E46" s="52"/>
      <c r="F46" s="52"/>
    </row>
  </sheetData>
  <mergeCells count="8">
    <mergeCell ref="A25:F25"/>
    <mergeCell ref="A6:G6"/>
    <mergeCell ref="A7:C7"/>
    <mergeCell ref="J8:N8"/>
    <mergeCell ref="A21:E21"/>
    <mergeCell ref="A22:E22"/>
    <mergeCell ref="A23:E23"/>
    <mergeCell ref="A24:E24"/>
  </mergeCells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tabSelected="1" zoomScale="85" zoomScaleNormal="85" workbookViewId="0">
      <selection activeCell="E18" sqref="E18"/>
    </sheetView>
  </sheetViews>
  <sheetFormatPr defaultColWidth="8.796875" defaultRowHeight="13.9" x14ac:dyDescent="0.4"/>
  <cols>
    <col min="1" max="1" width="8.796875" style="52"/>
    <col min="2" max="2" width="44.46484375" style="23" customWidth="1"/>
    <col min="3" max="3" width="12.46484375" style="23" customWidth="1"/>
    <col min="4" max="4" width="10.46484375" style="23" bestFit="1" customWidth="1"/>
    <col min="5" max="5" width="17.796875" style="23" customWidth="1"/>
    <col min="6" max="6" width="19.265625" style="23" customWidth="1"/>
    <col min="7" max="7" width="35" style="23" customWidth="1"/>
    <col min="8" max="8" width="8.796875" style="23"/>
    <col min="9" max="9" width="10.19921875" style="23" bestFit="1" customWidth="1"/>
    <col min="10" max="16384" width="8.796875" style="23"/>
  </cols>
  <sheetData>
    <row r="1" spans="1:14" s="5" customFormat="1" x14ac:dyDescent="0.45">
      <c r="C1" s="6" t="s">
        <v>3</v>
      </c>
      <c r="D1" s="7"/>
      <c r="E1" s="7"/>
      <c r="F1" s="7"/>
    </row>
    <row r="2" spans="1:14" s="5" customFormat="1" x14ac:dyDescent="0.45">
      <c r="C2" s="7" t="s">
        <v>4</v>
      </c>
      <c r="D2" s="7"/>
      <c r="E2" s="7"/>
      <c r="F2" s="7"/>
    </row>
    <row r="3" spans="1:14" s="5" customFormat="1" x14ac:dyDescent="0.45">
      <c r="C3" s="7" t="s">
        <v>5</v>
      </c>
      <c r="D3" s="7"/>
      <c r="E3" s="7"/>
      <c r="F3" s="7"/>
    </row>
    <row r="4" spans="1:14" s="5" customFormat="1" x14ac:dyDescent="0.45">
      <c r="C4" s="7" t="s">
        <v>6</v>
      </c>
      <c r="D4" s="7"/>
      <c r="E4" s="7"/>
      <c r="F4" s="7"/>
    </row>
    <row r="5" spans="1:14" s="5" customFormat="1" x14ac:dyDescent="0.45">
      <c r="C5" s="7"/>
      <c r="D5" s="7"/>
      <c r="E5" s="7"/>
      <c r="F5" s="7"/>
    </row>
    <row r="6" spans="1:14" s="5" customFormat="1" ht="19.899999999999999" x14ac:dyDescent="0.45">
      <c r="A6" s="92" t="s">
        <v>76</v>
      </c>
      <c r="B6" s="92"/>
      <c r="C6" s="92"/>
      <c r="D6" s="92"/>
      <c r="E6" s="92"/>
      <c r="F6" s="92"/>
      <c r="G6" s="92"/>
    </row>
    <row r="7" spans="1:14" ht="16.5" x14ac:dyDescent="0.45">
      <c r="A7" s="93"/>
      <c r="B7" s="93"/>
      <c r="C7" s="93"/>
      <c r="F7" s="35" t="s">
        <v>77</v>
      </c>
    </row>
    <row r="8" spans="1:14" ht="30" x14ac:dyDescent="0.4">
      <c r="A8" s="1" t="s">
        <v>29</v>
      </c>
      <c r="B8" s="1" t="s">
        <v>30</v>
      </c>
      <c r="C8" s="47" t="s">
        <v>31</v>
      </c>
      <c r="D8" s="47" t="s">
        <v>32</v>
      </c>
      <c r="E8" s="47" t="s">
        <v>34</v>
      </c>
      <c r="F8" s="47" t="s">
        <v>35</v>
      </c>
      <c r="G8" s="48" t="s">
        <v>33</v>
      </c>
      <c r="J8" s="89"/>
      <c r="K8" s="89"/>
      <c r="L8" s="89"/>
      <c r="M8" s="89"/>
      <c r="N8" s="89"/>
    </row>
    <row r="9" spans="1:14" s="17" customFormat="1" ht="15.4" x14ac:dyDescent="0.4">
      <c r="A9" s="1" t="s">
        <v>0</v>
      </c>
      <c r="B9" s="2" t="s">
        <v>80</v>
      </c>
      <c r="C9" s="2"/>
      <c r="D9" s="1"/>
      <c r="E9" s="2"/>
      <c r="F9" s="29"/>
      <c r="G9" s="8"/>
      <c r="H9" s="9"/>
    </row>
    <row r="10" spans="1:14" s="17" customFormat="1" ht="92.25" x14ac:dyDescent="0.4">
      <c r="A10" s="10">
        <v>1</v>
      </c>
      <c r="B10" s="11" t="s">
        <v>89</v>
      </c>
      <c r="C10" s="50">
        <v>1</v>
      </c>
      <c r="D10" s="50" t="s">
        <v>1</v>
      </c>
      <c r="E10" s="19">
        <v>1356000</v>
      </c>
      <c r="F10" s="12">
        <f>E10*C10</f>
        <v>1356000</v>
      </c>
      <c r="G10" s="76" t="s">
        <v>91</v>
      </c>
      <c r="H10" s="9"/>
    </row>
    <row r="11" spans="1:14" s="17" customFormat="1" ht="15.4" x14ac:dyDescent="0.4">
      <c r="A11" s="10">
        <v>2</v>
      </c>
      <c r="B11" s="14" t="s">
        <v>7</v>
      </c>
      <c r="C11" s="15"/>
      <c r="D11" s="50"/>
      <c r="E11" s="73"/>
      <c r="F11" s="12"/>
      <c r="G11" s="16"/>
      <c r="H11" s="9"/>
    </row>
    <row r="12" spans="1:14" s="17" customFormat="1" ht="15.4" x14ac:dyDescent="0.4">
      <c r="A12" s="15" t="s">
        <v>8</v>
      </c>
      <c r="B12" s="20" t="s">
        <v>15</v>
      </c>
      <c r="C12" s="15">
        <v>80</v>
      </c>
      <c r="D12" s="50" t="s">
        <v>2</v>
      </c>
      <c r="E12" s="19">
        <v>3200</v>
      </c>
      <c r="F12" s="12">
        <f>E12*C12</f>
        <v>256000</v>
      </c>
      <c r="G12" s="21"/>
    </row>
    <row r="13" spans="1:14" s="17" customFormat="1" ht="15.4" x14ac:dyDescent="0.4">
      <c r="A13" s="10" t="s">
        <v>10</v>
      </c>
      <c r="B13" s="14" t="s">
        <v>82</v>
      </c>
      <c r="C13" s="15">
        <v>1</v>
      </c>
      <c r="D13" s="50" t="s">
        <v>1</v>
      </c>
      <c r="E13" s="19">
        <v>604000</v>
      </c>
      <c r="F13" s="12">
        <f>E13*C13</f>
        <v>604000</v>
      </c>
      <c r="G13" s="21"/>
    </row>
    <row r="14" spans="1:14" s="17" customFormat="1" ht="15.4" x14ac:dyDescent="0.4">
      <c r="A14" s="15" t="s">
        <v>11</v>
      </c>
      <c r="B14" s="20" t="s">
        <v>9</v>
      </c>
      <c r="C14" s="15">
        <v>2</v>
      </c>
      <c r="D14" s="50" t="s">
        <v>83</v>
      </c>
      <c r="E14" s="19">
        <v>170000</v>
      </c>
      <c r="F14" s="12">
        <f>E14*C14</f>
        <v>340000</v>
      </c>
      <c r="G14" s="21"/>
    </row>
    <row r="15" spans="1:14" ht="15.4" x14ac:dyDescent="0.4">
      <c r="A15" s="1" t="s">
        <v>17</v>
      </c>
      <c r="B15" s="2" t="s">
        <v>36</v>
      </c>
      <c r="C15" s="1"/>
      <c r="D15" s="2"/>
      <c r="E15" s="74"/>
      <c r="F15" s="3"/>
      <c r="G15" s="43"/>
    </row>
    <row r="16" spans="1:14" ht="30.75" x14ac:dyDescent="0.4">
      <c r="A16" s="50">
        <v>1</v>
      </c>
      <c r="B16" s="44" t="s">
        <v>37</v>
      </c>
      <c r="C16" s="50">
        <v>1</v>
      </c>
      <c r="D16" s="40" t="s">
        <v>38</v>
      </c>
      <c r="E16" s="75">
        <f>250000</f>
        <v>250000</v>
      </c>
      <c r="F16" s="53">
        <f>C16*E16</f>
        <v>250000</v>
      </c>
      <c r="G16" s="43"/>
    </row>
    <row r="17" spans="1:7" ht="15.4" x14ac:dyDescent="0.4">
      <c r="A17" s="50">
        <v>2</v>
      </c>
      <c r="B17" s="42" t="s">
        <v>39</v>
      </c>
      <c r="C17" s="50">
        <f>200*1.2</f>
        <v>240</v>
      </c>
      <c r="D17" s="40" t="s">
        <v>2</v>
      </c>
      <c r="E17" s="75">
        <f>650</f>
        <v>650</v>
      </c>
      <c r="F17" s="53">
        <f>C17*E17</f>
        <v>156000</v>
      </c>
      <c r="G17" s="43" t="s">
        <v>79</v>
      </c>
    </row>
    <row r="18" spans="1:7" ht="15.4" x14ac:dyDescent="0.4">
      <c r="A18" s="1" t="s">
        <v>18</v>
      </c>
      <c r="B18" s="2" t="s">
        <v>40</v>
      </c>
      <c r="C18" s="1"/>
      <c r="D18" s="2"/>
      <c r="E18" s="74"/>
      <c r="F18" s="3"/>
      <c r="G18" s="30"/>
    </row>
    <row r="19" spans="1:7" ht="15.4" x14ac:dyDescent="0.4">
      <c r="A19" s="18">
        <v>1</v>
      </c>
      <c r="B19" s="44" t="s">
        <v>41</v>
      </c>
      <c r="C19" s="50">
        <v>500</v>
      </c>
      <c r="D19" s="40" t="s">
        <v>2</v>
      </c>
      <c r="E19" s="51">
        <v>1000</v>
      </c>
      <c r="F19" s="53">
        <f>C19*E19</f>
        <v>500000</v>
      </c>
      <c r="G19" s="43"/>
    </row>
    <row r="20" spans="1:7" ht="61.15" x14ac:dyDescent="0.4">
      <c r="A20" s="41"/>
      <c r="B20" s="45" t="s">
        <v>42</v>
      </c>
      <c r="C20" s="50"/>
      <c r="D20" s="31"/>
      <c r="E20" s="32"/>
      <c r="F20" s="31"/>
      <c r="G20" s="43"/>
    </row>
    <row r="21" spans="1:7" ht="61.15" x14ac:dyDescent="0.4">
      <c r="A21" s="41"/>
      <c r="B21" s="45" t="s">
        <v>43</v>
      </c>
      <c r="C21" s="50"/>
      <c r="D21" s="31"/>
      <c r="E21" s="32"/>
      <c r="F21" s="31"/>
      <c r="G21" s="43"/>
    </row>
    <row r="22" spans="1:7" ht="76.5" x14ac:dyDescent="0.4">
      <c r="A22" s="41"/>
      <c r="B22" s="45" t="s">
        <v>44</v>
      </c>
      <c r="C22" s="22"/>
      <c r="D22" s="33"/>
      <c r="E22" s="34"/>
      <c r="F22" s="33"/>
      <c r="G22" s="46"/>
    </row>
    <row r="23" spans="1:7" ht="15.5" customHeight="1" x14ac:dyDescent="0.45">
      <c r="A23" s="90" t="s">
        <v>84</v>
      </c>
      <c r="B23" s="90"/>
      <c r="C23" s="90"/>
      <c r="D23" s="90"/>
      <c r="E23" s="90"/>
      <c r="F23" s="4">
        <f>SUM(F9:F22)</f>
        <v>3462000</v>
      </c>
      <c r="G23" s="49"/>
    </row>
    <row r="24" spans="1:7" ht="15.5" customHeight="1" x14ac:dyDescent="0.45">
      <c r="A24" s="90" t="s">
        <v>14</v>
      </c>
      <c r="B24" s="90"/>
      <c r="C24" s="90"/>
      <c r="D24" s="90"/>
      <c r="E24" s="90"/>
      <c r="F24" s="4">
        <f>F23*10%</f>
        <v>346200</v>
      </c>
      <c r="G24" s="49"/>
    </row>
    <row r="25" spans="1:7" ht="15.5" customHeight="1" x14ac:dyDescent="0.45">
      <c r="A25" s="90" t="s">
        <v>85</v>
      </c>
      <c r="B25" s="90"/>
      <c r="C25" s="90"/>
      <c r="D25" s="90"/>
      <c r="E25" s="90"/>
      <c r="F25" s="4">
        <f>F23+F24</f>
        <v>3808200</v>
      </c>
      <c r="G25" s="49"/>
    </row>
    <row r="26" spans="1:7" ht="15.5" customHeight="1" x14ac:dyDescent="0.45">
      <c r="A26" s="90" t="s">
        <v>92</v>
      </c>
      <c r="B26" s="90"/>
      <c r="C26" s="90"/>
      <c r="D26" s="90"/>
      <c r="E26" s="90"/>
      <c r="F26" s="4">
        <f>F25*12*90%</f>
        <v>41128560</v>
      </c>
      <c r="G26" s="49"/>
    </row>
    <row r="27" spans="1:7" ht="15.4" x14ac:dyDescent="0.45">
      <c r="A27" s="91" t="s">
        <v>45</v>
      </c>
      <c r="B27" s="91"/>
      <c r="C27" s="91"/>
      <c r="D27" s="91"/>
      <c r="E27" s="91"/>
      <c r="F27" s="91"/>
      <c r="G27" s="49"/>
    </row>
    <row r="28" spans="1:7" ht="15.4" x14ac:dyDescent="0.4">
      <c r="A28" s="25" t="s">
        <v>16</v>
      </c>
      <c r="B28" s="26"/>
      <c r="C28" s="52"/>
      <c r="D28" s="52"/>
      <c r="E28" s="52"/>
      <c r="F28" s="52"/>
    </row>
    <row r="29" spans="1:7" ht="15.4" x14ac:dyDescent="0.4">
      <c r="A29" s="25"/>
      <c r="B29" s="26"/>
      <c r="C29" s="52"/>
      <c r="D29" s="52"/>
      <c r="E29" s="52"/>
      <c r="F29" s="52"/>
    </row>
    <row r="30" spans="1:7" ht="15.4" x14ac:dyDescent="0.4">
      <c r="A30" s="27"/>
      <c r="B30" s="26" t="s">
        <v>46</v>
      </c>
      <c r="C30" s="52"/>
      <c r="D30" s="52"/>
      <c r="E30" s="52"/>
      <c r="F30" s="52"/>
    </row>
    <row r="31" spans="1:7" ht="15.4" x14ac:dyDescent="0.4">
      <c r="A31" s="27"/>
      <c r="B31" s="26" t="s">
        <v>47</v>
      </c>
      <c r="C31" s="52"/>
      <c r="D31" s="52"/>
      <c r="E31" s="52"/>
      <c r="F31" s="52"/>
    </row>
    <row r="32" spans="1:7" ht="15.4" x14ac:dyDescent="0.4">
      <c r="A32" s="27"/>
      <c r="B32" s="28"/>
      <c r="C32" s="52"/>
      <c r="D32" s="52"/>
      <c r="E32" s="52"/>
      <c r="F32" s="52"/>
    </row>
    <row r="33" spans="2:6" x14ac:dyDescent="0.4">
      <c r="B33" s="52"/>
      <c r="C33" s="52"/>
      <c r="D33" s="52"/>
      <c r="E33" s="52"/>
      <c r="F33" s="52"/>
    </row>
    <row r="34" spans="2:6" x14ac:dyDescent="0.4">
      <c r="B34" s="52"/>
      <c r="C34" s="52"/>
      <c r="D34" s="52"/>
      <c r="E34" s="52"/>
      <c r="F34" s="52"/>
    </row>
    <row r="35" spans="2:6" x14ac:dyDescent="0.4">
      <c r="B35" s="52"/>
      <c r="C35" s="52"/>
      <c r="D35" s="52"/>
      <c r="E35" s="52"/>
      <c r="F35" s="52"/>
    </row>
    <row r="36" spans="2:6" x14ac:dyDescent="0.4">
      <c r="B36" s="52"/>
      <c r="C36" s="52"/>
      <c r="D36" s="52"/>
      <c r="E36" s="52"/>
      <c r="F36" s="52"/>
    </row>
    <row r="37" spans="2:6" x14ac:dyDescent="0.4">
      <c r="B37" s="52"/>
      <c r="C37" s="52"/>
      <c r="D37" s="52"/>
      <c r="E37" s="52"/>
      <c r="F37" s="52"/>
    </row>
    <row r="38" spans="2:6" x14ac:dyDescent="0.4">
      <c r="B38" s="52"/>
      <c r="C38" s="52"/>
      <c r="D38" s="52"/>
      <c r="E38" s="52"/>
      <c r="F38" s="52"/>
    </row>
    <row r="39" spans="2:6" x14ac:dyDescent="0.4">
      <c r="B39" s="52"/>
      <c r="C39" s="52"/>
      <c r="D39" s="52"/>
      <c r="E39" s="52"/>
      <c r="F39" s="52"/>
    </row>
    <row r="40" spans="2:6" x14ac:dyDescent="0.4">
      <c r="B40" s="52"/>
      <c r="C40" s="52"/>
      <c r="D40" s="52"/>
      <c r="E40" s="52"/>
      <c r="F40" s="52"/>
    </row>
    <row r="41" spans="2:6" x14ac:dyDescent="0.4">
      <c r="B41" s="52"/>
      <c r="C41" s="52"/>
      <c r="D41" s="52"/>
      <c r="E41" s="52"/>
      <c r="F41" s="52"/>
    </row>
    <row r="42" spans="2:6" x14ac:dyDescent="0.4">
      <c r="B42" s="52"/>
      <c r="C42" s="52"/>
      <c r="D42" s="52"/>
      <c r="E42" s="52"/>
      <c r="F42" s="52"/>
    </row>
    <row r="43" spans="2:6" x14ac:dyDescent="0.4">
      <c r="B43" s="52"/>
      <c r="C43" s="52"/>
      <c r="D43" s="52"/>
      <c r="E43" s="52"/>
      <c r="F43" s="52"/>
    </row>
    <row r="44" spans="2:6" x14ac:dyDescent="0.4">
      <c r="B44" s="52"/>
      <c r="C44" s="52"/>
      <c r="D44" s="52"/>
      <c r="E44" s="52"/>
      <c r="F44" s="52"/>
    </row>
    <row r="45" spans="2:6" x14ac:dyDescent="0.4">
      <c r="B45" s="52"/>
      <c r="C45" s="52"/>
      <c r="D45" s="52"/>
      <c r="E45" s="52"/>
      <c r="F45" s="52"/>
    </row>
    <row r="46" spans="2:6" x14ac:dyDescent="0.4">
      <c r="B46" s="52"/>
      <c r="C46" s="52"/>
      <c r="D46" s="52"/>
      <c r="E46" s="52"/>
      <c r="F46" s="52"/>
    </row>
    <row r="47" spans="2:6" x14ac:dyDescent="0.4">
      <c r="B47" s="52"/>
      <c r="C47" s="52"/>
      <c r="D47" s="52"/>
      <c r="E47" s="52"/>
      <c r="F47" s="52"/>
    </row>
    <row r="48" spans="2:6" x14ac:dyDescent="0.4">
      <c r="B48" s="52"/>
      <c r="C48" s="52"/>
      <c r="D48" s="52"/>
      <c r="E48" s="52"/>
      <c r="F48" s="52"/>
    </row>
  </sheetData>
  <mergeCells count="8">
    <mergeCell ref="A27:F27"/>
    <mergeCell ref="A6:G6"/>
    <mergeCell ref="A7:C7"/>
    <mergeCell ref="J8:N8"/>
    <mergeCell ref="A23:E23"/>
    <mergeCell ref="A24:E24"/>
    <mergeCell ref="A25:E25"/>
    <mergeCell ref="A26:E26"/>
  </mergeCells>
  <pageMargins left="0.7" right="0.7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topLeftCell="A13" zoomScale="85" zoomScaleNormal="85" workbookViewId="0">
      <selection activeCell="D29" sqref="D29"/>
    </sheetView>
  </sheetViews>
  <sheetFormatPr defaultColWidth="8.796875" defaultRowHeight="13.9" x14ac:dyDescent="0.4"/>
  <cols>
    <col min="1" max="1" width="8.796875" style="52"/>
    <col min="2" max="2" width="44.46484375" style="23" customWidth="1"/>
    <col min="3" max="3" width="12.46484375" style="23" customWidth="1"/>
    <col min="4" max="4" width="10.46484375" style="23" bestFit="1" customWidth="1"/>
    <col min="5" max="5" width="17.796875" style="23" customWidth="1"/>
    <col min="6" max="6" width="19.265625" style="23" customWidth="1"/>
    <col min="7" max="7" width="35" style="23" customWidth="1"/>
    <col min="8" max="8" width="8.796875" style="23"/>
    <col min="9" max="9" width="10.19921875" style="23" bestFit="1" customWidth="1"/>
    <col min="10" max="16384" width="8.796875" style="23"/>
  </cols>
  <sheetData>
    <row r="1" spans="1:14" s="5" customFormat="1" x14ac:dyDescent="0.45">
      <c r="C1" s="6" t="s">
        <v>3</v>
      </c>
      <c r="D1" s="7"/>
      <c r="E1" s="7"/>
      <c r="F1" s="7"/>
    </row>
    <row r="2" spans="1:14" s="5" customFormat="1" x14ac:dyDescent="0.45">
      <c r="C2" s="7" t="s">
        <v>4</v>
      </c>
      <c r="D2" s="7"/>
      <c r="E2" s="7"/>
      <c r="F2" s="7"/>
    </row>
    <row r="3" spans="1:14" s="5" customFormat="1" x14ac:dyDescent="0.45">
      <c r="C3" s="7" t="s">
        <v>5</v>
      </c>
      <c r="D3" s="7"/>
      <c r="E3" s="7"/>
      <c r="F3" s="7"/>
    </row>
    <row r="4" spans="1:14" s="5" customFormat="1" x14ac:dyDescent="0.45">
      <c r="C4" s="7" t="s">
        <v>6</v>
      </c>
      <c r="D4" s="7"/>
      <c r="E4" s="7"/>
      <c r="F4" s="7"/>
    </row>
    <row r="5" spans="1:14" s="5" customFormat="1" x14ac:dyDescent="0.45">
      <c r="C5" s="7"/>
      <c r="D5" s="7"/>
      <c r="E5" s="7"/>
      <c r="F5" s="7"/>
    </row>
    <row r="6" spans="1:14" s="5" customFormat="1" ht="19.899999999999999" x14ac:dyDescent="0.45">
      <c r="A6" s="92" t="s">
        <v>76</v>
      </c>
      <c r="B6" s="92"/>
      <c r="C6" s="92"/>
      <c r="D6" s="92"/>
      <c r="E6" s="92"/>
      <c r="F6" s="92"/>
      <c r="G6" s="92"/>
    </row>
    <row r="7" spans="1:14" ht="16.5" x14ac:dyDescent="0.45">
      <c r="A7" s="93"/>
      <c r="B7" s="93"/>
      <c r="C7" s="93"/>
      <c r="F7" s="35" t="s">
        <v>77</v>
      </c>
    </row>
    <row r="8" spans="1:14" ht="30" x14ac:dyDescent="0.4">
      <c r="A8" s="1" t="s">
        <v>29</v>
      </c>
      <c r="B8" s="1" t="s">
        <v>30</v>
      </c>
      <c r="C8" s="47" t="s">
        <v>31</v>
      </c>
      <c r="D8" s="47" t="s">
        <v>32</v>
      </c>
      <c r="E8" s="47" t="s">
        <v>34</v>
      </c>
      <c r="F8" s="47" t="s">
        <v>35</v>
      </c>
      <c r="G8" s="48" t="s">
        <v>33</v>
      </c>
      <c r="J8" s="89"/>
      <c r="K8" s="89"/>
      <c r="L8" s="89"/>
      <c r="M8" s="89"/>
      <c r="N8" s="89"/>
    </row>
    <row r="9" spans="1:14" s="17" customFormat="1" ht="15.4" x14ac:dyDescent="0.4">
      <c r="A9" s="1" t="s">
        <v>0</v>
      </c>
      <c r="B9" s="2" t="s">
        <v>75</v>
      </c>
      <c r="C9" s="2"/>
      <c r="D9" s="1"/>
      <c r="E9" s="2"/>
      <c r="F9" s="29"/>
      <c r="G9" s="8"/>
      <c r="H9" s="9"/>
    </row>
    <row r="10" spans="1:14" s="17" customFormat="1" ht="92.25" x14ac:dyDescent="0.4">
      <c r="A10" s="10">
        <v>1</v>
      </c>
      <c r="B10" s="11" t="s">
        <v>90</v>
      </c>
      <c r="C10" s="50">
        <v>1</v>
      </c>
      <c r="D10" s="50" t="s">
        <v>1</v>
      </c>
      <c r="E10" s="19">
        <v>1600000</v>
      </c>
      <c r="F10" s="12">
        <f>E10*C10</f>
        <v>1600000</v>
      </c>
      <c r="G10" s="76" t="s">
        <v>91</v>
      </c>
      <c r="H10" s="9"/>
    </row>
    <row r="11" spans="1:14" s="17" customFormat="1" ht="15.4" x14ac:dyDescent="0.4">
      <c r="A11" s="10">
        <v>2</v>
      </c>
      <c r="B11" s="14" t="s">
        <v>7</v>
      </c>
      <c r="C11" s="15"/>
      <c r="D11" s="50"/>
      <c r="E11" s="73"/>
      <c r="F11" s="12"/>
      <c r="G11" s="16"/>
      <c r="H11" s="9"/>
    </row>
    <row r="12" spans="1:14" s="17" customFormat="1" ht="15.4" x14ac:dyDescent="0.4">
      <c r="A12" s="15" t="s">
        <v>8</v>
      </c>
      <c r="B12" s="20" t="s">
        <v>15</v>
      </c>
      <c r="C12" s="15">
        <v>80</v>
      </c>
      <c r="D12" s="50" t="s">
        <v>2</v>
      </c>
      <c r="E12" s="19">
        <v>3500</v>
      </c>
      <c r="F12" s="12">
        <f>E12*C12</f>
        <v>280000</v>
      </c>
      <c r="G12" s="21"/>
    </row>
    <row r="13" spans="1:14" s="17" customFormat="1" ht="15.4" x14ac:dyDescent="0.4">
      <c r="A13" s="10" t="s">
        <v>10</v>
      </c>
      <c r="B13" s="14" t="s">
        <v>86</v>
      </c>
      <c r="C13" s="15">
        <v>1</v>
      </c>
      <c r="D13" s="50" t="s">
        <v>1</v>
      </c>
      <c r="E13" s="19">
        <v>350000</v>
      </c>
      <c r="F13" s="12">
        <f>E13*C13</f>
        <v>350000</v>
      </c>
      <c r="G13" s="21"/>
    </row>
    <row r="14" spans="1:14" s="17" customFormat="1" ht="15.4" x14ac:dyDescent="0.4">
      <c r="A14" s="15" t="s">
        <v>11</v>
      </c>
      <c r="B14" s="20" t="s">
        <v>87</v>
      </c>
      <c r="C14" s="15">
        <v>2</v>
      </c>
      <c r="D14" s="50" t="s">
        <v>1</v>
      </c>
      <c r="E14" s="19">
        <v>150000</v>
      </c>
      <c r="F14" s="12">
        <f>E14*C14</f>
        <v>300000</v>
      </c>
      <c r="G14" s="21"/>
    </row>
    <row r="15" spans="1:14" s="17" customFormat="1" ht="15.4" x14ac:dyDescent="0.4">
      <c r="A15" s="15" t="s">
        <v>12</v>
      </c>
      <c r="B15" s="20" t="s">
        <v>88</v>
      </c>
      <c r="C15" s="15">
        <v>2</v>
      </c>
      <c r="D15" s="50" t="s">
        <v>13</v>
      </c>
      <c r="E15" s="19">
        <v>150000</v>
      </c>
      <c r="F15" s="12">
        <f>E15*C15</f>
        <v>300000</v>
      </c>
      <c r="G15" s="21"/>
    </row>
    <row r="16" spans="1:14" ht="15.4" x14ac:dyDescent="0.4">
      <c r="A16" s="1" t="s">
        <v>17</v>
      </c>
      <c r="B16" s="2" t="s">
        <v>36</v>
      </c>
      <c r="C16" s="1"/>
      <c r="D16" s="2"/>
      <c r="E16" s="74"/>
      <c r="F16" s="3"/>
      <c r="G16" s="43"/>
    </row>
    <row r="17" spans="1:7" ht="30.75" x14ac:dyDescent="0.4">
      <c r="A17" s="50">
        <v>1</v>
      </c>
      <c r="B17" s="44" t="s">
        <v>37</v>
      </c>
      <c r="C17" s="50">
        <v>1</v>
      </c>
      <c r="D17" s="40" t="s">
        <v>38</v>
      </c>
      <c r="E17" s="75">
        <f>250000</f>
        <v>250000</v>
      </c>
      <c r="F17" s="53">
        <f>C17*E17</f>
        <v>250000</v>
      </c>
      <c r="G17" s="43"/>
    </row>
    <row r="18" spans="1:7" ht="15.4" x14ac:dyDescent="0.4">
      <c r="A18" s="50">
        <v>2</v>
      </c>
      <c r="B18" s="42" t="s">
        <v>39</v>
      </c>
      <c r="C18" s="50">
        <f>200*1.2</f>
        <v>240</v>
      </c>
      <c r="D18" s="40" t="s">
        <v>2</v>
      </c>
      <c r="E18" s="75">
        <f>650</f>
        <v>650</v>
      </c>
      <c r="F18" s="53">
        <f>C18*E18</f>
        <v>156000</v>
      </c>
      <c r="G18" s="43" t="s">
        <v>79</v>
      </c>
    </row>
    <row r="19" spans="1:7" ht="15.4" x14ac:dyDescent="0.4">
      <c r="A19" s="1" t="s">
        <v>18</v>
      </c>
      <c r="B19" s="2" t="s">
        <v>40</v>
      </c>
      <c r="C19" s="1"/>
      <c r="D19" s="2"/>
      <c r="E19" s="74"/>
      <c r="F19" s="3"/>
      <c r="G19" s="30"/>
    </row>
    <row r="20" spans="1:7" ht="15.4" x14ac:dyDescent="0.4">
      <c r="A20" s="18">
        <v>1</v>
      </c>
      <c r="B20" s="44" t="s">
        <v>41</v>
      </c>
      <c r="C20" s="50">
        <v>500</v>
      </c>
      <c r="D20" s="40" t="s">
        <v>2</v>
      </c>
      <c r="E20" s="51">
        <v>1000</v>
      </c>
      <c r="F20" s="53">
        <f>C20*E20</f>
        <v>500000</v>
      </c>
      <c r="G20" s="43"/>
    </row>
    <row r="21" spans="1:7" ht="61.15" x14ac:dyDescent="0.4">
      <c r="A21" s="41"/>
      <c r="B21" s="45" t="s">
        <v>42</v>
      </c>
      <c r="C21" s="50"/>
      <c r="D21" s="31"/>
      <c r="E21" s="32"/>
      <c r="F21" s="31"/>
      <c r="G21" s="43"/>
    </row>
    <row r="22" spans="1:7" ht="61.15" x14ac:dyDescent="0.4">
      <c r="A22" s="41"/>
      <c r="B22" s="45" t="s">
        <v>43</v>
      </c>
      <c r="C22" s="50"/>
      <c r="D22" s="31"/>
      <c r="E22" s="32"/>
      <c r="F22" s="31"/>
      <c r="G22" s="43"/>
    </row>
    <row r="23" spans="1:7" ht="76.5" x14ac:dyDescent="0.4">
      <c r="A23" s="41"/>
      <c r="B23" s="45" t="s">
        <v>44</v>
      </c>
      <c r="C23" s="22"/>
      <c r="D23" s="33"/>
      <c r="E23" s="34"/>
      <c r="F23" s="33"/>
      <c r="G23" s="46"/>
    </row>
    <row r="24" spans="1:7" ht="15.4" x14ac:dyDescent="0.45">
      <c r="A24" s="90" t="s">
        <v>84</v>
      </c>
      <c r="B24" s="90"/>
      <c r="C24" s="90"/>
      <c r="D24" s="90"/>
      <c r="E24" s="90"/>
      <c r="F24" s="4">
        <f>SUM(F9:F23)</f>
        <v>3736000</v>
      </c>
      <c r="G24" s="49"/>
    </row>
    <row r="25" spans="1:7" ht="15.4" x14ac:dyDescent="0.45">
      <c r="A25" s="90" t="s">
        <v>14</v>
      </c>
      <c r="B25" s="90"/>
      <c r="C25" s="90"/>
      <c r="D25" s="90"/>
      <c r="E25" s="90"/>
      <c r="F25" s="4">
        <f>F24*10%</f>
        <v>373600</v>
      </c>
      <c r="G25" s="49"/>
    </row>
    <row r="26" spans="1:7" ht="15.5" customHeight="1" x14ac:dyDescent="0.45">
      <c r="A26" s="90" t="s">
        <v>85</v>
      </c>
      <c r="B26" s="90"/>
      <c r="C26" s="90"/>
      <c r="D26" s="90"/>
      <c r="E26" s="90"/>
      <c r="F26" s="4">
        <f>F24+F25</f>
        <v>4109600</v>
      </c>
      <c r="G26" s="49"/>
    </row>
    <row r="27" spans="1:7" ht="15.5" customHeight="1" x14ac:dyDescent="0.45">
      <c r="A27" s="90" t="s">
        <v>92</v>
      </c>
      <c r="B27" s="90"/>
      <c r="C27" s="90"/>
      <c r="D27" s="90"/>
      <c r="E27" s="90"/>
      <c r="F27" s="4">
        <f>F26*12*90%</f>
        <v>44383680</v>
      </c>
      <c r="G27" s="49"/>
    </row>
    <row r="28" spans="1:7" ht="15.4" x14ac:dyDescent="0.45">
      <c r="A28" s="91" t="s">
        <v>45</v>
      </c>
      <c r="B28" s="91"/>
      <c r="C28" s="91"/>
      <c r="D28" s="91"/>
      <c r="E28" s="91"/>
      <c r="F28" s="91"/>
      <c r="G28" s="49"/>
    </row>
    <row r="29" spans="1:7" ht="15.4" x14ac:dyDescent="0.4">
      <c r="A29" s="25" t="s">
        <v>16</v>
      </c>
      <c r="B29" s="26"/>
      <c r="C29" s="52"/>
      <c r="D29" s="52"/>
      <c r="E29" s="52"/>
      <c r="F29" s="52"/>
    </row>
    <row r="30" spans="1:7" ht="15.4" x14ac:dyDescent="0.4">
      <c r="A30" s="25"/>
      <c r="B30" s="26"/>
      <c r="C30" s="52"/>
      <c r="D30" s="52"/>
      <c r="E30" s="52"/>
      <c r="F30" s="52"/>
    </row>
    <row r="31" spans="1:7" ht="15.4" x14ac:dyDescent="0.4">
      <c r="A31" s="27"/>
      <c r="B31" s="26" t="s">
        <v>46</v>
      </c>
      <c r="C31" s="52"/>
      <c r="D31" s="52"/>
      <c r="E31" s="52"/>
      <c r="F31" s="52"/>
    </row>
    <row r="32" spans="1:7" ht="15.4" x14ac:dyDescent="0.4">
      <c r="A32" s="27"/>
      <c r="B32" s="26" t="s">
        <v>47</v>
      </c>
      <c r="C32" s="52"/>
      <c r="D32" s="52"/>
      <c r="E32" s="52"/>
      <c r="F32" s="52"/>
    </row>
    <row r="33" spans="1:6" ht="15.4" x14ac:dyDescent="0.4">
      <c r="A33" s="27"/>
      <c r="B33" s="28"/>
      <c r="C33" s="52"/>
      <c r="D33" s="52"/>
      <c r="E33" s="52"/>
      <c r="F33" s="52"/>
    </row>
    <row r="34" spans="1:6" x14ac:dyDescent="0.4">
      <c r="B34" s="52"/>
      <c r="C34" s="52"/>
      <c r="D34" s="52"/>
      <c r="E34" s="52"/>
      <c r="F34" s="52"/>
    </row>
    <row r="35" spans="1:6" x14ac:dyDescent="0.4">
      <c r="B35" s="52"/>
      <c r="C35" s="52"/>
      <c r="D35" s="52"/>
      <c r="E35" s="52"/>
      <c r="F35" s="52"/>
    </row>
    <row r="36" spans="1:6" x14ac:dyDescent="0.4">
      <c r="B36" s="52"/>
      <c r="C36" s="52"/>
      <c r="D36" s="52"/>
      <c r="E36" s="52"/>
      <c r="F36" s="52"/>
    </row>
    <row r="37" spans="1:6" x14ac:dyDescent="0.4">
      <c r="B37" s="52"/>
      <c r="C37" s="52"/>
      <c r="D37" s="52"/>
      <c r="E37" s="52"/>
      <c r="F37" s="52"/>
    </row>
    <row r="38" spans="1:6" x14ac:dyDescent="0.4">
      <c r="B38" s="52"/>
      <c r="C38" s="52"/>
      <c r="D38" s="52"/>
      <c r="E38" s="52"/>
      <c r="F38" s="52"/>
    </row>
    <row r="39" spans="1:6" x14ac:dyDescent="0.4">
      <c r="B39" s="52"/>
      <c r="C39" s="52"/>
      <c r="D39" s="52"/>
      <c r="E39" s="52"/>
      <c r="F39" s="52"/>
    </row>
    <row r="40" spans="1:6" x14ac:dyDescent="0.4">
      <c r="B40" s="52"/>
      <c r="C40" s="52"/>
      <c r="D40" s="52"/>
      <c r="E40" s="52"/>
      <c r="F40" s="52"/>
    </row>
    <row r="41" spans="1:6" x14ac:dyDescent="0.4">
      <c r="B41" s="52"/>
      <c r="C41" s="52"/>
      <c r="D41" s="52"/>
      <c r="E41" s="52"/>
      <c r="F41" s="52"/>
    </row>
    <row r="42" spans="1:6" x14ac:dyDescent="0.4">
      <c r="B42" s="52"/>
      <c r="C42" s="52"/>
      <c r="D42" s="52"/>
      <c r="E42" s="52"/>
      <c r="F42" s="52"/>
    </row>
    <row r="43" spans="1:6" x14ac:dyDescent="0.4">
      <c r="B43" s="52"/>
      <c r="C43" s="52"/>
      <c r="D43" s="52"/>
      <c r="E43" s="52"/>
      <c r="F43" s="52"/>
    </row>
    <row r="44" spans="1:6" x14ac:dyDescent="0.4">
      <c r="B44" s="52"/>
      <c r="C44" s="52"/>
      <c r="D44" s="52"/>
      <c r="E44" s="52"/>
      <c r="F44" s="52"/>
    </row>
    <row r="45" spans="1:6" x14ac:dyDescent="0.4">
      <c r="B45" s="52"/>
      <c r="C45" s="52"/>
      <c r="D45" s="52"/>
      <c r="E45" s="52"/>
      <c r="F45" s="52"/>
    </row>
    <row r="46" spans="1:6" x14ac:dyDescent="0.4">
      <c r="B46" s="52"/>
      <c r="C46" s="52"/>
      <c r="D46" s="52"/>
      <c r="E46" s="52"/>
      <c r="F46" s="52"/>
    </row>
    <row r="47" spans="1:6" x14ac:dyDescent="0.4">
      <c r="B47" s="52"/>
      <c r="C47" s="52"/>
      <c r="D47" s="52"/>
      <c r="E47" s="52"/>
      <c r="F47" s="52"/>
    </row>
    <row r="48" spans="1:6" x14ac:dyDescent="0.4">
      <c r="B48" s="52"/>
      <c r="C48" s="52"/>
      <c r="D48" s="52"/>
      <c r="E48" s="52"/>
      <c r="F48" s="52"/>
    </row>
    <row r="49" spans="2:6" x14ac:dyDescent="0.4">
      <c r="B49" s="52"/>
      <c r="C49" s="52"/>
      <c r="D49" s="52"/>
      <c r="E49" s="52"/>
      <c r="F49" s="52"/>
    </row>
  </sheetData>
  <mergeCells count="8">
    <mergeCell ref="A28:F28"/>
    <mergeCell ref="A6:G6"/>
    <mergeCell ref="A7:C7"/>
    <mergeCell ref="J8:N8"/>
    <mergeCell ref="A24:E24"/>
    <mergeCell ref="A25:E25"/>
    <mergeCell ref="A26:E26"/>
    <mergeCell ref="A27:E27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Yeu cau</vt:lpstr>
      <vt:lpstr>yeu cau 260616</vt:lpstr>
      <vt:lpstr>PA1-Cloud server vmware</vt:lpstr>
      <vt:lpstr>PA1-Cloud server openstack</vt:lpstr>
      <vt:lpstr>PA2-Cloud server open-vfirewall</vt:lpstr>
      <vt:lpstr>PA2-Cloud server vmware-vfirewa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Khoi Vu Duc</dc:creator>
  <cp:lastModifiedBy>Vo Ngoc Minh</cp:lastModifiedBy>
  <dcterms:created xsi:type="dcterms:W3CDTF">2026-01-22T01:49:58Z</dcterms:created>
  <dcterms:modified xsi:type="dcterms:W3CDTF">2026-06-16T03:54:47Z</dcterms:modified>
</cp:coreProperties>
</file>