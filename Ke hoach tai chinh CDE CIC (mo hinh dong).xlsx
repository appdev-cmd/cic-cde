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uat_Ngu" sheetId="2" state="visible" r:id="rId2"/>
    <sheet xmlns:r="http://schemas.openxmlformats.org/officeDocument/2006/relationships" name="Gia_Dinh" sheetId="3" state="visible" r:id="rId3"/>
    <sheet xmlns:r="http://schemas.openxmlformats.org/officeDocument/2006/relationships" name="Nhan_Su" sheetId="4" state="visible" r:id="rId4"/>
    <sheet xmlns:r="http://schemas.openxmlformats.org/officeDocument/2006/relationships" name="Thiet_Bi" sheetId="5" state="visible" r:id="rId5"/>
    <sheet xmlns:r="http://schemas.openxmlformats.org/officeDocument/2006/relationships" name="CP_Khac" sheetId="6" state="visible" r:id="rId6"/>
    <sheet xmlns:r="http://schemas.openxmlformats.org/officeDocument/2006/relationships" name="Cloud" sheetId="7" state="visible" r:id="rId7"/>
    <sheet xmlns:r="http://schemas.openxmlformats.org/officeDocument/2006/relationships" name="Doanh_Thu" sheetId="8" state="visible" r:id="rId8"/>
    <sheet xmlns:r="http://schemas.openxmlformats.org/officeDocument/2006/relationships" name="Dau_Tu" sheetId="9" state="visible" r:id="rId9"/>
    <sheet xmlns:r="http://schemas.openxmlformats.org/officeDocument/2006/relationships" name="OPEX" sheetId="10" state="visible" r:id="rId10"/>
    <sheet xmlns:r="http://schemas.openxmlformats.org/officeDocument/2006/relationships" name="P_and_L" sheetId="11" state="visible" r:id="rId11"/>
    <sheet xmlns:r="http://schemas.openxmlformats.org/officeDocument/2006/relationships" name="Dong_Tien" sheetId="12" state="visible" r:id="rId12"/>
    <sheet xmlns:r="http://schemas.openxmlformats.org/officeDocument/2006/relationships" name="NPV_IRR" sheetId="13" state="visible" r:id="rId13"/>
    <sheet xmlns:r="http://schemas.openxmlformats.org/officeDocument/2006/relationships" name="Hoa_Von" sheetId="14" state="visible" r:id="rId14"/>
    <sheet xmlns:r="http://schemas.openxmlformats.org/officeDocument/2006/relationships" name="Do_Nhay" sheetId="15" state="visible" r:id="rId15"/>
    <sheet xmlns:r="http://schemas.openxmlformats.org/officeDocument/2006/relationships" name="Dashboar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(#,##0);&quot;-&quot;"/>
    <numFmt numFmtId="166" formatCode="#,##0.00;(#,##0.00);&quot;-&quot;"/>
    <numFmt numFmtId="167" formatCode="#,##0.0;(#,##0.0);&quot;-&quot;"/>
    <numFmt numFmtId="168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1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8000"/>
      <sz val="11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6" borderId="0" pivotButton="0" quotePrefix="0" xfId="0"/>
    <xf numFmtId="0" fontId="0" fillId="6" borderId="0" pivotButton="0" quotePrefix="0" xfId="0"/>
    <xf numFmtId="0" fontId="6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1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3" fillId="2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8" fillId="7" borderId="1" applyAlignment="1" pivotButton="0" quotePrefix="0" xfId="0">
      <alignment horizontal="right" vertical="center"/>
    </xf>
    <xf numFmtId="167" fontId="3" fillId="7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9" fillId="2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7" fontId="10" fillId="0" borderId="0" applyAlignment="1" pivotButton="0" quotePrefix="0" xfId="0">
      <alignment horizontal="right" vertical="center"/>
    </xf>
    <xf numFmtId="167" fontId="10" fillId="2" borderId="1" applyAlignment="1" pivotButton="0" quotePrefix="0" xfId="0">
      <alignment horizontal="right" vertical="center"/>
    </xf>
    <xf numFmtId="167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8" fontId="8" fillId="7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center" vertical="center"/>
    </xf>
    <xf numFmtId="167" fontId="11" fillId="7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Model</author>
  </authors>
  <commentList>
    <comment ref="D14" authorId="0" shapeId="0">
      <text>
        <t>2026=0 (đang xây dựng). Thương mại từ giữa 2027.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MÔ HÌNH TÀI CHÍNH CDE CIC — HƯỚNG DẪN</t>
        </is>
      </c>
    </row>
    <row r="2">
      <c r="A2" s="2" t="inlineStr">
        <is>
          <t>Cloud-First | Tiến độ 9/2026 – giữa 2027 | Doanh thu từ 2027</t>
        </is>
      </c>
    </row>
    <row r="4">
      <c r="A4" s="3" t="inlineStr">
        <is>
          <t>A. QUY ƯỚC MÀU</t>
        </is>
      </c>
      <c r="B4" s="4" t="n"/>
    </row>
    <row r="5">
      <c r="A5" s="5" t="inlineStr">
        <is>
          <t>Vàng đậm + chữ xanh</t>
        </is>
      </c>
      <c r="B5" s="6" t="inlineStr">
        <is>
          <t>Đầu vào CẦN khảo sát lại (có mã)</t>
        </is>
      </c>
    </row>
    <row r="6">
      <c r="A6" s="7" t="inlineStr">
        <is>
          <t>Vàng nhạt + chữ xanh</t>
        </is>
      </c>
      <c r="B6" s="6" t="inlineStr">
        <is>
          <t>Đầu vào có thể chỉnh (giả định)</t>
        </is>
      </c>
    </row>
    <row r="7">
      <c r="A7" s="8" t="inlineStr">
        <is>
          <t>Chữ xanh lá</t>
        </is>
      </c>
      <c r="B7" s="6" t="inlineStr">
        <is>
          <t>Công thức liên kết sheet khác</t>
        </is>
      </c>
    </row>
    <row r="8">
      <c r="A8" s="8" t="inlineStr">
        <is>
          <t>Chữ đen</t>
        </is>
      </c>
      <c r="B8" s="6" t="inlineStr">
        <is>
          <t>Công thức tính trong sheet</t>
        </is>
      </c>
    </row>
    <row r="9">
      <c r="A9" s="8" t="inlineStr"/>
      <c r="B9" s="6" t="inlineStr"/>
    </row>
    <row r="10">
      <c r="A10" s="3" t="inlineStr">
        <is>
          <t>B. NGUYÊN TẮC</t>
        </is>
      </c>
      <c r="B10" s="4" t="n"/>
    </row>
    <row r="11">
      <c r="A11" s="8" t="inlineStr">
        <is>
          <t>1</t>
        </is>
      </c>
      <c r="B11" s="6" t="inlineStr">
        <is>
          <t>Chỉ sửa ô MÀU VÀNG ở Gia_Dinh và các sheet chi tiết (Nhan_Su, Thiet_Bi, CP_Khac, Cloud).</t>
        </is>
      </c>
    </row>
    <row r="12">
      <c r="A12" s="8" t="inlineStr">
        <is>
          <t>2</t>
        </is>
      </c>
      <c r="B12" s="6" t="inlineStr">
        <is>
          <t>Mọi sheet khác là công thức — tự cập nhật. Mở Excel tự tính (nếu trống bấm F9).</t>
        </is>
      </c>
    </row>
    <row r="13">
      <c r="A13" s="8" t="inlineStr">
        <is>
          <t>3</t>
        </is>
      </c>
      <c r="B13" s="6" t="inlineStr">
        <is>
          <t>Mô hình Cloud-First: KHÔNG mua server (thuê cloud → OPEX). On-Premise: khách tự lo hạ tầng.</t>
        </is>
      </c>
    </row>
    <row r="14">
      <c r="A14" s="8" t="inlineStr">
        <is>
          <t>4</t>
        </is>
      </c>
      <c r="B14" s="6" t="inlineStr">
        <is>
          <t>NPV dùng quy ước năm 2026 = năm gốc (t=0).</t>
        </is>
      </c>
    </row>
    <row r="15">
      <c r="A15" s="8" t="inlineStr"/>
      <c r="B15" s="6" t="inlineStr"/>
    </row>
    <row r="16">
      <c r="A16" s="3" t="inlineStr">
        <is>
          <t>C. DANH MỤC SHEET</t>
        </is>
      </c>
      <c r="B16" s="4" t="n"/>
    </row>
    <row r="17">
      <c r="A17" s="8" t="inlineStr">
        <is>
          <t>Thuat_Ngu</t>
        </is>
      </c>
      <c r="B17" s="6" t="inlineStr">
        <is>
          <t>Chú thích thuật ngữ tiếng Anh &amp; viết tắt</t>
        </is>
      </c>
    </row>
    <row r="18">
      <c r="A18" s="8" t="inlineStr">
        <is>
          <t>Gia_Dinh</t>
        </is>
      </c>
      <c r="B18" s="6" t="inlineStr">
        <is>
          <t>Toàn bộ giả định đầu vào (nơi điền chính)</t>
        </is>
      </c>
    </row>
    <row r="19">
      <c r="A19" s="8" t="inlineStr">
        <is>
          <t>Nhan_Su</t>
        </is>
      </c>
      <c r="B19" s="6" t="inlineStr">
        <is>
          <t>Nhân sự bottom-up: đội phát triển (10) + đội vận hành (12/20/22)</t>
        </is>
      </c>
    </row>
    <row r="20">
      <c r="A20" s="8" t="inlineStr">
        <is>
          <t>Thiet_Bi</t>
        </is>
      </c>
      <c r="B20" s="6" t="inlineStr">
        <is>
          <t>Trang thiết bị văn phòng → CAP-02 (Cloud-First, không mua server)</t>
        </is>
      </c>
    </row>
    <row r="21">
      <c r="A21" s="8" t="inlineStr">
        <is>
          <t>CP_Khac</t>
        </is>
      </c>
      <c r="B21" s="6" t="inlineStr">
        <is>
          <t>Bản quyền/API, Marketing, PM/Pháp lý → CAP-03/04/05</t>
        </is>
      </c>
    </row>
    <row r="22">
      <c r="A22" s="8" t="inlineStr">
        <is>
          <t>Cloud</t>
        </is>
      </c>
      <c r="B22" s="6" t="inlineStr">
        <is>
          <t>Chi phí thuê Cloud trong nước → OPX-02</t>
        </is>
      </c>
    </row>
    <row r="23">
      <c r="A23" s="8" t="inlineStr">
        <is>
          <t>Doanh_Thu</t>
        </is>
      </c>
      <c r="B23" s="6" t="inlineStr">
        <is>
          <t>Doanh thu SaaS + On-Premise (PMU, Sở XD, Doanh nghiệp)</t>
        </is>
      </c>
    </row>
    <row r="24">
      <c r="A24" s="8" t="inlineStr">
        <is>
          <t>Dau_Tu</t>
        </is>
      </c>
      <c r="B24" s="6" t="inlineStr">
        <is>
          <t>Tổng hợp CAPEX 25,1 tỷ (CIC 70% / NATIF 30%)</t>
        </is>
      </c>
    </row>
    <row r="25">
      <c r="A25" s="8" t="inlineStr">
        <is>
          <t>OPEX</t>
        </is>
      </c>
      <c r="B25" s="6" t="inlineStr">
        <is>
          <t>Tổng hợp chi phí vận hành</t>
        </is>
      </c>
    </row>
    <row r="26">
      <c r="A26" s="8" t="inlineStr">
        <is>
          <t>P_and_L</t>
        </is>
      </c>
      <c r="B26" s="6" t="inlineStr">
        <is>
          <t>Báo cáo kết quả &amp; dòng tiền</t>
        </is>
      </c>
    </row>
    <row r="27">
      <c r="A27" s="8" t="inlineStr">
        <is>
          <t>Dong_Tien</t>
        </is>
      </c>
      <c r="B27" s="6" t="inlineStr">
        <is>
          <t>Dòng tiền dự án &amp; CIC</t>
        </is>
      </c>
    </row>
    <row r="28">
      <c r="A28" s="8" t="inlineStr">
        <is>
          <t>NPV_IRR</t>
        </is>
      </c>
      <c r="B28" s="6" t="inlineStr">
        <is>
          <t>NPV, IRR, hoàn vốn</t>
        </is>
      </c>
    </row>
    <row r="29">
      <c r="A29" s="8" t="inlineStr">
        <is>
          <t>Hoa_Von</t>
        </is>
      </c>
      <c r="B29" s="6" t="inlineStr">
        <is>
          <t>Điểm hòa vốn</t>
        </is>
      </c>
    </row>
    <row r="30">
      <c r="A30" s="8" t="inlineStr">
        <is>
          <t>Do_Nhay</t>
        </is>
      </c>
      <c r="B30" s="6" t="inlineStr">
        <is>
          <t>Phân tích độ nhạy 3 kịch bản</t>
        </is>
      </c>
    </row>
    <row r="31">
      <c r="A31" s="8" t="inlineStr">
        <is>
          <t>Dashboard</t>
        </is>
      </c>
      <c r="B31" s="6" t="inlineStr">
        <is>
          <t>Bảng tổng hợp chỉ số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82" customWidth="1" min="3" max="3"/>
  </cols>
  <sheetData>
    <row r="1">
      <c r="A1" s="1" t="inlineStr">
        <is>
          <t>CHÚ THÍCH THUẬT NGỮ &amp; TỪ VIẾT TẮT</t>
        </is>
      </c>
    </row>
    <row r="3">
      <c r="A3" s="9" t="inlineStr">
        <is>
          <t>A. TÀI CHÍNH</t>
        </is>
      </c>
      <c r="B3" s="10" t="n"/>
      <c r="C3" s="10" t="n"/>
    </row>
    <row r="4">
      <c r="A4" s="11" t="inlineStr">
        <is>
          <t>Viết tắt</t>
        </is>
      </c>
      <c r="B4" s="11" t="inlineStr">
        <is>
          <t>Tiếng Anh</t>
        </is>
      </c>
      <c r="C4" s="11" t="inlineStr">
        <is>
          <t>Giải thích</t>
        </is>
      </c>
    </row>
    <row r="5">
      <c r="A5" s="12" t="inlineStr">
        <is>
          <t>NPV</t>
        </is>
      </c>
      <c r="B5" s="13" t="inlineStr">
        <is>
          <t>Net Present Value</t>
        </is>
      </c>
      <c r="C5" s="14" t="inlineStr">
        <is>
          <t>Giá trị hiện tại thuần (&gt;0 là sinh lời).</t>
        </is>
      </c>
    </row>
    <row r="6">
      <c r="A6" s="12" t="inlineStr">
        <is>
          <t>IRR</t>
        </is>
      </c>
      <c r="B6" s="13" t="inlineStr">
        <is>
          <t>Internal Rate of Return</t>
        </is>
      </c>
      <c r="C6" s="14" t="inlineStr">
        <is>
          <t>Tỷ suất sinh lợi nội bộ; so với WACC.</t>
        </is>
      </c>
    </row>
    <row r="7">
      <c r="A7" s="12" t="inlineStr">
        <is>
          <t>WACC</t>
        </is>
      </c>
      <c r="B7" s="13" t="inlineStr">
        <is>
          <t>Weighted Average Cost of Capital</t>
        </is>
      </c>
      <c r="C7" s="14" t="inlineStr">
        <is>
          <t>Chi phí vốn bình quân (chiết khấu 12%).</t>
        </is>
      </c>
    </row>
    <row r="8">
      <c r="A8" s="12" t="inlineStr">
        <is>
          <t>CAPEX</t>
        </is>
      </c>
      <c r="B8" s="13" t="inlineStr">
        <is>
          <t>Capital Expenditure</t>
        </is>
      </c>
      <c r="C8" s="14" t="inlineStr">
        <is>
          <t>Chi phí đầu tư ban đầu.</t>
        </is>
      </c>
    </row>
    <row r="9">
      <c r="A9" s="12" t="inlineStr">
        <is>
          <t>OPEX</t>
        </is>
      </c>
      <c r="B9" s="13" t="inlineStr">
        <is>
          <t>Operating Expenditure</t>
        </is>
      </c>
      <c r="C9" s="14" t="inlineStr">
        <is>
          <t>Chi phí vận hành thường xuyên.</t>
        </is>
      </c>
    </row>
    <row r="10">
      <c r="A10" s="12" t="inlineStr">
        <is>
          <t>COGS</t>
        </is>
      </c>
      <c r="B10" s="13" t="inlineStr">
        <is>
          <t>Cost of Goods Sold</t>
        </is>
      </c>
      <c r="C10" s="14" t="inlineStr">
        <is>
          <t>Giá vốn dịch vụ (40% doanh thu).</t>
        </is>
      </c>
    </row>
    <row r="11">
      <c r="A11" s="12" t="inlineStr">
        <is>
          <t>AMC</t>
        </is>
      </c>
      <c r="B11" s="13" t="inlineStr">
        <is>
          <t>Annual Maintenance Contract</t>
        </is>
      </c>
      <c r="C11" s="14" t="inlineStr">
        <is>
          <t>Phí bảo trì hàng năm (15% giá HĐ lũy kế).</t>
        </is>
      </c>
    </row>
    <row r="12">
      <c r="A12" s="12" t="inlineStr">
        <is>
          <t>ARPU</t>
        </is>
      </c>
      <c r="B12" s="13" t="inlineStr">
        <is>
          <t>Average Revenue Per User</t>
        </is>
      </c>
      <c r="C12" s="14" t="inlineStr">
        <is>
          <t>Doanh thu bình quân/user.</t>
        </is>
      </c>
    </row>
    <row r="13">
      <c r="A13" s="12" t="inlineStr">
        <is>
          <t>P&amp;L</t>
        </is>
      </c>
      <c r="B13" s="13" t="inlineStr">
        <is>
          <t>Profit and Loss</t>
        </is>
      </c>
      <c r="C13" s="14" t="inlineStr">
        <is>
          <t>Báo cáo kết quả kinh doanh.</t>
        </is>
      </c>
    </row>
    <row r="15">
      <c r="A15" s="9" t="inlineStr">
        <is>
          <t>B. KINH DOANH</t>
        </is>
      </c>
      <c r="B15" s="10" t="n"/>
      <c r="C15" s="10" t="n"/>
    </row>
    <row r="16">
      <c r="A16" s="11" t="inlineStr">
        <is>
          <t>Viết tắt</t>
        </is>
      </c>
      <c r="B16" s="11" t="inlineStr">
        <is>
          <t>Tiếng Anh</t>
        </is>
      </c>
      <c r="C16" s="11" t="inlineStr">
        <is>
          <t>Giải thích</t>
        </is>
      </c>
    </row>
    <row r="17">
      <c r="A17" s="12" t="inlineStr">
        <is>
          <t>SaaS</t>
        </is>
      </c>
      <c r="B17" s="13" t="inlineStr">
        <is>
          <t>Software as a Service</t>
        </is>
      </c>
      <c r="C17" s="14" t="inlineStr">
        <is>
          <t>Phần mềm thuê bao trên cloud.</t>
        </is>
      </c>
    </row>
    <row r="18">
      <c r="A18" s="12" t="inlineStr">
        <is>
          <t>On-Premise</t>
        </is>
      </c>
      <c r="B18" s="13" t="inlineStr"/>
      <c r="C18" s="14" t="inlineStr">
        <is>
          <t>Cài đặt tại hạ tầng khách hàng.</t>
        </is>
      </c>
    </row>
    <row r="19">
      <c r="A19" s="12" t="inlineStr">
        <is>
          <t>B2G / B2B</t>
        </is>
      </c>
      <c r="B19" s="13" t="inlineStr">
        <is>
          <t>Business to Government / Business</t>
        </is>
      </c>
      <c r="C19" s="14" t="inlineStr">
        <is>
          <t>Bán cho nhà nước / doanh nghiệp.</t>
        </is>
      </c>
    </row>
    <row r="20">
      <c r="A20" s="12" t="inlineStr">
        <is>
          <t>PMU</t>
        </is>
      </c>
      <c r="B20" s="13" t="inlineStr">
        <is>
          <t>Project Management Unit</t>
        </is>
      </c>
      <c r="C20" s="14" t="inlineStr">
        <is>
          <t>Ban Quản lý dự án.</t>
        </is>
      </c>
    </row>
    <row r="21">
      <c r="A21" s="12" t="inlineStr">
        <is>
          <t>MVP</t>
        </is>
      </c>
      <c r="B21" s="13" t="inlineStr">
        <is>
          <t>Minimum Viable Product</t>
        </is>
      </c>
      <c r="C21" s="14" t="inlineStr">
        <is>
          <t>Sản phẩm khả dụng tối thiểu.</t>
        </is>
      </c>
    </row>
    <row r="23">
      <c r="A23" s="9" t="inlineStr">
        <is>
          <t>C. CÔNG NGHỆ</t>
        </is>
      </c>
      <c r="B23" s="10" t="n"/>
      <c r="C23" s="10" t="n"/>
    </row>
    <row r="24">
      <c r="A24" s="11" t="inlineStr">
        <is>
          <t>Viết tắt</t>
        </is>
      </c>
      <c r="B24" s="11" t="inlineStr">
        <is>
          <t>Tiếng Anh</t>
        </is>
      </c>
      <c r="C24" s="11" t="inlineStr">
        <is>
          <t>Giải thích</t>
        </is>
      </c>
    </row>
    <row r="25">
      <c r="A25" s="12" t="inlineStr">
        <is>
          <t>CDE</t>
        </is>
      </c>
      <c r="B25" s="13" t="inlineStr">
        <is>
          <t>Common Data Environment</t>
        </is>
      </c>
      <c r="C25" s="14" t="inlineStr">
        <is>
          <t>Môi trường dữ liệu chung.</t>
        </is>
      </c>
    </row>
    <row r="26">
      <c r="A26" s="12" t="inlineStr">
        <is>
          <t>BIM</t>
        </is>
      </c>
      <c r="B26" s="13" t="inlineStr">
        <is>
          <t>Building Information Modeling</t>
        </is>
      </c>
      <c r="C26" s="14" t="inlineStr">
        <is>
          <t>Mô hình thông tin công trình.</t>
        </is>
      </c>
    </row>
    <row r="27">
      <c r="A27" s="12" t="inlineStr">
        <is>
          <t>IFC</t>
        </is>
      </c>
      <c r="B27" s="13" t="inlineStr">
        <is>
          <t>Industry Foundation Classes</t>
        </is>
      </c>
      <c r="C27" s="14" t="inlineStr">
        <is>
          <t>Định dạng mở dữ liệu BIM (ISO 16739).</t>
        </is>
      </c>
    </row>
    <row r="28">
      <c r="A28" s="12" t="inlineStr">
        <is>
          <t>WebGL</t>
        </is>
      </c>
      <c r="B28" s="13" t="inlineStr">
        <is>
          <t>Web Graphics Library</t>
        </is>
      </c>
      <c r="C28" s="14" t="inlineStr">
        <is>
          <t>Đồ họa 3D trên trình duyệt.</t>
        </is>
      </c>
    </row>
    <row r="29">
      <c r="A29" s="12" t="inlineStr">
        <is>
          <t>API</t>
        </is>
      </c>
      <c r="B29" s="13" t="inlineStr">
        <is>
          <t>Application Programming Interface</t>
        </is>
      </c>
      <c r="C29" s="14" t="inlineStr">
        <is>
          <t>Giao diện kết nối hệ thống.</t>
        </is>
      </c>
    </row>
    <row r="30">
      <c r="A30" s="12" t="inlineStr">
        <is>
          <t>SDK</t>
        </is>
      </c>
      <c r="B30" s="13" t="inlineStr">
        <is>
          <t>Software Development Kit</t>
        </is>
      </c>
      <c r="C30" s="14" t="inlineStr">
        <is>
          <t>Bộ công cụ phát triển phần mềm.</t>
        </is>
      </c>
    </row>
    <row r="31">
      <c r="A31" s="12" t="inlineStr">
        <is>
          <t>CDN</t>
        </is>
      </c>
      <c r="B31" s="13" t="inlineStr">
        <is>
          <t>Content Delivery Network</t>
        </is>
      </c>
      <c r="C31" s="14" t="inlineStr">
        <is>
          <t>Mạng phân phối nội dung (tăng tốc tải).</t>
        </is>
      </c>
    </row>
    <row r="32">
      <c r="A32" s="12" t="inlineStr">
        <is>
          <t>CI/CD</t>
        </is>
      </c>
      <c r="B32" s="13" t="inlineStr">
        <is>
          <t>Continuous Integration / Deployment</t>
        </is>
      </c>
      <c r="C32" s="14" t="inlineStr">
        <is>
          <t>Tích hợp &amp; triển khai liên tục.</t>
        </is>
      </c>
    </row>
    <row r="34">
      <c r="A34" s="9" t="inlineStr">
        <is>
          <t>D. AN NINH &amp; PHÁP LÝ</t>
        </is>
      </c>
      <c r="B34" s="10" t="n"/>
      <c r="C34" s="10" t="n"/>
    </row>
    <row r="35">
      <c r="A35" s="11" t="inlineStr">
        <is>
          <t>Viết tắt</t>
        </is>
      </c>
      <c r="B35" s="11" t="inlineStr">
        <is>
          <t>Tiếng Anh</t>
        </is>
      </c>
      <c r="C35" s="11" t="inlineStr">
        <is>
          <t>Giải thích</t>
        </is>
      </c>
    </row>
    <row r="36">
      <c r="A36" s="12" t="inlineStr">
        <is>
          <t>QCVN 12</t>
        </is>
      </c>
      <c r="B36" s="13" t="inlineStr"/>
      <c r="C36" s="14" t="inlineStr">
        <is>
          <t>Quy chuẩn kỹ thuật quốc gia về an ninh mạng.</t>
        </is>
      </c>
    </row>
    <row r="37">
      <c r="A37" s="12" t="inlineStr">
        <is>
          <t>NATIF</t>
        </is>
      </c>
      <c r="B37" s="13" t="inlineStr">
        <is>
          <t>National Technology Innovation Foundation</t>
        </is>
      </c>
      <c r="C37" s="14" t="inlineStr">
        <is>
          <t>Quỹ Đổi mới công nghệ quốc gia.</t>
        </is>
      </c>
    </row>
    <row r="38">
      <c r="A38" s="12" t="inlineStr">
        <is>
          <t>NĐ 13/2023</t>
        </is>
      </c>
      <c r="B38" s="13" t="inlineStr"/>
      <c r="C38" s="14" t="inlineStr">
        <is>
          <t>Nghị định về bảo vệ dữ liệu cá nhân.</t>
        </is>
      </c>
    </row>
    <row r="39">
      <c r="A39" s="12" t="inlineStr">
        <is>
          <t>G&amp;A</t>
        </is>
      </c>
      <c r="B39" s="13" t="inlineStr">
        <is>
          <t>General &amp; Administrative</t>
        </is>
      </c>
      <c r="C39" s="14" t="inlineStr">
        <is>
          <t>Chi phí quản lý doanh nghiệp.</t>
        </is>
      </c>
    </row>
    <row r="40">
      <c r="A40" s="12" t="inlineStr">
        <is>
          <t>IP</t>
        </is>
      </c>
      <c r="B40" s="13" t="inlineStr">
        <is>
          <t>Intellectual Property</t>
        </is>
      </c>
      <c r="C40" s="14" t="inlineStr">
        <is>
          <t>Sở hữu trí tuệ.</t>
        </is>
      </c>
    </row>
    <row r="41">
      <c r="A41" s="12" t="inlineStr">
        <is>
          <t>BHXH</t>
        </is>
      </c>
      <c r="B41" s="13" t="inlineStr"/>
      <c r="C41" s="14" t="inlineStr">
        <is>
          <t>Bảo hiểm xã hội (21,5% lương).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GIẢ ĐỊNH ĐẦU VÀO (INPUTS)</t>
        </is>
      </c>
    </row>
    <row r="2">
      <c r="A2" s="2" t="inlineStr">
        <is>
          <t>Chỉ sửa ô vàng. Mỗi dòng có MÃ để tham chiếu khi khảo sát.</t>
        </is>
      </c>
    </row>
    <row r="3">
      <c r="A3" s="11" t="inlineStr">
        <is>
          <t>Mã</t>
        </is>
      </c>
      <c r="B3" s="11" t="inlineStr">
        <is>
          <t>Khoản mục</t>
        </is>
      </c>
      <c r="C3" s="11" t="inlineStr">
        <is>
          <t>Đơn vị</t>
        </is>
      </c>
      <c r="D3" s="11" t="inlineStr">
        <is>
          <t>2026</t>
        </is>
      </c>
      <c r="E3" s="11" t="inlineStr">
        <is>
          <t>2027</t>
        </is>
      </c>
      <c r="F3" s="11" t="inlineStr">
        <is>
          <t>2028</t>
        </is>
      </c>
      <c r="G3" s="11" t="inlineStr">
        <is>
          <t>2029</t>
        </is>
      </c>
      <c r="H3" s="11" t="inlineStr">
        <is>
          <t>2030</t>
        </is>
      </c>
      <c r="I3" s="11" t="inlineStr">
        <is>
          <t>Ghi chú</t>
        </is>
      </c>
    </row>
    <row r="4">
      <c r="A4" s="9" t="inlineStr">
        <is>
          <t>A. THAM SỐ TÀI CHÍNH CHUNG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5" t="inlineStr">
        <is>
          <t>FIN-01</t>
        </is>
      </c>
      <c r="B5" s="6" t="inlineStr">
        <is>
          <t>Giá vốn dịch vụ (COGS) / doanh thu</t>
        </is>
      </c>
      <c r="C5" s="16" t="inlineStr">
        <is>
          <t>%</t>
        </is>
      </c>
      <c r="D5" s="17" t="n">
        <v>0.4</v>
      </c>
      <c r="E5" s="17" t="n">
        <v>0.4</v>
      </c>
      <c r="F5" s="17" t="n">
        <v>0.4</v>
      </c>
      <c r="G5" s="17" t="n">
        <v>0.4</v>
      </c>
      <c r="H5" s="17" t="n">
        <v>0.4</v>
      </c>
      <c r="I5" s="18" t="inlineStr">
        <is>
          <t>⚠️ Triển khai local, băng thông, API, đào tạo</t>
        </is>
      </c>
    </row>
    <row r="6">
      <c r="A6" s="15" t="inlineStr">
        <is>
          <t>FIN-02</t>
        </is>
      </c>
      <c r="B6" s="6" t="inlineStr">
        <is>
          <t>Biên lợi nhuận gộp</t>
        </is>
      </c>
      <c r="C6" s="16" t="inlineStr">
        <is>
          <t>%</t>
        </is>
      </c>
      <c r="D6" s="19">
        <f>1-D5</f>
        <v/>
      </c>
      <c r="E6" s="19">
        <f>1-D5</f>
        <v/>
      </c>
      <c r="F6" s="19">
        <f>1-D5</f>
        <v/>
      </c>
      <c r="G6" s="19">
        <f>1-D5</f>
        <v/>
      </c>
      <c r="H6" s="19">
        <f>1-D5</f>
        <v/>
      </c>
    </row>
    <row r="7">
      <c r="A7" s="15" t="inlineStr">
        <is>
          <t>FIN-03</t>
        </is>
      </c>
      <c r="B7" s="6" t="inlineStr">
        <is>
          <t>WACC (tỷ lệ chiết khấu)</t>
        </is>
      </c>
      <c r="C7" s="16" t="inlineStr">
        <is>
          <t>%</t>
        </is>
      </c>
      <c r="D7" s="17" t="n">
        <v>0.12</v>
      </c>
      <c r="E7" s="17" t="n">
        <v>0.12</v>
      </c>
      <c r="F7" s="17" t="n">
        <v>0.12</v>
      </c>
      <c r="G7" s="17" t="n">
        <v>0.12</v>
      </c>
      <c r="H7" s="17" t="n">
        <v>0.12</v>
      </c>
      <c r="I7" s="18" t="inlineStr">
        <is>
          <t>✅ Benchmark tech VN</t>
        </is>
      </c>
    </row>
    <row r="8">
      <c r="A8" s="15" t="inlineStr">
        <is>
          <t>FIN-04</t>
        </is>
      </c>
      <c r="B8" s="6" t="inlineStr">
        <is>
          <t>Thuế TNDN</t>
        </is>
      </c>
      <c r="C8" s="16" t="inlineStr">
        <is>
          <t>%</t>
        </is>
      </c>
      <c r="D8" s="17" t="n">
        <v>0.1</v>
      </c>
      <c r="E8" s="17" t="n">
        <v>0.1</v>
      </c>
      <c r="F8" s="17" t="n">
        <v>0.1</v>
      </c>
      <c r="G8" s="17" t="n">
        <v>0.1</v>
      </c>
      <c r="H8" s="17" t="n">
        <v>0.1</v>
      </c>
      <c r="I8" s="18" t="inlineStr">
        <is>
          <t>✅ Ưu đãi DN công nghệ</t>
        </is>
      </c>
    </row>
    <row r="9">
      <c r="A9" s="15" t="inlineStr">
        <is>
          <t>FIN-05</t>
        </is>
      </c>
      <c r="B9" s="6" t="inlineStr">
        <is>
          <t>Tỷ lệ vốn CIC (đối ứng)</t>
        </is>
      </c>
      <c r="C9" s="16" t="inlineStr">
        <is>
          <t>%</t>
        </is>
      </c>
      <c r="D9" s="17" t="n">
        <v>0.7</v>
      </c>
      <c r="E9" s="17" t="n">
        <v>0.7</v>
      </c>
      <c r="F9" s="17" t="n">
        <v>0.7</v>
      </c>
      <c r="G9" s="17" t="n">
        <v>0.7</v>
      </c>
      <c r="H9" s="17" t="n">
        <v>0.7</v>
      </c>
      <c r="I9" s="18" t="inlineStr">
        <is>
          <t>✅ Cam kết 70/30</t>
        </is>
      </c>
    </row>
    <row r="10">
      <c r="A10" s="15" t="inlineStr">
        <is>
          <t>FIN-06</t>
        </is>
      </c>
      <c r="B10" s="6" t="inlineStr">
        <is>
          <t>Tỷ lệ vốn NATIF (tài trợ)</t>
        </is>
      </c>
      <c r="C10" s="16" t="inlineStr">
        <is>
          <t>%</t>
        </is>
      </c>
      <c r="D10" s="19">
        <f>1-D9</f>
        <v/>
      </c>
      <c r="E10" s="19">
        <f>1-D9</f>
        <v/>
      </c>
      <c r="F10" s="19">
        <f>1-D9</f>
        <v/>
      </c>
      <c r="G10" s="19">
        <f>1-D9</f>
        <v/>
      </c>
      <c r="H10" s="19">
        <f>1-D9</f>
        <v/>
      </c>
    </row>
    <row r="11">
      <c r="A11" s="15" t="inlineStr">
        <is>
          <t>FIN-07</t>
        </is>
      </c>
      <c r="B11" s="6" t="inlineStr">
        <is>
          <t>Hệ số tải nhân sự vận hành (overhead)</t>
        </is>
      </c>
      <c r="C11" s="16" t="inlineStr">
        <is>
          <t>x</t>
        </is>
      </c>
      <c r="D11" s="20" t="n">
        <v>0</v>
      </c>
      <c r="E11" s="20" t="n">
        <v>1.62</v>
      </c>
      <c r="F11" s="20" t="n">
        <v>1.49</v>
      </c>
      <c r="G11" s="20" t="n">
        <v>1.46</v>
      </c>
      <c r="H11" s="20" t="n">
        <v>1.46</v>
      </c>
      <c r="I11" s="18" t="inlineStr">
        <is>
          <t>BHXH + lương 13 + thưởng + tuyển dụng/phúc lợi</t>
        </is>
      </c>
    </row>
    <row r="13">
      <c r="A13" s="9" t="inlineStr">
        <is>
          <t>B. DOANH THU SaaS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5" t="inlineStr">
        <is>
          <t>SAAS-01</t>
        </is>
      </c>
      <c r="B14" s="6" t="inlineStr">
        <is>
          <t>Người dùng active cuối kỳ</t>
        </is>
      </c>
      <c r="C14" s="16" t="inlineStr">
        <is>
          <t>user</t>
        </is>
      </c>
      <c r="D14" s="21" t="n">
        <v>0</v>
      </c>
      <c r="E14" s="21" t="n">
        <v>1000</v>
      </c>
      <c r="F14" s="21" t="n">
        <v>4000</v>
      </c>
      <c r="G14" s="21" t="n">
        <v>9000</v>
      </c>
      <c r="H14" s="21" t="n">
        <v>15000</v>
      </c>
      <c r="I14" s="18" t="inlineStr">
        <is>
          <t>❌ Sản phẩm ra mắt 2027</t>
        </is>
      </c>
    </row>
    <row r="15">
      <c r="A15" s="15" t="inlineStr">
        <is>
          <t>SAAS-02</t>
        </is>
      </c>
      <c r="B15" s="6" t="inlineStr">
        <is>
          <t>ARPU (giá TB/user/tháng)</t>
        </is>
      </c>
      <c r="C15" s="16" t="inlineStr">
        <is>
          <t>tr</t>
        </is>
      </c>
      <c r="D15" s="22" t="n">
        <v>0</v>
      </c>
      <c r="E15" s="22" t="n">
        <v>0.5</v>
      </c>
      <c r="F15" s="22" t="n">
        <v>0.5</v>
      </c>
      <c r="G15" s="22" t="n">
        <v>0.52</v>
      </c>
      <c r="H15" s="22" t="n">
        <v>0.55</v>
      </c>
      <c r="I15" s="18" t="inlineStr">
        <is>
          <t>❌ ~6 tr/user/năm</t>
        </is>
      </c>
    </row>
    <row r="16">
      <c r="A16" s="15" t="inlineStr">
        <is>
          <t>SAAS-03</t>
        </is>
      </c>
      <c r="B16" s="6" t="inlineStr">
        <is>
          <t>Số tháng thương mại trong năm</t>
        </is>
      </c>
      <c r="C16" s="16" t="inlineStr">
        <is>
          <t>tháng</t>
        </is>
      </c>
      <c r="D16" s="23" t="n">
        <v>0</v>
      </c>
      <c r="E16" s="23" t="n">
        <v>6</v>
      </c>
      <c r="F16" s="23" t="n">
        <v>12</v>
      </c>
      <c r="G16" s="23" t="n">
        <v>12</v>
      </c>
      <c r="H16" s="23" t="n">
        <v>12</v>
      </c>
      <c r="I16" s="18" t="inlineStr">
        <is>
          <t>2027 từ giữa năm</t>
        </is>
      </c>
    </row>
    <row r="18">
      <c r="A18" s="9" t="inlineStr">
        <is>
          <t>C. ON-PREMISE — PMU (Ban QLDA)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5" t="inlineStr">
        <is>
          <t>OPP-01</t>
        </is>
      </c>
      <c r="B19" s="6" t="inlineStr">
        <is>
          <t>Hợp đồng PMU mới trong năm</t>
        </is>
      </c>
      <c r="C19" s="16" t="inlineStr">
        <is>
          <t>HĐ</t>
        </is>
      </c>
      <c r="D19" s="21" t="n">
        <v>0</v>
      </c>
      <c r="E19" s="21" t="n">
        <v>2</v>
      </c>
      <c r="F19" s="21" t="n">
        <v>6</v>
      </c>
      <c r="G19" s="21" t="n">
        <v>10</v>
      </c>
      <c r="H19" s="21" t="n">
        <v>12</v>
      </c>
      <c r="I19" s="18" t="inlineStr">
        <is>
          <t>❌ Lũy kế 30 PMU tới 2030</t>
        </is>
      </c>
    </row>
    <row r="20">
      <c r="A20" s="15" t="inlineStr">
        <is>
          <t>OPP-02</t>
        </is>
      </c>
      <c r="B20" s="6" t="inlineStr">
        <is>
          <t>Giá HĐ PMU (tăng dần)</t>
        </is>
      </c>
      <c r="C20" s="16" t="inlineStr">
        <is>
          <t>tỷ</t>
        </is>
      </c>
      <c r="D20" s="24" t="n">
        <v>0</v>
      </c>
      <c r="E20" s="24" t="n">
        <v>2</v>
      </c>
      <c r="F20" s="24" t="n">
        <v>2.3</v>
      </c>
      <c r="G20" s="24" t="n">
        <v>2.6</v>
      </c>
      <c r="H20" s="24" t="n">
        <v>3</v>
      </c>
      <c r="I20" s="18" t="inlineStr">
        <is>
          <t>❌ 2,0 → 3,0 tỷ</t>
        </is>
      </c>
    </row>
    <row r="22">
      <c r="A22" s="9" t="inlineStr">
        <is>
          <t>D. ON-PREMISE — SỞ XÂY DỰNG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5" t="inlineStr">
        <is>
          <t>OSX-01</t>
        </is>
      </c>
      <c r="B23" s="6" t="inlineStr">
        <is>
          <t>Hợp đồng Sở XD mới trong năm</t>
        </is>
      </c>
      <c r="C23" s="16" t="inlineStr">
        <is>
          <t>HĐ</t>
        </is>
      </c>
      <c r="D23" s="21" t="n">
        <v>0</v>
      </c>
      <c r="E23" s="21" t="n">
        <v>1</v>
      </c>
      <c r="F23" s="21" t="n">
        <v>3</v>
      </c>
      <c r="G23" s="21" t="n">
        <v>5</v>
      </c>
      <c r="H23" s="21" t="n">
        <v>6</v>
      </c>
      <c r="I23" s="18" t="inlineStr">
        <is>
          <t>❌ Lũy kế 15 Sở tới 2030</t>
        </is>
      </c>
    </row>
    <row r="24">
      <c r="A24" s="15" t="inlineStr">
        <is>
          <t>OSX-02</t>
        </is>
      </c>
      <c r="B24" s="6" t="inlineStr">
        <is>
          <t>Giá HĐ Sở XD (tăng dần)</t>
        </is>
      </c>
      <c r="C24" s="16" t="inlineStr">
        <is>
          <t>tỷ</t>
        </is>
      </c>
      <c r="D24" s="24" t="n">
        <v>0</v>
      </c>
      <c r="E24" s="24" t="n">
        <v>1.8</v>
      </c>
      <c r="F24" s="24" t="n">
        <v>2</v>
      </c>
      <c r="G24" s="24" t="n">
        <v>2.2</v>
      </c>
      <c r="H24" s="24" t="n">
        <v>2.5</v>
      </c>
      <c r="I24" s="18" t="inlineStr">
        <is>
          <t>❌ 1,8 → 2,5 tỷ</t>
        </is>
      </c>
    </row>
    <row r="26">
      <c r="A26" s="9" t="inlineStr">
        <is>
          <t>E. ON-PREMISE — DOANH NGHIỆP LỚN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5" t="inlineStr">
        <is>
          <t>OPV-01</t>
        </is>
      </c>
      <c r="B27" s="6" t="inlineStr">
        <is>
          <t>Hợp đồng doanh nghiệp mới</t>
        </is>
      </c>
      <c r="C27" s="16" t="inlineStr">
        <is>
          <t>HĐ</t>
        </is>
      </c>
      <c r="D27" s="21" t="n">
        <v>0</v>
      </c>
      <c r="E27" s="21" t="n">
        <v>1</v>
      </c>
      <c r="F27" s="21" t="n">
        <v>3</v>
      </c>
      <c r="G27" s="21" t="n">
        <v>4</v>
      </c>
      <c r="H27" s="21" t="n">
        <v>5</v>
      </c>
      <c r="I27" s="18" t="inlineStr">
        <is>
          <t>⚠️ Lũy kế 13 DN tới 2030</t>
        </is>
      </c>
    </row>
    <row r="28">
      <c r="A28" s="15" t="inlineStr">
        <is>
          <t>OPV-02</t>
        </is>
      </c>
      <c r="B28" s="6" t="inlineStr">
        <is>
          <t>Giá HĐ doanh nghiệp (tăng dần)</t>
        </is>
      </c>
      <c r="C28" s="16" t="inlineStr">
        <is>
          <t>tỷ</t>
        </is>
      </c>
      <c r="D28" s="24" t="n">
        <v>0</v>
      </c>
      <c r="E28" s="24" t="n">
        <v>3</v>
      </c>
      <c r="F28" s="24" t="n">
        <v>3.4</v>
      </c>
      <c r="G28" s="24" t="n">
        <v>3.8</v>
      </c>
      <c r="H28" s="24" t="n">
        <v>4.2</v>
      </c>
      <c r="I28" s="18" t="inlineStr">
        <is>
          <t>⚠️ 3,0 → 4,2 tỷ</t>
        </is>
      </c>
    </row>
    <row r="29">
      <c r="A29" s="15" t="inlineStr">
        <is>
          <t>AMC-01</t>
        </is>
      </c>
      <c r="B29" s="6" t="inlineStr">
        <is>
          <t>Phí bảo trì hàng năm (% giá HĐ lũy kế)</t>
        </is>
      </c>
      <c r="C29" s="16" t="inlineStr">
        <is>
          <t>%</t>
        </is>
      </c>
      <c r="D29" s="17" t="n">
        <v>0.15</v>
      </c>
      <c r="E29" s="17" t="n">
        <v>0.15</v>
      </c>
      <c r="F29" s="17" t="n">
        <v>0.15</v>
      </c>
      <c r="G29" s="17" t="n">
        <v>0.15</v>
      </c>
      <c r="H29" s="17" t="n">
        <v>0.15</v>
      </c>
      <c r="I29" s="18" t="inlineStr">
        <is>
          <t>Thu từ năm thứ 2</t>
        </is>
      </c>
    </row>
    <row r="31">
      <c r="A31" s="9" t="inlineStr">
        <is>
          <t>F. ĐẦU TƯ CAPEX (link từ sheet chi tiết)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5" t="inlineStr">
        <is>
          <t>CAP-01</t>
        </is>
      </c>
      <c r="B32" s="6" t="inlineStr">
        <is>
          <t>Nhân sự phát triển lõi</t>
        </is>
      </c>
      <c r="C32" s="16" t="inlineStr">
        <is>
          <t>tỷ</t>
        </is>
      </c>
      <c r="D32" s="25">
        <f>Nhan_Su!D28</f>
        <v/>
      </c>
      <c r="E32" s="25">
        <f>Nhan_Su!E28</f>
        <v/>
      </c>
      <c r="F32" s="25">
        <f>Nhan_Su!F28</f>
        <v/>
      </c>
      <c r="G32" s="25">
        <f>Nhan_Su!G28</f>
        <v/>
      </c>
      <c r="H32" s="25">
        <f>Nhan_Su!H28</f>
        <v/>
      </c>
      <c r="I32" s="18" t="inlineStr">
        <is>
          <t>← Nhan_Su (đội 10 người)</t>
        </is>
      </c>
    </row>
    <row r="33">
      <c r="A33" s="15" t="inlineStr">
        <is>
          <t>CAP-02</t>
        </is>
      </c>
      <c r="B33" s="6" t="inlineStr">
        <is>
          <t>Trang thiết bị văn phòng</t>
        </is>
      </c>
      <c r="C33" s="16" t="inlineStr">
        <is>
          <t>tỷ</t>
        </is>
      </c>
      <c r="D33" s="25">
        <f>Thiet_Bi!D10</f>
        <v/>
      </c>
      <c r="E33" s="25">
        <f>Thiet_Bi!E10</f>
        <v/>
      </c>
      <c r="F33" s="25">
        <f>Thiet_Bi!F10</f>
        <v/>
      </c>
      <c r="G33" s="25">
        <f>Thiet_Bi!G10</f>
        <v/>
      </c>
      <c r="H33" s="25">
        <f>Thiet_Bi!H10</f>
        <v/>
      </c>
      <c r="I33" s="18" t="inlineStr">
        <is>
          <t>← Thiet_Bi (Cloud-First)</t>
        </is>
      </c>
    </row>
    <row r="34">
      <c r="A34" s="15" t="inlineStr">
        <is>
          <t>CAP-03</t>
        </is>
      </c>
      <c r="B34" s="6" t="inlineStr">
        <is>
          <t>Bản quyền &amp; API tích hợp</t>
        </is>
      </c>
      <c r="C34" s="16" t="inlineStr">
        <is>
          <t>tỷ</t>
        </is>
      </c>
      <c r="D34" s="25">
        <f>CP_Khac!D8</f>
        <v/>
      </c>
      <c r="E34" s="25">
        <f>CP_Khac!E8</f>
        <v/>
      </c>
      <c r="F34" s="25">
        <f>CP_Khac!F8</f>
        <v/>
      </c>
      <c r="G34" s="25">
        <f>CP_Khac!G8</f>
        <v/>
      </c>
      <c r="H34" s="25">
        <f>CP_Khac!H8</f>
        <v/>
      </c>
      <c r="I34" s="18" t="inlineStr">
        <is>
          <t>← CP_Khac (nhóm A)</t>
        </is>
      </c>
    </row>
    <row r="35">
      <c r="A35" s="15" t="inlineStr">
        <is>
          <t>CAP-04</t>
        </is>
      </c>
      <c r="B35" s="6" t="inlineStr">
        <is>
          <t>Marketing &amp; Sales ra mắt</t>
        </is>
      </c>
      <c r="C35" s="16" t="inlineStr">
        <is>
          <t>tỷ</t>
        </is>
      </c>
      <c r="D35" s="25">
        <f>CP_Khac!D15</f>
        <v/>
      </c>
      <c r="E35" s="25">
        <f>CP_Khac!E15</f>
        <v/>
      </c>
      <c r="F35" s="25">
        <f>CP_Khac!F15</f>
        <v/>
      </c>
      <c r="G35" s="25">
        <f>CP_Khac!G15</f>
        <v/>
      </c>
      <c r="H35" s="25">
        <f>CP_Khac!H15</f>
        <v/>
      </c>
      <c r="I35" s="18" t="inlineStr">
        <is>
          <t>← CP_Khac (nhóm B)</t>
        </is>
      </c>
    </row>
    <row r="36">
      <c r="A36" s="15" t="inlineStr">
        <is>
          <t>CAP-05</t>
        </is>
      </c>
      <c r="B36" s="6" t="inlineStr">
        <is>
          <t>Tư vấn, PM &amp; Pháp lý</t>
        </is>
      </c>
      <c r="C36" s="16" t="inlineStr">
        <is>
          <t>tỷ</t>
        </is>
      </c>
      <c r="D36" s="25">
        <f>CP_Khac!D21</f>
        <v/>
      </c>
      <c r="E36" s="25">
        <f>CP_Khac!E21</f>
        <v/>
      </c>
      <c r="F36" s="25">
        <f>CP_Khac!F21</f>
        <v/>
      </c>
      <c r="G36" s="25">
        <f>CP_Khac!G21</f>
        <v/>
      </c>
      <c r="H36" s="25">
        <f>CP_Khac!H21</f>
        <v/>
      </c>
      <c r="I36" s="18" t="inlineStr">
        <is>
          <t>← CP_Khac (nhóm C)</t>
        </is>
      </c>
    </row>
    <row r="38">
      <c r="A38" s="9" t="inlineStr">
        <is>
          <t>G. CHI PHÍ VẬN HÀNH OPEX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5" t="inlineStr">
        <is>
          <t>OPX-01</t>
        </is>
      </c>
      <c r="B39" s="6" t="inlineStr">
        <is>
          <t>Nhân sự vận hành</t>
        </is>
      </c>
      <c r="C39" s="16" t="inlineStr">
        <is>
          <t>tỷ</t>
        </is>
      </c>
      <c r="D39" s="25">
        <f>Nhan_Su!D46</f>
        <v/>
      </c>
      <c r="E39" s="25">
        <f>Nhan_Su!E46</f>
        <v/>
      </c>
      <c r="F39" s="25">
        <f>Nhan_Su!F46</f>
        <v/>
      </c>
      <c r="G39" s="25">
        <f>Nhan_Su!G46</f>
        <v/>
      </c>
      <c r="H39" s="25">
        <f>Nhan_Su!H46</f>
        <v/>
      </c>
      <c r="I39" s="18" t="inlineStr">
        <is>
          <t>← Nhan_Su (đội vận hành)</t>
        </is>
      </c>
    </row>
    <row r="40">
      <c r="A40" s="15" t="inlineStr">
        <is>
          <t>OPX-02</t>
        </is>
      </c>
      <c r="B40" s="6" t="inlineStr">
        <is>
          <t>Thuê hạ tầng Cloud trong nước</t>
        </is>
      </c>
      <c r="C40" s="16" t="inlineStr">
        <is>
          <t>tỷ</t>
        </is>
      </c>
      <c r="D40" s="25">
        <f>Cloud!D9</f>
        <v/>
      </c>
      <c r="E40" s="25">
        <f>Cloud!E9</f>
        <v/>
      </c>
      <c r="F40" s="25">
        <f>Cloud!F9</f>
        <v/>
      </c>
      <c r="G40" s="25">
        <f>Cloud!G9</f>
        <v/>
      </c>
      <c r="H40" s="25">
        <f>Cloud!H9</f>
        <v/>
      </c>
      <c r="I40" s="18" t="inlineStr">
        <is>
          <t>← Cloud</t>
        </is>
      </c>
    </row>
    <row r="41">
      <c r="A41" s="15" t="inlineStr">
        <is>
          <t>OPX-03</t>
        </is>
      </c>
      <c r="B41" s="6" t="inlineStr">
        <is>
          <t>Chi phí vận hành khác</t>
        </is>
      </c>
      <c r="C41" s="16" t="inlineStr">
        <is>
          <t>tỷ</t>
        </is>
      </c>
      <c r="D41" s="24" t="n">
        <v>0</v>
      </c>
      <c r="E41" s="24" t="n">
        <v>11</v>
      </c>
      <c r="F41" s="24" t="n">
        <v>22</v>
      </c>
      <c r="G41" s="24" t="n">
        <v>26</v>
      </c>
      <c r="H41" s="24" t="n">
        <v>31</v>
      </c>
      <c r="I41" s="18" t="inlineStr">
        <is>
          <t>⚠️ Văn phòng, marketing thường niên, license API, pentest an ninh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NHÂN SỰ &amp; TIỀN LƯƠNG (BOTTOM-UP)</t>
        </is>
      </c>
    </row>
    <row r="2">
      <c r="A2" s="2" t="inlineStr">
        <is>
          <t>Đội phát triển (CAPEX) + đội vận hành (OPEX). Sửa ô vàng.</t>
        </is>
      </c>
    </row>
    <row r="4">
      <c r="A4" s="9" t="inlineStr">
        <is>
          <t>A. THAM SỐ PHỤ PHÍ (đội phát triển)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5" t="inlineStr">
        <is>
          <t>NS-L01</t>
        </is>
      </c>
      <c r="B5" s="6" t="inlineStr">
        <is>
          <t>BHXH/BHYT/BHTN (% lương)</t>
        </is>
      </c>
      <c r="D5" s="26" t="n">
        <v>0.215</v>
      </c>
    </row>
    <row r="6">
      <c r="A6" s="15" t="inlineStr">
        <is>
          <t>NS-L02</t>
        </is>
      </c>
      <c r="B6" s="6" t="inlineStr">
        <is>
          <t>Văn phòng /người/tháng (tr)</t>
        </is>
      </c>
      <c r="D6" s="27" t="n">
        <v>10</v>
      </c>
    </row>
    <row r="7">
      <c r="A7" s="15" t="inlineStr">
        <is>
          <t>NS-L03</t>
        </is>
      </c>
      <c r="B7" s="6" t="inlineStr">
        <is>
          <t>Thiết bị &amp; công cụ /người/năm (tr)</t>
        </is>
      </c>
      <c r="D7" s="27" t="n">
        <v>8</v>
      </c>
    </row>
    <row r="8">
      <c r="A8" s="15" t="inlineStr">
        <is>
          <t>NS-L04</t>
        </is>
      </c>
      <c r="B8" s="6" t="inlineStr">
        <is>
          <t>Phúc lợi &amp; đào tạo /người/tháng (tr)</t>
        </is>
      </c>
      <c r="D8" s="27" t="n">
        <v>2</v>
      </c>
    </row>
    <row r="9">
      <c r="A9" s="15" t="inlineStr">
        <is>
          <t>NS-L05</t>
        </is>
      </c>
      <c r="B9" s="6" t="inlineStr">
        <is>
          <t>AI tools /người/tháng (tr)</t>
        </is>
      </c>
      <c r="D9" s="27" t="n">
        <v>1.5</v>
      </c>
    </row>
    <row r="11">
      <c r="A11" s="9" t="inlineStr">
        <is>
          <t>B. ĐỘI NGŨ PHÁT TRIỂN (10 người, build 9/2026–giữa 2027 → CAP-01)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1" t="inlineStr">
        <is>
          <t>Mã</t>
        </is>
      </c>
      <c r="B12" s="11" t="inlineStr">
        <is>
          <t>Vị trí</t>
        </is>
      </c>
      <c r="C12" s="11" t="inlineStr">
        <is>
          <t>Lương/th (tr)</t>
        </is>
      </c>
      <c r="D12" s="11" t="inlineStr">
        <is>
          <t>2026</t>
        </is>
      </c>
      <c r="E12" s="11" t="inlineStr">
        <is>
          <t>2027</t>
        </is>
      </c>
      <c r="F12" s="11" t="inlineStr">
        <is>
          <t>2028</t>
        </is>
      </c>
      <c r="G12" s="11" t="inlineStr">
        <is>
          <t>2029</t>
        </is>
      </c>
      <c r="H12" s="11" t="inlineStr">
        <is>
          <t>2030</t>
        </is>
      </c>
    </row>
    <row r="13">
      <c r="A13" s="28" t="inlineStr">
        <is>
          <t>NS-01</t>
        </is>
      </c>
      <c r="B13" s="29" t="inlineStr">
        <is>
          <t>CTO / Kiến trúc trưởng (gộp Eng Director + Tech Lead)</t>
        </is>
      </c>
      <c r="C13" s="27" t="n">
        <v>78</v>
      </c>
      <c r="D13" s="30" t="n">
        <v>1</v>
      </c>
      <c r="E13" s="30" t="n">
        <v>1</v>
      </c>
      <c r="F13" s="30" t="n">
        <v>0</v>
      </c>
      <c r="G13" s="30" t="n">
        <v>0</v>
      </c>
      <c r="H13" s="30" t="n">
        <v>0</v>
      </c>
    </row>
    <row r="14">
      <c r="A14" s="28" t="inlineStr">
        <is>
          <t>NS-02</t>
        </is>
      </c>
      <c r="B14" s="29" t="inlineStr">
        <is>
          <t>Senior Kỹ sư BIM/IFC + WebGL (lõi đồ họa)</t>
        </is>
      </c>
      <c r="C14" s="27" t="n">
        <v>55</v>
      </c>
      <c r="D14" s="30" t="n">
        <v>3</v>
      </c>
      <c r="E14" s="30" t="n">
        <v>3</v>
      </c>
      <c r="F14" s="30" t="n">
        <v>0</v>
      </c>
      <c r="G14" s="30" t="n">
        <v>0</v>
      </c>
      <c r="H14" s="30" t="n">
        <v>0</v>
      </c>
    </row>
    <row r="15">
      <c r="A15" s="28" t="inlineStr">
        <is>
          <t>NS-03</t>
        </is>
      </c>
      <c r="B15" s="29" t="inlineStr">
        <is>
          <t>AI/ML + Data Engineer</t>
        </is>
      </c>
      <c r="C15" s="27" t="n">
        <v>50</v>
      </c>
      <c r="D15" s="30" t="n">
        <v>1</v>
      </c>
      <c r="E15" s="30" t="n">
        <v>1</v>
      </c>
      <c r="F15" s="30" t="n">
        <v>0</v>
      </c>
      <c r="G15" s="30" t="n">
        <v>0</v>
      </c>
      <c r="H15" s="30" t="n">
        <v>0</v>
      </c>
    </row>
    <row r="16">
      <c r="A16" s="28" t="inlineStr">
        <is>
          <t>NS-04</t>
        </is>
      </c>
      <c r="B16" s="29" t="inlineStr">
        <is>
          <t>Full-stack Backend / DevOps</t>
        </is>
      </c>
      <c r="C16" s="27" t="n">
        <v>42</v>
      </c>
      <c r="D16" s="30" t="n">
        <v>2</v>
      </c>
      <c r="E16" s="30" t="n">
        <v>2</v>
      </c>
      <c r="F16" s="30" t="n">
        <v>0</v>
      </c>
      <c r="G16" s="30" t="n">
        <v>0</v>
      </c>
      <c r="H16" s="30" t="n">
        <v>0</v>
      </c>
    </row>
    <row r="17">
      <c r="A17" s="28" t="inlineStr">
        <is>
          <t>NS-05</t>
        </is>
      </c>
      <c r="B17" s="29" t="inlineStr">
        <is>
          <t>Frontend / UX-UI Engineer</t>
        </is>
      </c>
      <c r="C17" s="27" t="n">
        <v>36</v>
      </c>
      <c r="D17" s="30" t="n">
        <v>1</v>
      </c>
      <c r="E17" s="30" t="n">
        <v>1</v>
      </c>
      <c r="F17" s="30" t="n">
        <v>0</v>
      </c>
      <c r="G17" s="30" t="n">
        <v>0</v>
      </c>
      <c r="H17" s="30" t="n">
        <v>0</v>
      </c>
    </row>
    <row r="18">
      <c r="A18" s="28" t="inlineStr">
        <is>
          <t>NS-06</t>
        </is>
      </c>
      <c r="B18" s="29" t="inlineStr">
        <is>
          <t>Security Engineer (QCVN 12)</t>
        </is>
      </c>
      <c r="C18" s="27" t="n">
        <v>58</v>
      </c>
      <c r="D18" s="30" t="n">
        <v>1</v>
      </c>
      <c r="E18" s="30" t="n">
        <v>1</v>
      </c>
      <c r="F18" s="30" t="n">
        <v>0</v>
      </c>
      <c r="G18" s="30" t="n">
        <v>0</v>
      </c>
      <c r="H18" s="30" t="n">
        <v>0</v>
      </c>
    </row>
    <row r="19">
      <c r="A19" s="28" t="inlineStr">
        <is>
          <t>NS-07</t>
        </is>
      </c>
      <c r="B19" s="29" t="inlineStr">
        <is>
          <t>Product Manager / BIM BA (gộp PM + BA + QA)</t>
        </is>
      </c>
      <c r="C19" s="27" t="n">
        <v>55</v>
      </c>
      <c r="D19" s="30" t="n">
        <v>1</v>
      </c>
      <c r="E19" s="30" t="n">
        <v>1</v>
      </c>
      <c r="F19" s="30" t="n">
        <v>0</v>
      </c>
      <c r="G19" s="30" t="n">
        <v>0</v>
      </c>
      <c r="H19" s="30" t="n">
        <v>0</v>
      </c>
    </row>
    <row r="20">
      <c r="B20" s="8" t="inlineStr">
        <is>
          <t>Số tháng tính lương</t>
        </is>
      </c>
      <c r="D20" s="30" t="n">
        <v>4</v>
      </c>
      <c r="E20" s="30" t="n">
        <v>6</v>
      </c>
      <c r="F20" s="30" t="n">
        <v>0</v>
      </c>
      <c r="G20" s="30" t="n">
        <v>0</v>
      </c>
      <c r="H20" s="30" t="n">
        <v>0</v>
      </c>
    </row>
    <row r="21">
      <c r="B21" s="8" t="inlineStr">
        <is>
          <t>Tổng nhân sự (người)</t>
        </is>
      </c>
      <c r="D21" s="31">
        <f>SUM(D13:D19)</f>
        <v/>
      </c>
      <c r="E21" s="31">
        <f>SUM(E13:E19)</f>
        <v/>
      </c>
      <c r="F21" s="31">
        <f>SUM(F13:F19)</f>
        <v/>
      </c>
      <c r="G21" s="31">
        <f>SUM(G13:G19)</f>
        <v/>
      </c>
      <c r="H21" s="31">
        <f>SUM(H13:H19)</f>
        <v/>
      </c>
    </row>
    <row r="22">
      <c r="B22" s="6" t="inlineStr">
        <is>
          <t>Lương gộp/năm</t>
        </is>
      </c>
      <c r="D22" s="32">
        <f>SUMPRODUCT($C$13:$C$19,D13:D19)*D20/1000</f>
        <v/>
      </c>
      <c r="E22" s="32">
        <f>SUMPRODUCT($C$13:$C$19,E13:E19)*E20/1000</f>
        <v/>
      </c>
      <c r="F22" s="32">
        <f>SUMPRODUCT($C$13:$C$19,F13:F19)*F20/1000</f>
        <v/>
      </c>
      <c r="G22" s="32">
        <f>SUMPRODUCT($C$13:$C$19,G13:G19)*G20/1000</f>
        <v/>
      </c>
      <c r="H22" s="32">
        <f>SUMPRODUCT($C$13:$C$19,H13:H19)*H20/1000</f>
        <v/>
      </c>
      <c r="I22" s="2" t="inlineStr">
        <is>
          <t>Σ(SL×lương)×tháng/1000</t>
        </is>
      </c>
    </row>
    <row r="23">
      <c r="B23" s="6" t="inlineStr">
        <is>
          <t>+ BHXH/BHYT/BHTN</t>
        </is>
      </c>
      <c r="D23" s="32">
        <f>D22*$D$5</f>
        <v/>
      </c>
      <c r="E23" s="32">
        <f>E22*$D$5</f>
        <v/>
      </c>
      <c r="F23" s="32">
        <f>F22*$D$5</f>
        <v/>
      </c>
      <c r="G23" s="32">
        <f>G22*$D$5</f>
        <v/>
      </c>
      <c r="H23" s="32">
        <f>H22*$D$5</f>
        <v/>
      </c>
    </row>
    <row r="24">
      <c r="B24" s="6" t="inlineStr">
        <is>
          <t>+ Văn phòng</t>
        </is>
      </c>
      <c r="D24" s="32">
        <f>D21*$D$6*D20/1000</f>
        <v/>
      </c>
      <c r="E24" s="32">
        <f>E21*$D$6*E20/1000</f>
        <v/>
      </c>
      <c r="F24" s="32">
        <f>F21*$D$6*F20/1000</f>
        <v/>
      </c>
      <c r="G24" s="32">
        <f>G21*$D$6*G20/1000</f>
        <v/>
      </c>
      <c r="H24" s="32">
        <f>H21*$D$6*H20/1000</f>
        <v/>
      </c>
    </row>
    <row r="25">
      <c r="B25" s="6" t="inlineStr">
        <is>
          <t>+ Thiết bị &amp; công cụ</t>
        </is>
      </c>
      <c r="D25" s="32">
        <f>D21*$D$7*D20/12/1000</f>
        <v/>
      </c>
      <c r="E25" s="32">
        <f>E21*$D$7*E20/12/1000</f>
        <v/>
      </c>
      <c r="F25" s="32">
        <f>F21*$D$7*F20/12/1000</f>
        <v/>
      </c>
      <c r="G25" s="32">
        <f>G21*$D$7*G20/12/1000</f>
        <v/>
      </c>
      <c r="H25" s="32">
        <f>H21*$D$7*H20/12/1000</f>
        <v/>
      </c>
    </row>
    <row r="26">
      <c r="B26" s="6" t="inlineStr">
        <is>
          <t>+ Phúc lợi &amp; đào tạo</t>
        </is>
      </c>
      <c r="D26" s="32">
        <f>D21*$D$8*D20/1000</f>
        <v/>
      </c>
      <c r="E26" s="32">
        <f>E21*$D$8*E20/1000</f>
        <v/>
      </c>
      <c r="F26" s="32">
        <f>F21*$D$8*F20/1000</f>
        <v/>
      </c>
      <c r="G26" s="32">
        <f>G21*$D$8*G20/1000</f>
        <v/>
      </c>
      <c r="H26" s="32">
        <f>H21*$D$8*H20/1000</f>
        <v/>
      </c>
    </row>
    <row r="27">
      <c r="B27" s="6" t="inlineStr">
        <is>
          <t>+ AI tools</t>
        </is>
      </c>
      <c r="D27" s="32">
        <f>D21*$D$9*D20/1000</f>
        <v/>
      </c>
      <c r="E27" s="32">
        <f>E21*$D$9*E20/1000</f>
        <v/>
      </c>
      <c r="F27" s="32">
        <f>F21*$D$9*F20/1000</f>
        <v/>
      </c>
      <c r="G27" s="32">
        <f>G21*$D$9*G20/1000</f>
        <v/>
      </c>
      <c r="H27" s="32">
        <f>H21*$D$9*H20/1000</f>
        <v/>
      </c>
    </row>
    <row r="28">
      <c r="B28" s="8" t="inlineStr">
        <is>
          <t>➜ NHÂN SỰ CAPEX (all-in) → CAP-01</t>
        </is>
      </c>
      <c r="D28" s="33">
        <f>D22+D23+D24+D25+D26+D27</f>
        <v/>
      </c>
      <c r="E28" s="33">
        <f>E22+E23+E24+E25+E26+E27</f>
        <v/>
      </c>
      <c r="F28" s="33">
        <f>F22+F23+F24+F25+F26+F27</f>
        <v/>
      </c>
      <c r="G28" s="33">
        <f>G22+G23+G24+G25+G26+G27</f>
        <v/>
      </c>
      <c r="H28" s="33">
        <f>H22+H23+H24+H25+H26+H27</f>
        <v/>
      </c>
      <c r="I28" s="2" t="inlineStr">
        <is>
          <t>all-in</t>
        </is>
      </c>
    </row>
    <row r="30">
      <c r="A30" s="9" t="inlineStr">
        <is>
          <t>C. ĐỘI NGŨ VẬN HÀNH (12→20→22 người, từ giữa 2027 → OPX-01)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1" t="inlineStr">
        <is>
          <t>Mã</t>
        </is>
      </c>
      <c r="B31" s="11" t="inlineStr">
        <is>
          <t>Vị trí</t>
        </is>
      </c>
      <c r="C31" s="11" t="inlineStr">
        <is>
          <t>Lương/th (tr)</t>
        </is>
      </c>
      <c r="D31" s="11" t="inlineStr">
        <is>
          <t>2026</t>
        </is>
      </c>
      <c r="E31" s="11" t="inlineStr">
        <is>
          <t>2027</t>
        </is>
      </c>
      <c r="F31" s="11" t="inlineStr">
        <is>
          <t>2028</t>
        </is>
      </c>
      <c r="G31" s="11" t="inlineStr">
        <is>
          <t>2029</t>
        </is>
      </c>
      <c r="H31" s="11" t="inlineStr">
        <is>
          <t>2030</t>
        </is>
      </c>
    </row>
    <row r="32">
      <c r="A32" s="28" t="inlineStr">
        <is>
          <t>NS-O1</t>
        </is>
      </c>
      <c r="B32" s="29" t="inlineStr">
        <is>
          <t>Quản lý vận hành</t>
        </is>
      </c>
      <c r="C32" s="27" t="n">
        <v>50</v>
      </c>
      <c r="D32" s="30" t="n">
        <v>0</v>
      </c>
      <c r="E32" s="30" t="n">
        <v>1</v>
      </c>
      <c r="F32" s="30" t="n">
        <v>1</v>
      </c>
      <c r="G32" s="30" t="n">
        <v>1</v>
      </c>
      <c r="H32" s="30" t="n">
        <v>1</v>
      </c>
    </row>
    <row r="33">
      <c r="A33" s="28" t="inlineStr">
        <is>
          <t>NS-O2</t>
        </is>
      </c>
      <c r="B33" s="29" t="inlineStr">
        <is>
          <t>Bảo trì BIM / IFC Support</t>
        </is>
      </c>
      <c r="C33" s="27" t="n">
        <v>40</v>
      </c>
      <c r="D33" s="30" t="n">
        <v>0</v>
      </c>
      <c r="E33" s="30" t="n">
        <v>1</v>
      </c>
      <c r="F33" s="30" t="n">
        <v>2</v>
      </c>
      <c r="G33" s="30" t="n">
        <v>2</v>
      </c>
      <c r="H33" s="30" t="n">
        <v>2</v>
      </c>
    </row>
    <row r="34">
      <c r="A34" s="28" t="inlineStr">
        <is>
          <t>NS-O3</t>
        </is>
      </c>
      <c r="B34" s="29" t="inlineStr">
        <is>
          <t>Kỹ sư Backend / DevOps</t>
        </is>
      </c>
      <c r="C34" s="27" t="n">
        <v>42</v>
      </c>
      <c r="D34" s="30" t="n">
        <v>0</v>
      </c>
      <c r="E34" s="30" t="n">
        <v>1</v>
      </c>
      <c r="F34" s="30" t="n">
        <v>2</v>
      </c>
      <c r="G34" s="30" t="n">
        <v>2</v>
      </c>
      <c r="H34" s="30" t="n">
        <v>2</v>
      </c>
    </row>
    <row r="35">
      <c r="A35" s="28" t="inlineStr">
        <is>
          <t>NS-O4</t>
        </is>
      </c>
      <c r="B35" s="29" t="inlineStr">
        <is>
          <t>Kỹ sư Frontend</t>
        </is>
      </c>
      <c r="C35" s="27" t="n">
        <v>36</v>
      </c>
      <c r="D35" s="30" t="n">
        <v>0</v>
      </c>
      <c r="E35" s="30" t="n">
        <v>1</v>
      </c>
      <c r="F35" s="30" t="n">
        <v>1</v>
      </c>
      <c r="G35" s="30" t="n">
        <v>1</v>
      </c>
      <c r="H35" s="30" t="n">
        <v>1</v>
      </c>
    </row>
    <row r="36">
      <c r="A36" s="28" t="inlineStr">
        <is>
          <t>NS-O5</t>
        </is>
      </c>
      <c r="B36" s="29" t="inlineStr">
        <is>
          <t>Chuyên viên An ninh (Security Ops)</t>
        </is>
      </c>
      <c r="C36" s="27" t="n">
        <v>45</v>
      </c>
      <c r="D36" s="30" t="n">
        <v>0</v>
      </c>
      <c r="E36" s="30" t="n">
        <v>1</v>
      </c>
      <c r="F36" s="30" t="n">
        <v>1</v>
      </c>
      <c r="G36" s="30" t="n">
        <v>1</v>
      </c>
      <c r="H36" s="30" t="n">
        <v>1</v>
      </c>
    </row>
    <row r="37">
      <c r="A37" s="28" t="inlineStr">
        <is>
          <t>NS-O6</t>
        </is>
      </c>
      <c r="B37" s="29" t="inlineStr">
        <is>
          <t>Kỹ sư QA / Kiểm thử</t>
        </is>
      </c>
      <c r="C37" s="27" t="n">
        <v>30</v>
      </c>
      <c r="D37" s="30" t="n">
        <v>0</v>
      </c>
      <c r="E37" s="30" t="n">
        <v>1</v>
      </c>
      <c r="F37" s="30" t="n">
        <v>1</v>
      </c>
      <c r="G37" s="30" t="n">
        <v>1</v>
      </c>
      <c r="H37" s="30" t="n">
        <v>1</v>
      </c>
    </row>
    <row r="38">
      <c r="A38" s="28" t="inlineStr">
        <is>
          <t>NS-O7</t>
        </is>
      </c>
      <c r="B38" s="29" t="inlineStr">
        <is>
          <t>Nhân viên Sales (B2B/B2G)</t>
        </is>
      </c>
      <c r="C38" s="27" t="n">
        <v>25</v>
      </c>
      <c r="D38" s="30" t="n">
        <v>0</v>
      </c>
      <c r="E38" s="30" t="n">
        <v>1</v>
      </c>
      <c r="F38" s="30" t="n">
        <v>3</v>
      </c>
      <c r="G38" s="30" t="n">
        <v>4</v>
      </c>
      <c r="H38" s="30" t="n">
        <v>4</v>
      </c>
    </row>
    <row r="39">
      <c r="A39" s="28" t="inlineStr">
        <is>
          <t>NS-O8</t>
        </is>
      </c>
      <c r="B39" s="29" t="inlineStr">
        <is>
          <t>Chăm sóc KH (Customer Success)</t>
        </is>
      </c>
      <c r="C39" s="27" t="n">
        <v>25</v>
      </c>
      <c r="D39" s="30" t="n">
        <v>0</v>
      </c>
      <c r="E39" s="30" t="n">
        <v>1</v>
      </c>
      <c r="F39" s="30" t="n">
        <v>3</v>
      </c>
      <c r="G39" s="30" t="n">
        <v>4</v>
      </c>
      <c r="H39" s="30" t="n">
        <v>4</v>
      </c>
    </row>
    <row r="40">
      <c r="A40" s="28" t="inlineStr">
        <is>
          <t>NS-O9</t>
        </is>
      </c>
      <c r="B40" s="29" t="inlineStr">
        <is>
          <t>Hỗ trợ kỹ thuật (L1/L2 Support)</t>
        </is>
      </c>
      <c r="C40" s="27" t="n">
        <v>20</v>
      </c>
      <c r="D40" s="30" t="n">
        <v>0</v>
      </c>
      <c r="E40" s="30" t="n">
        <v>2</v>
      </c>
      <c r="F40" s="30" t="n">
        <v>4</v>
      </c>
      <c r="G40" s="30" t="n">
        <v>4</v>
      </c>
      <c r="H40" s="30" t="n">
        <v>4</v>
      </c>
    </row>
    <row r="41">
      <c r="A41" s="28" t="inlineStr">
        <is>
          <t>NS-O10</t>
        </is>
      </c>
      <c r="B41" s="29" t="inlineStr">
        <is>
          <t>Nhân sự G&amp;A (HR, Kế toán, Admin)</t>
        </is>
      </c>
      <c r="C41" s="27" t="n">
        <v>22</v>
      </c>
      <c r="D41" s="30" t="n">
        <v>0</v>
      </c>
      <c r="E41" s="30" t="n">
        <v>2</v>
      </c>
      <c r="F41" s="30" t="n">
        <v>2</v>
      </c>
      <c r="G41" s="30" t="n">
        <v>2</v>
      </c>
      <c r="H41" s="30" t="n">
        <v>2</v>
      </c>
    </row>
    <row r="42">
      <c r="B42" s="8" t="inlineStr">
        <is>
          <t>Số tháng tính lương</t>
        </is>
      </c>
      <c r="D42" s="30" t="n">
        <v>0</v>
      </c>
      <c r="E42" s="30" t="n">
        <v>6</v>
      </c>
      <c r="F42" s="30" t="n">
        <v>12</v>
      </c>
      <c r="G42" s="30" t="n">
        <v>12</v>
      </c>
      <c r="H42" s="30" t="n">
        <v>12</v>
      </c>
    </row>
    <row r="43">
      <c r="B43" s="6" t="inlineStr">
        <is>
          <t>Hệ số tải (← Gia_Dinh FIN-07)</t>
        </is>
      </c>
      <c r="D43" s="34">
        <f>Gia_Dinh!D11</f>
        <v/>
      </c>
      <c r="E43" s="34">
        <f>Gia_Dinh!E11</f>
        <v/>
      </c>
      <c r="F43" s="34">
        <f>Gia_Dinh!F11</f>
        <v/>
      </c>
      <c r="G43" s="34">
        <f>Gia_Dinh!G11</f>
        <v/>
      </c>
      <c r="H43" s="34">
        <f>Gia_Dinh!H11</f>
        <v/>
      </c>
    </row>
    <row r="44">
      <c r="B44" s="8" t="inlineStr">
        <is>
          <t>Tổng nhân sự (người)</t>
        </is>
      </c>
      <c r="D44" s="35">
        <f>SUM(D32:D41)</f>
        <v/>
      </c>
      <c r="E44" s="35">
        <f>SUM(E32:E41)</f>
        <v/>
      </c>
      <c r="F44" s="35">
        <f>SUM(F32:F41)</f>
        <v/>
      </c>
      <c r="G44" s="35">
        <f>SUM(G32:G41)</f>
        <v/>
      </c>
      <c r="H44" s="35">
        <f>SUM(H32:H41)</f>
        <v/>
      </c>
    </row>
    <row r="45">
      <c r="B45" s="6" t="inlineStr">
        <is>
          <t>Quỹ lương gộp/tháng (tr)</t>
        </is>
      </c>
      <c r="D45" s="36">
        <f>SUMPRODUCT($C$32:$C$41,D32:D41)</f>
        <v/>
      </c>
      <c r="E45" s="36">
        <f>SUMPRODUCT($C$32:$C$41,E32:E41)</f>
        <v/>
      </c>
      <c r="F45" s="36">
        <f>SUMPRODUCT($C$32:$C$41,F32:F41)</f>
        <v/>
      </c>
      <c r="G45" s="36">
        <f>SUMPRODUCT($C$32:$C$41,G32:G41)</f>
        <v/>
      </c>
      <c r="H45" s="36">
        <f>SUMPRODUCT($C$32:$C$41,H32:H41)</f>
        <v/>
      </c>
    </row>
    <row r="46">
      <c r="B46" s="8" t="inlineStr">
        <is>
          <t>➜ NHÂN SỰ VẬN HÀNH (OPEX) → OPX-01</t>
        </is>
      </c>
      <c r="D46" s="33">
        <f>D45*D42*D43/1000</f>
        <v/>
      </c>
      <c r="E46" s="33">
        <f>E45*E42*E43/1000</f>
        <v/>
      </c>
      <c r="F46" s="33">
        <f>F45*F42*F43/1000</f>
        <v/>
      </c>
      <c r="G46" s="33">
        <f>G45*G42*G43/1000</f>
        <v/>
      </c>
      <c r="H46" s="33">
        <f>H45*H42*H43/1000</f>
        <v/>
      </c>
      <c r="I46" s="2" t="inlineStr">
        <is>
          <t>quỹ lương × tháng × hệ số tải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TRANG THIẾT BỊ VĂN PHÒNG (CAP-02)</t>
        </is>
      </c>
    </row>
    <row r="2">
      <c r="A2" s="2" t="inlineStr">
        <is>
          <t>Cloud-First: KHÔNG mua server (thuê cloud → OPEX). Chỉ thiết bị làm việc.</t>
        </is>
      </c>
    </row>
    <row r="4">
      <c r="A4" s="9" t="inlineStr">
        <is>
          <t>THIẾT BỊ ĐỘI NGŨ (mua 1 lần)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1" t="inlineStr">
        <is>
          <t>Mã</t>
        </is>
      </c>
      <c r="B5" s="11" t="inlineStr">
        <is>
          <t>Hạng mục</t>
        </is>
      </c>
      <c r="C5" s="11" t="inlineStr">
        <is>
          <t>Đơn giá (tr)</t>
        </is>
      </c>
      <c r="D5" s="11" t="inlineStr">
        <is>
          <t>SL 2026</t>
        </is>
      </c>
      <c r="E5" s="11" t="inlineStr">
        <is>
          <t>SL 2027</t>
        </is>
      </c>
      <c r="F5" s="11" t="inlineStr">
        <is>
          <t>SL 2028</t>
        </is>
      </c>
      <c r="G5" s="11" t="inlineStr">
        <is>
          <t>SL 2029</t>
        </is>
      </c>
      <c r="H5" s="11" t="inlineStr">
        <is>
          <t>SL 2030</t>
        </is>
      </c>
      <c r="I5" s="11" t="inlineStr">
        <is>
          <t>Ghi chú</t>
        </is>
      </c>
    </row>
    <row r="6">
      <c r="A6" s="28" t="inlineStr">
        <is>
          <t>TB-01</t>
        </is>
      </c>
      <c r="B6" s="29" t="inlineStr">
        <is>
          <t>Workstation chuyên dụng BIM/WebGL</t>
        </is>
      </c>
      <c r="C6" s="27" t="n">
        <v>50</v>
      </c>
      <c r="D6" s="30" t="n">
        <v>3</v>
      </c>
      <c r="E6" s="30" t="n">
        <v>0</v>
      </c>
      <c r="F6" s="30" t="n">
        <v>0</v>
      </c>
      <c r="G6" s="30" t="n">
        <v>0</v>
      </c>
      <c r="H6" s="30" t="n">
        <v>0</v>
      </c>
      <c r="I6" s="2" t="inlineStr">
        <is>
          <t>Đội đồ họa 3D</t>
        </is>
      </c>
    </row>
    <row r="7">
      <c r="A7" s="28" t="inlineStr">
        <is>
          <t>TB-02</t>
        </is>
      </c>
      <c r="B7" s="29" t="inlineStr">
        <is>
          <t>Laptop cấu hình cao cho Dev</t>
        </is>
      </c>
      <c r="C7" s="27" t="n">
        <v>35</v>
      </c>
      <c r="D7" s="30" t="n">
        <v>7</v>
      </c>
      <c r="E7" s="30" t="n">
        <v>1</v>
      </c>
      <c r="F7" s="30" t="n">
        <v>0</v>
      </c>
      <c r="G7" s="30" t="n">
        <v>0</v>
      </c>
      <c r="H7" s="30" t="n">
        <v>0</v>
      </c>
      <c r="I7" s="2" t="inlineStr">
        <is>
          <t>Đội phát triển</t>
        </is>
      </c>
    </row>
    <row r="8">
      <c r="A8" s="28" t="inlineStr">
        <is>
          <t>TB-03</t>
        </is>
      </c>
      <c r="B8" s="29" t="inlineStr">
        <is>
          <t>Thiết bị mạng &amp; tường lửa văn phòng</t>
        </is>
      </c>
      <c r="C8" s="27" t="n">
        <v>200</v>
      </c>
      <c r="D8" s="30" t="n">
        <v>1</v>
      </c>
      <c r="E8" s="30" t="n">
        <v>0</v>
      </c>
      <c r="F8" s="30" t="n">
        <v>0</v>
      </c>
      <c r="G8" s="30" t="n">
        <v>0</v>
      </c>
      <c r="H8" s="30" t="n">
        <v>0</v>
      </c>
      <c r="I8" s="2" t="inlineStr">
        <is>
          <t>An ninh local</t>
        </is>
      </c>
    </row>
    <row r="9">
      <c r="A9" s="28" t="inlineStr">
        <is>
          <t>TB-04</t>
        </is>
      </c>
      <c r="B9" s="29" t="inlineStr">
        <is>
          <t>Setup hạ tầng văn phòng &amp; bổ sung</t>
        </is>
      </c>
      <c r="C9" s="27" t="n">
        <v>105</v>
      </c>
      <c r="D9" s="30" t="n">
        <v>1</v>
      </c>
      <c r="E9" s="30" t="n">
        <v>3</v>
      </c>
      <c r="F9" s="30" t="n">
        <v>0</v>
      </c>
      <c r="G9" s="30" t="n">
        <v>0</v>
      </c>
      <c r="H9" s="30" t="n">
        <v>0</v>
      </c>
      <c r="I9" s="2" t="inlineStr">
        <is>
          <t>Bàn ghế, màn hình, mở rộng 2027</t>
        </is>
      </c>
    </row>
    <row r="10">
      <c r="B10" s="37" t="inlineStr">
        <is>
          <t>TỔNG THIẾT BỊ → CAP-02</t>
        </is>
      </c>
      <c r="D10" s="38">
        <f>SUMPRODUCT($C$6:$C$9,D6:D9)/1000</f>
        <v/>
      </c>
      <c r="E10" s="38">
        <f>SUMPRODUCT($C$6:$C$9,E6:E9)/1000</f>
        <v/>
      </c>
      <c r="F10" s="38">
        <f>SUMPRODUCT($C$6:$C$9,F6:F9)/1000</f>
        <v/>
      </c>
      <c r="G10" s="38">
        <f>SUMPRODUCT($C$6:$C$9,G6:G9)/1000</f>
        <v/>
      </c>
      <c r="H10" s="38">
        <f>SUMPRODUCT($C$6:$C$9,H6:H9)/1000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BẢN QUYỀN, MARKETING &amp; TƯ VẤN (BOTTOM-UP)</t>
        </is>
      </c>
    </row>
    <row r="2">
      <c r="A2" s="2" t="inlineStr">
        <is>
          <t>Tổng từng nhóm → CAP-03/04/05. (đơn giá: triệu VNĐ)</t>
        </is>
      </c>
    </row>
    <row r="4">
      <c r="A4" s="9" t="inlineStr">
        <is>
          <t>A. BẢN QUYỀN &amp; API TÍCH HỢP (→ CAP-03)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1" t="inlineStr">
        <is>
          <t>Mã</t>
        </is>
      </c>
      <c r="B5" s="11" t="inlineStr">
        <is>
          <t>Hạng mục</t>
        </is>
      </c>
      <c r="C5" s="11" t="inlineStr">
        <is>
          <t>Đơn giá (tr)</t>
        </is>
      </c>
      <c r="D5" s="11" t="inlineStr">
        <is>
          <t>SL 2026</t>
        </is>
      </c>
      <c r="E5" s="11" t="inlineStr">
        <is>
          <t>SL 2027</t>
        </is>
      </c>
      <c r="F5" s="11" t="inlineStr">
        <is>
          <t>SL 2028</t>
        </is>
      </c>
      <c r="G5" s="11" t="inlineStr">
        <is>
          <t>SL 2029</t>
        </is>
      </c>
      <c r="H5" s="11" t="inlineStr">
        <is>
          <t>SL 2030</t>
        </is>
      </c>
      <c r="I5" s="11" t="inlineStr">
        <is>
          <t>Ghi chú</t>
        </is>
      </c>
    </row>
    <row r="6">
      <c r="A6" s="28" t="inlineStr">
        <is>
          <t>BQ-01</t>
        </is>
      </c>
      <c r="B6" s="29" t="inlineStr">
        <is>
          <t>Bản quyền SDK BIM/IFC thương mại (/năm)</t>
        </is>
      </c>
      <c r="C6" s="27" t="n">
        <v>2000</v>
      </c>
      <c r="D6" s="27" t="n">
        <v>1</v>
      </c>
      <c r="E6" s="27" t="n">
        <v>1</v>
      </c>
      <c r="F6" s="27" t="n">
        <v>0</v>
      </c>
      <c r="G6" s="27" t="n">
        <v>0</v>
      </c>
      <c r="H6" s="27" t="n">
        <v>0</v>
      </c>
      <c r="I6" s="2" t="inlineStr">
        <is>
          <t>ODA SDK, xử lý IFC</t>
        </is>
      </c>
    </row>
    <row r="7">
      <c r="A7" s="28" t="inlineStr">
        <is>
          <t>BQ-02</t>
        </is>
      </c>
      <c r="B7" s="29" t="inlineStr">
        <is>
          <t>Engine WebGL tối ưu hiển thị 3D (/năm)</t>
        </is>
      </c>
      <c r="C7" s="27" t="n">
        <v>1000</v>
      </c>
      <c r="D7" s="27" t="n">
        <v>1</v>
      </c>
      <c r="E7" s="27" t="n">
        <v>1</v>
      </c>
      <c r="F7" s="27" t="n">
        <v>0</v>
      </c>
      <c r="G7" s="27" t="n">
        <v>0</v>
      </c>
      <c r="H7" s="27" t="n">
        <v>0</v>
      </c>
      <c r="I7" s="2" t="inlineStr">
        <is>
          <t>Render 3D nặng</t>
        </is>
      </c>
    </row>
    <row r="8">
      <c r="B8" s="8" t="inlineStr">
        <is>
          <t>TỔNG NHÓM</t>
        </is>
      </c>
      <c r="D8" s="39">
        <f>SUMPRODUCT($C$6:$C$7,D6:D7)/1000</f>
        <v/>
      </c>
      <c r="E8" s="39">
        <f>SUMPRODUCT($C$6:$C$7,E6:E7)/1000</f>
        <v/>
      </c>
      <c r="F8" s="39">
        <f>SUMPRODUCT($C$6:$C$7,F6:F7)/1000</f>
        <v/>
      </c>
      <c r="G8" s="39">
        <f>SUMPRODUCT($C$6:$C$7,G6:G7)/1000</f>
        <v/>
      </c>
      <c r="H8" s="39">
        <f>SUMPRODUCT($C$6:$C$7,H6:H7)/1000</f>
        <v/>
      </c>
    </row>
    <row r="10">
      <c r="A10" s="9" t="inlineStr">
        <is>
          <t>B. MARKETING &amp; SALES RA MẮT (→ CAP-04)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1" t="inlineStr">
        <is>
          <t>Mã</t>
        </is>
      </c>
      <c r="B11" s="11" t="inlineStr">
        <is>
          <t>Hạng mục</t>
        </is>
      </c>
      <c r="C11" s="11" t="inlineStr">
        <is>
          <t>Đơn giá (tr)</t>
        </is>
      </c>
      <c r="D11" s="11" t="inlineStr">
        <is>
          <t>SL 2026</t>
        </is>
      </c>
      <c r="E11" s="11" t="inlineStr">
        <is>
          <t>SL 2027</t>
        </is>
      </c>
      <c r="F11" s="11" t="inlineStr">
        <is>
          <t>SL 2028</t>
        </is>
      </c>
      <c r="G11" s="11" t="inlineStr">
        <is>
          <t>SL 2029</t>
        </is>
      </c>
      <c r="H11" s="11" t="inlineStr">
        <is>
          <t>SL 2030</t>
        </is>
      </c>
      <c r="I11" s="11" t="inlineStr">
        <is>
          <t>Ghi chú</t>
        </is>
      </c>
    </row>
    <row r="12">
      <c r="A12" s="28" t="inlineStr">
        <is>
          <t>MK-01</t>
        </is>
      </c>
      <c r="B12" s="29" t="inlineStr">
        <is>
          <t>Nghiên cứu thị trường xây dựng 2026</t>
        </is>
      </c>
      <c r="C12" s="27" t="n">
        <v>900</v>
      </c>
      <c r="D12" s="27" t="n">
        <v>1</v>
      </c>
      <c r="E12" s="27" t="n">
        <v>0</v>
      </c>
      <c r="F12" s="27" t="n">
        <v>0</v>
      </c>
      <c r="G12" s="27" t="n">
        <v>0</v>
      </c>
      <c r="H12" s="27" t="n">
        <v>0</v>
      </c>
      <c r="I12" s="2" t="inlineStr">
        <is>
          <t>Khảo sát thị trường</t>
        </is>
      </c>
    </row>
    <row r="13">
      <c r="A13" s="28" t="inlineStr">
        <is>
          <t>MK-02</t>
        </is>
      </c>
      <c r="B13" s="29" t="inlineStr">
        <is>
          <t>Hội thảo PMU/Sở XD (/sự kiện)</t>
        </is>
      </c>
      <c r="C13" s="27" t="n">
        <v>500</v>
      </c>
      <c r="D13" s="27" t="n">
        <v>0</v>
      </c>
      <c r="E13" s="27" t="n">
        <v>6</v>
      </c>
      <c r="F13" s="27" t="n">
        <v>0</v>
      </c>
      <c r="G13" s="27" t="n">
        <v>0</v>
      </c>
      <c r="H13" s="27" t="n">
        <v>0</v>
      </c>
      <c r="I13" s="2" t="inlineStr">
        <is>
          <t>Giới thiệu giải pháp 2027</t>
        </is>
      </c>
    </row>
    <row r="14">
      <c r="A14" s="28" t="inlineStr">
        <is>
          <t>MK-03</t>
        </is>
      </c>
      <c r="B14" s="29" t="inlineStr">
        <is>
          <t>Chiến dịch marketing B2B trực tiếp</t>
        </is>
      </c>
      <c r="C14" s="27" t="n">
        <v>1500</v>
      </c>
      <c r="D14" s="27" t="n">
        <v>0</v>
      </c>
      <c r="E14" s="27" t="n">
        <v>1</v>
      </c>
      <c r="F14" s="27" t="n">
        <v>0</v>
      </c>
      <c r="G14" s="27" t="n">
        <v>0</v>
      </c>
      <c r="H14" s="27" t="n">
        <v>0</v>
      </c>
      <c r="I14" s="2" t="inlineStr">
        <is>
          <t>Ra mắt 2027</t>
        </is>
      </c>
    </row>
    <row r="15">
      <c r="B15" s="8" t="inlineStr">
        <is>
          <t>TỔNG NHÓM</t>
        </is>
      </c>
      <c r="D15" s="39">
        <f>SUMPRODUCT($C$12:$C$14,D12:D14)/1000</f>
        <v/>
      </c>
      <c r="E15" s="39">
        <f>SUMPRODUCT($C$12:$C$14,E12:E14)/1000</f>
        <v/>
      </c>
      <c r="F15" s="39">
        <f>SUMPRODUCT($C$12:$C$14,F12:F14)/1000</f>
        <v/>
      </c>
      <c r="G15" s="39">
        <f>SUMPRODUCT($C$12:$C$14,G12:G14)/1000</f>
        <v/>
      </c>
      <c r="H15" s="39">
        <f>SUMPRODUCT($C$12:$C$14,H12:H14)/1000</f>
        <v/>
      </c>
    </row>
    <row r="17">
      <c r="A17" s="9" t="inlineStr">
        <is>
          <t>C. TƯ VẤN, PM &amp; PHÁP LÝ (→ CAP-05)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1" t="inlineStr">
        <is>
          <t>Mã</t>
        </is>
      </c>
      <c r="B18" s="11" t="inlineStr">
        <is>
          <t>Hạng mục</t>
        </is>
      </c>
      <c r="C18" s="11" t="inlineStr">
        <is>
          <t>Đơn giá (tr)</t>
        </is>
      </c>
      <c r="D18" s="11" t="inlineStr">
        <is>
          <t>SL 2026</t>
        </is>
      </c>
      <c r="E18" s="11" t="inlineStr">
        <is>
          <t>SL 2027</t>
        </is>
      </c>
      <c r="F18" s="11" t="inlineStr">
        <is>
          <t>SL 2028</t>
        </is>
      </c>
      <c r="G18" s="11" t="inlineStr">
        <is>
          <t>SL 2029</t>
        </is>
      </c>
      <c r="H18" s="11" t="inlineStr">
        <is>
          <t>SL 2030</t>
        </is>
      </c>
      <c r="I18" s="11" t="inlineStr">
        <is>
          <t>Ghi chú</t>
        </is>
      </c>
    </row>
    <row r="19">
      <c r="A19" s="28" t="inlineStr">
        <is>
          <t>PM-01</t>
        </is>
      </c>
      <c r="B19" s="29" t="inlineStr">
        <is>
          <t>Tư vấn kỹ thuật &amp; kiểm định QCVN 12</t>
        </is>
      </c>
      <c r="C19" s="27" t="n">
        <v>1000</v>
      </c>
      <c r="D19" s="27" t="n">
        <v>1</v>
      </c>
      <c r="E19" s="27" t="n">
        <v>3</v>
      </c>
      <c r="F19" s="27" t="n">
        <v>0</v>
      </c>
      <c r="G19" s="27" t="n">
        <v>0</v>
      </c>
      <c r="H19" s="27" t="n">
        <v>0</v>
      </c>
      <c r="I19" s="2" t="inlineStr">
        <is>
          <t>Cao điểm kiểm định an ninh 2027</t>
        </is>
      </c>
    </row>
    <row r="20">
      <c r="A20" s="28" t="inlineStr">
        <is>
          <t>PM-02</t>
        </is>
      </c>
      <c r="B20" s="29" t="inlineStr">
        <is>
          <t>Đăng ký IP, pháp lý sản phẩm</t>
        </is>
      </c>
      <c r="C20" s="27" t="n">
        <v>800</v>
      </c>
      <c r="D20" s="27" t="n">
        <v>1</v>
      </c>
      <c r="E20" s="27" t="n">
        <v>0</v>
      </c>
      <c r="F20" s="27" t="n">
        <v>0</v>
      </c>
      <c r="G20" s="27" t="n">
        <v>0</v>
      </c>
      <c r="H20" s="27" t="n">
        <v>0</v>
      </c>
      <c r="I20" s="2" t="inlineStr">
        <is>
          <t>Sở hữu trí tuệ (2026)</t>
        </is>
      </c>
    </row>
    <row r="21">
      <c r="B21" s="8" t="inlineStr">
        <is>
          <t>TỔNG NHÓM</t>
        </is>
      </c>
      <c r="D21" s="39">
        <f>SUMPRODUCT($C$19:$C$20,D19:D20)/1000</f>
        <v/>
      </c>
      <c r="E21" s="39">
        <f>SUMPRODUCT($C$19:$C$20,E19:E20)/1000</f>
        <v/>
      </c>
      <c r="F21" s="39">
        <f>SUMPRODUCT($C$19:$C$20,F19:F20)/1000</f>
        <v/>
      </c>
      <c r="G21" s="39">
        <f>SUMPRODUCT($C$19:$C$20,G19:G20)/1000</f>
        <v/>
      </c>
      <c r="H21" s="39">
        <f>SUMPRODUCT($C$19:$C$20,H19:H20)/1000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CHI PHÍ THUÊ CLOUD TRONG NƯỚC (OPX-02)</t>
        </is>
      </c>
    </row>
    <row r="2">
      <c r="A2" s="2" t="inlineStr">
        <is>
          <t>Viettel/VNPT/CMC Cloud. Tăng theo số user &amp; dung lượng BIM.</t>
        </is>
      </c>
    </row>
    <row r="3">
      <c r="A3" s="11" t="inlineStr">
        <is>
          <t>Mã</t>
        </is>
      </c>
      <c r="B3" s="11" t="inlineStr">
        <is>
          <t>Khoản mục</t>
        </is>
      </c>
      <c r="C3" s="11" t="inlineStr">
        <is>
          <t>Đơn vị</t>
        </is>
      </c>
      <c r="D3" s="11" t="inlineStr">
        <is>
          <t>2026</t>
        </is>
      </c>
      <c r="E3" s="11" t="inlineStr">
        <is>
          <t>2027</t>
        </is>
      </c>
      <c r="F3" s="11" t="inlineStr">
        <is>
          <t>2028</t>
        </is>
      </c>
      <c r="G3" s="11" t="inlineStr">
        <is>
          <t>2029</t>
        </is>
      </c>
      <c r="H3" s="11" t="inlineStr">
        <is>
          <t>2030</t>
        </is>
      </c>
      <c r="I3" s="11" t="inlineStr">
        <is>
          <t>Khảo sát / Giải trình</t>
        </is>
      </c>
    </row>
    <row r="4">
      <c r="A4" s="9" t="inlineStr">
        <is>
          <t>HẠNG MỤC THUÊ CLOUD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5" t="inlineStr">
        <is>
          <t>CL-01</t>
        </is>
      </c>
      <c r="B5" s="6" t="inlineStr">
        <is>
          <t>Server lưu trữ BIM &amp; Data</t>
        </is>
      </c>
      <c r="C5" s="16" t="inlineStr">
        <is>
          <t>tỷ</t>
        </is>
      </c>
      <c r="D5" s="40" t="n">
        <v>0.05</v>
      </c>
      <c r="E5" s="40" t="n">
        <v>0.4</v>
      </c>
      <c r="F5" s="40" t="n">
        <v>1</v>
      </c>
      <c r="G5" s="40" t="n">
        <v>1.8</v>
      </c>
      <c r="H5" s="40" t="n">
        <v>2.5</v>
      </c>
      <c r="I5" s="18" t="inlineStr">
        <is>
          <t>Object Storage ~900đ/GB/th, tích lũy tăng</t>
        </is>
      </c>
    </row>
    <row r="6">
      <c r="A6" s="15" t="inlineStr">
        <is>
          <t>CL-02</t>
        </is>
      </c>
      <c r="B6" s="6" t="inlineStr">
        <is>
          <t>Server xử lý WebGL &amp; Node</t>
        </is>
      </c>
      <c r="C6" s="16" t="inlineStr">
        <is>
          <t>tỷ</t>
        </is>
      </c>
      <c r="D6" s="40" t="n">
        <v>0.05</v>
      </c>
      <c r="E6" s="40" t="n">
        <v>0.4</v>
      </c>
      <c r="F6" s="40" t="n">
        <v>0.8</v>
      </c>
      <c r="G6" s="40" t="n">
        <v>1.2</v>
      </c>
      <c r="H6" s="40" t="n">
        <v>1.6</v>
      </c>
      <c r="I6" s="18" t="inlineStr">
        <is>
          <t>VM 16vCPU/64GB render server-side</t>
        </is>
      </c>
    </row>
    <row r="7">
      <c r="A7" s="15" t="inlineStr">
        <is>
          <t>CL-03</t>
        </is>
      </c>
      <c r="B7" s="6" t="inlineStr">
        <is>
          <t>Dịch vụ DevOps &amp; Monitor</t>
        </is>
      </c>
      <c r="C7" s="16" t="inlineStr">
        <is>
          <t>tỷ</t>
        </is>
      </c>
      <c r="D7" s="40" t="n">
        <v>0.05</v>
      </c>
      <c r="E7" s="40" t="n">
        <v>0.2</v>
      </c>
      <c r="F7" s="40" t="n">
        <v>0.3</v>
      </c>
      <c r="G7" s="40" t="n">
        <v>0.4</v>
      </c>
      <c r="H7" s="40" t="n">
        <v>0.6</v>
      </c>
      <c r="I7" s="18" t="inlineStr">
        <is>
          <t>Load Balancer, Firewall, CI/CD</t>
        </is>
      </c>
    </row>
    <row r="8">
      <c r="A8" s="15" t="inlineStr">
        <is>
          <t>CL-04</t>
        </is>
      </c>
      <c r="B8" s="6" t="inlineStr">
        <is>
          <t>Bản quyền OS, DB &amp; SSL</t>
        </is>
      </c>
      <c r="C8" s="16" t="inlineStr">
        <is>
          <t>tỷ</t>
        </is>
      </c>
      <c r="D8" s="40" t="n">
        <v>0.05</v>
      </c>
      <c r="E8" s="40" t="n">
        <v>0.2</v>
      </c>
      <c r="F8" s="40" t="n">
        <v>0.4</v>
      </c>
      <c r="G8" s="40" t="n">
        <v>0.6</v>
      </c>
      <c r="H8" s="40" t="n">
        <v>0.8</v>
      </c>
      <c r="I8" s="18" t="inlineStr">
        <is>
          <t>PostgreSQL Enterprise, SSL</t>
        </is>
      </c>
    </row>
    <row r="9">
      <c r="A9" s="15" t="inlineStr"/>
      <c r="B9" s="8" t="inlineStr">
        <is>
          <t>TỔNG OPEX THUÊ CLOUD → OPX-02</t>
        </is>
      </c>
      <c r="C9" s="16" t="inlineStr">
        <is>
          <t>tỷ</t>
        </is>
      </c>
      <c r="D9" s="41">
        <f>SUM(D5:D8)</f>
        <v/>
      </c>
      <c r="E9" s="41">
        <f>SUM(E5:E8)</f>
        <v/>
      </c>
      <c r="F9" s="41">
        <f>SUM(F5:F8)</f>
        <v/>
      </c>
      <c r="G9" s="41">
        <f>SUM(G5:G8)</f>
        <v/>
      </c>
      <c r="H9" s="41">
        <f>SUM(H5:H8)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DỰ PHÓNG DOANH THU 5 NĂM</t>
        </is>
      </c>
    </row>
    <row r="2">
      <c r="A2" s="2" t="inlineStr">
        <is>
          <t>SaaS + On-Premise (PMU, Sở XD, Doanh nghiệp). Đơn vị: tỷ VNĐ.</t>
        </is>
      </c>
    </row>
    <row r="3">
      <c r="A3" s="11" t="inlineStr">
        <is>
          <t>Mã</t>
        </is>
      </c>
      <c r="B3" s="11" t="inlineStr">
        <is>
          <t>Khoản mục</t>
        </is>
      </c>
      <c r="C3" s="11" t="inlineStr">
        <is>
          <t>Đơn vị</t>
        </is>
      </c>
      <c r="D3" s="11" t="inlineStr">
        <is>
          <t>2026</t>
        </is>
      </c>
      <c r="E3" s="11" t="inlineStr">
        <is>
          <t>2027</t>
        </is>
      </c>
      <c r="F3" s="11" t="inlineStr">
        <is>
          <t>2028</t>
        </is>
      </c>
      <c r="G3" s="11" t="inlineStr">
        <is>
          <t>2029</t>
        </is>
      </c>
      <c r="H3" s="11" t="inlineStr">
        <is>
          <t>2030</t>
        </is>
      </c>
      <c r="I3" s="11" t="inlineStr">
        <is>
          <t>Diễn giải</t>
        </is>
      </c>
    </row>
    <row r="4">
      <c r="A4" s="9" t="inlineStr">
        <is>
          <t>KÊNH 1 — SaaS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5" t="inlineStr"/>
      <c r="B5" s="6" t="inlineStr">
        <is>
          <t>User active cuối kỳ</t>
        </is>
      </c>
      <c r="C5" s="16" t="inlineStr">
        <is>
          <t>user</t>
        </is>
      </c>
      <c r="D5" s="42">
        <f>Gia_Dinh!D14</f>
        <v/>
      </c>
      <c r="E5" s="42">
        <f>Gia_Dinh!E14</f>
        <v/>
      </c>
      <c r="F5" s="42">
        <f>Gia_Dinh!F14</f>
        <v/>
      </c>
      <c r="G5" s="42">
        <f>Gia_Dinh!G14</f>
        <v/>
      </c>
      <c r="H5" s="42">
        <f>Gia_Dinh!H14</f>
        <v/>
      </c>
    </row>
    <row r="6">
      <c r="A6" s="15" t="inlineStr"/>
      <c r="B6" s="6" t="inlineStr">
        <is>
          <t>ARPU (tr/user/tháng)</t>
        </is>
      </c>
      <c r="C6" s="16" t="inlineStr">
        <is>
          <t>tr</t>
        </is>
      </c>
      <c r="D6" s="43">
        <f>Gia_Dinh!D15</f>
        <v/>
      </c>
      <c r="E6" s="43">
        <f>Gia_Dinh!E15</f>
        <v/>
      </c>
      <c r="F6" s="43">
        <f>Gia_Dinh!F15</f>
        <v/>
      </c>
      <c r="G6" s="43">
        <f>Gia_Dinh!G15</f>
        <v/>
      </c>
      <c r="H6" s="43">
        <f>Gia_Dinh!H15</f>
        <v/>
      </c>
    </row>
    <row r="7">
      <c r="A7" s="15" t="inlineStr"/>
      <c r="B7" s="6" t="inlineStr">
        <is>
          <t>Số tháng thương mại</t>
        </is>
      </c>
      <c r="C7" s="16" t="inlineStr">
        <is>
          <t>tháng</t>
        </is>
      </c>
      <c r="D7" s="42">
        <f>Gia_Dinh!D16</f>
        <v/>
      </c>
      <c r="E7" s="42">
        <f>Gia_Dinh!E16</f>
        <v/>
      </c>
      <c r="F7" s="42">
        <f>Gia_Dinh!F16</f>
        <v/>
      </c>
      <c r="G7" s="42">
        <f>Gia_Dinh!G16</f>
        <v/>
      </c>
      <c r="H7" s="42">
        <f>Gia_Dinh!H16</f>
        <v/>
      </c>
    </row>
    <row r="8">
      <c r="A8" s="15" t="inlineStr"/>
      <c r="B8" s="8" t="inlineStr">
        <is>
          <t>Doanh thu SaaS</t>
        </is>
      </c>
      <c r="C8" s="16" t="inlineStr">
        <is>
          <t>tỷ</t>
        </is>
      </c>
      <c r="D8" s="41">
        <f>D5*D6*D7/1000</f>
        <v/>
      </c>
      <c r="E8" s="41">
        <f>E5*E6*E7/1000</f>
        <v/>
      </c>
      <c r="F8" s="41">
        <f>F5*F6*F7/1000</f>
        <v/>
      </c>
      <c r="G8" s="41">
        <f>G5*G6*G7/1000</f>
        <v/>
      </c>
      <c r="H8" s="41">
        <f>H5*H6*H7/1000</f>
        <v/>
      </c>
      <c r="I8" s="18" t="inlineStr">
        <is>
          <t>user×ARPU×tháng/1000</t>
        </is>
      </c>
    </row>
    <row r="10">
      <c r="A10" s="9" t="inlineStr">
        <is>
          <t>KÊNH 2 — ON-PREMISE PMU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5" t="inlineStr"/>
      <c r="B11" s="6" t="inlineStr">
        <is>
          <t>PMU — hợp đồng mới</t>
        </is>
      </c>
      <c r="C11" s="16" t="inlineStr">
        <is>
          <t>HĐ</t>
        </is>
      </c>
      <c r="D11" s="42">
        <f>Gia_Dinh!D19</f>
        <v/>
      </c>
      <c r="E11" s="42">
        <f>Gia_Dinh!E19</f>
        <v/>
      </c>
      <c r="F11" s="42">
        <f>Gia_Dinh!F19</f>
        <v/>
      </c>
      <c r="G11" s="42">
        <f>Gia_Dinh!G19</f>
        <v/>
      </c>
      <c r="H11" s="42">
        <f>Gia_Dinh!H19</f>
        <v/>
      </c>
    </row>
    <row r="12">
      <c r="A12" s="15" t="inlineStr"/>
      <c r="B12" s="6" t="inlineStr">
        <is>
          <t>PMU — giá HĐ</t>
        </is>
      </c>
      <c r="C12" s="16" t="inlineStr">
        <is>
          <t>tỷ</t>
        </is>
      </c>
      <c r="D12" s="25">
        <f>Gia_Dinh!D20</f>
        <v/>
      </c>
      <c r="E12" s="25">
        <f>Gia_Dinh!E20</f>
        <v/>
      </c>
      <c r="F12" s="25">
        <f>Gia_Dinh!F20</f>
        <v/>
      </c>
      <c r="G12" s="25">
        <f>Gia_Dinh!G20</f>
        <v/>
      </c>
      <c r="H12" s="25">
        <f>Gia_Dinh!H20</f>
        <v/>
      </c>
    </row>
    <row r="13">
      <c r="A13" s="15" t="inlineStr"/>
      <c r="B13" s="6" t="inlineStr">
        <is>
          <t>PMU — license mới</t>
        </is>
      </c>
      <c r="C13" s="16" t="inlineStr">
        <is>
          <t>tỷ</t>
        </is>
      </c>
      <c r="D13" s="32">
        <f>D11*D12</f>
        <v/>
      </c>
      <c r="E13" s="32">
        <f>E11*E12</f>
        <v/>
      </c>
      <c r="F13" s="32">
        <f>F11*F12</f>
        <v/>
      </c>
      <c r="G13" s="32">
        <f>G11*G12</f>
        <v/>
      </c>
      <c r="H13" s="32">
        <f>H11*H12</f>
        <v/>
      </c>
    </row>
    <row r="14">
      <c r="A14" s="15" t="inlineStr"/>
      <c r="B14" s="6" t="inlineStr">
        <is>
          <t>PMU — license lũy kế</t>
        </is>
      </c>
      <c r="C14" s="16" t="inlineStr">
        <is>
          <t>tỷ</t>
        </is>
      </c>
      <c r="D14" s="32">
        <f>D13</f>
        <v/>
      </c>
      <c r="E14" s="32">
        <f>D14+E13</f>
        <v/>
      </c>
      <c r="F14" s="32">
        <f>E14+F13</f>
        <v/>
      </c>
      <c r="G14" s="32">
        <f>F14+G13</f>
        <v/>
      </c>
      <c r="H14" s="32">
        <f>G14+H13</f>
        <v/>
      </c>
    </row>
    <row r="15">
      <c r="A15" s="15" t="inlineStr"/>
      <c r="B15" s="6" t="inlineStr">
        <is>
          <t>PMU — bảo trì (AMC)</t>
        </is>
      </c>
      <c r="C15" s="16" t="inlineStr">
        <is>
          <t>tỷ</t>
        </is>
      </c>
      <c r="D15" s="32" t="n">
        <v>0</v>
      </c>
      <c r="E15" s="32">
        <f>D14*Gia_Dinh!E29</f>
        <v/>
      </c>
      <c r="F15" s="32">
        <f>E14*Gia_Dinh!F29</f>
        <v/>
      </c>
      <c r="G15" s="32">
        <f>F14*Gia_Dinh!G29</f>
        <v/>
      </c>
      <c r="H15" s="32">
        <f>G14*Gia_Dinh!H29</f>
        <v/>
      </c>
    </row>
    <row r="16">
      <c r="A16" s="15" t="inlineStr"/>
      <c r="B16" s="8" t="inlineStr">
        <is>
          <t>PMU — TỔNG</t>
        </is>
      </c>
      <c r="C16" s="16" t="inlineStr">
        <is>
          <t>tỷ</t>
        </is>
      </c>
      <c r="D16" s="41">
        <f>D13+D15</f>
        <v/>
      </c>
      <c r="E16" s="41">
        <f>E13+E15</f>
        <v/>
      </c>
      <c r="F16" s="41">
        <f>F13+F15</f>
        <v/>
      </c>
      <c r="G16" s="41">
        <f>G13+G15</f>
        <v/>
      </c>
      <c r="H16" s="41">
        <f>H13+H15</f>
        <v/>
      </c>
    </row>
    <row r="18">
      <c r="A18" s="9" t="inlineStr">
        <is>
          <t>KÊNH 3 — ON-PREMISE SỞ XÂY DỰNG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5" t="inlineStr"/>
      <c r="B19" s="6" t="inlineStr">
        <is>
          <t>Sở XD — hợp đồng mới</t>
        </is>
      </c>
      <c r="C19" s="16" t="inlineStr">
        <is>
          <t>HĐ</t>
        </is>
      </c>
      <c r="D19" s="42">
        <f>Gia_Dinh!D23</f>
        <v/>
      </c>
      <c r="E19" s="42">
        <f>Gia_Dinh!E23</f>
        <v/>
      </c>
      <c r="F19" s="42">
        <f>Gia_Dinh!F23</f>
        <v/>
      </c>
      <c r="G19" s="42">
        <f>Gia_Dinh!G23</f>
        <v/>
      </c>
      <c r="H19" s="42">
        <f>Gia_Dinh!H23</f>
        <v/>
      </c>
    </row>
    <row r="20">
      <c r="A20" s="15" t="inlineStr"/>
      <c r="B20" s="6" t="inlineStr">
        <is>
          <t>Sở XD — giá HĐ</t>
        </is>
      </c>
      <c r="C20" s="16" t="inlineStr">
        <is>
          <t>tỷ</t>
        </is>
      </c>
      <c r="D20" s="25">
        <f>Gia_Dinh!D24</f>
        <v/>
      </c>
      <c r="E20" s="25">
        <f>Gia_Dinh!E24</f>
        <v/>
      </c>
      <c r="F20" s="25">
        <f>Gia_Dinh!F24</f>
        <v/>
      </c>
      <c r="G20" s="25">
        <f>Gia_Dinh!G24</f>
        <v/>
      </c>
      <c r="H20" s="25">
        <f>Gia_Dinh!H24</f>
        <v/>
      </c>
    </row>
    <row r="21">
      <c r="A21" s="15" t="inlineStr"/>
      <c r="B21" s="6" t="inlineStr">
        <is>
          <t>Sở XD — license mới</t>
        </is>
      </c>
      <c r="C21" s="16" t="inlineStr">
        <is>
          <t>tỷ</t>
        </is>
      </c>
      <c r="D21" s="32">
        <f>D19*D20</f>
        <v/>
      </c>
      <c r="E21" s="32">
        <f>E19*E20</f>
        <v/>
      </c>
      <c r="F21" s="32">
        <f>F19*F20</f>
        <v/>
      </c>
      <c r="G21" s="32">
        <f>G19*G20</f>
        <v/>
      </c>
      <c r="H21" s="32">
        <f>H19*H20</f>
        <v/>
      </c>
    </row>
    <row r="22">
      <c r="A22" s="15" t="inlineStr"/>
      <c r="B22" s="6" t="inlineStr">
        <is>
          <t>Sở XD — license lũy kế</t>
        </is>
      </c>
      <c r="C22" s="16" t="inlineStr">
        <is>
          <t>tỷ</t>
        </is>
      </c>
      <c r="D22" s="32">
        <f>D21</f>
        <v/>
      </c>
      <c r="E22" s="32">
        <f>D22+E21</f>
        <v/>
      </c>
      <c r="F22" s="32">
        <f>E22+F21</f>
        <v/>
      </c>
      <c r="G22" s="32">
        <f>F22+G21</f>
        <v/>
      </c>
      <c r="H22" s="32">
        <f>G22+H21</f>
        <v/>
      </c>
    </row>
    <row r="23">
      <c r="A23" s="15" t="inlineStr"/>
      <c r="B23" s="6" t="inlineStr">
        <is>
          <t>Sở XD — bảo trì (AMC)</t>
        </is>
      </c>
      <c r="C23" s="16" t="inlineStr">
        <is>
          <t>tỷ</t>
        </is>
      </c>
      <c r="D23" s="32" t="n">
        <v>0</v>
      </c>
      <c r="E23" s="32">
        <f>D22*Gia_Dinh!E29</f>
        <v/>
      </c>
      <c r="F23" s="32">
        <f>E22*Gia_Dinh!F29</f>
        <v/>
      </c>
      <c r="G23" s="32">
        <f>F22*Gia_Dinh!G29</f>
        <v/>
      </c>
      <c r="H23" s="32">
        <f>G22*Gia_Dinh!H29</f>
        <v/>
      </c>
    </row>
    <row r="24">
      <c r="A24" s="15" t="inlineStr"/>
      <c r="B24" s="8" t="inlineStr">
        <is>
          <t>Sở XD — TỔNG</t>
        </is>
      </c>
      <c r="C24" s="16" t="inlineStr">
        <is>
          <t>tỷ</t>
        </is>
      </c>
      <c r="D24" s="41">
        <f>D21+D23</f>
        <v/>
      </c>
      <c r="E24" s="41">
        <f>E21+E23</f>
        <v/>
      </c>
      <c r="F24" s="41">
        <f>F21+F23</f>
        <v/>
      </c>
      <c r="G24" s="41">
        <f>G21+G23</f>
        <v/>
      </c>
      <c r="H24" s="41">
        <f>H21+H23</f>
        <v/>
      </c>
    </row>
    <row r="26">
      <c r="A26" s="9" t="inlineStr">
        <is>
          <t>KÊNH 4 — ON-PREMISE DOANH NGHIỆP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5" t="inlineStr"/>
      <c r="B27" s="6" t="inlineStr">
        <is>
          <t>Doanh nghiệp — hợp đồng mới</t>
        </is>
      </c>
      <c r="C27" s="16" t="inlineStr">
        <is>
          <t>HĐ</t>
        </is>
      </c>
      <c r="D27" s="42">
        <f>Gia_Dinh!D27</f>
        <v/>
      </c>
      <c r="E27" s="42">
        <f>Gia_Dinh!E27</f>
        <v/>
      </c>
      <c r="F27" s="42">
        <f>Gia_Dinh!F27</f>
        <v/>
      </c>
      <c r="G27" s="42">
        <f>Gia_Dinh!G27</f>
        <v/>
      </c>
      <c r="H27" s="42">
        <f>Gia_Dinh!H27</f>
        <v/>
      </c>
    </row>
    <row r="28">
      <c r="A28" s="15" t="inlineStr"/>
      <c r="B28" s="6" t="inlineStr">
        <is>
          <t>Doanh nghiệp — giá HĐ</t>
        </is>
      </c>
      <c r="C28" s="16" t="inlineStr">
        <is>
          <t>tỷ</t>
        </is>
      </c>
      <c r="D28" s="25">
        <f>Gia_Dinh!D28</f>
        <v/>
      </c>
      <c r="E28" s="25">
        <f>Gia_Dinh!E28</f>
        <v/>
      </c>
      <c r="F28" s="25">
        <f>Gia_Dinh!F28</f>
        <v/>
      </c>
      <c r="G28" s="25">
        <f>Gia_Dinh!G28</f>
        <v/>
      </c>
      <c r="H28" s="25">
        <f>Gia_Dinh!H28</f>
        <v/>
      </c>
    </row>
    <row r="29">
      <c r="A29" s="15" t="inlineStr"/>
      <c r="B29" s="6" t="inlineStr">
        <is>
          <t>Doanh nghiệp — license mới</t>
        </is>
      </c>
      <c r="C29" s="16" t="inlineStr">
        <is>
          <t>tỷ</t>
        </is>
      </c>
      <c r="D29" s="32">
        <f>D27*D28</f>
        <v/>
      </c>
      <c r="E29" s="32">
        <f>E27*E28</f>
        <v/>
      </c>
      <c r="F29" s="32">
        <f>F27*F28</f>
        <v/>
      </c>
      <c r="G29" s="32">
        <f>G27*G28</f>
        <v/>
      </c>
      <c r="H29" s="32">
        <f>H27*H28</f>
        <v/>
      </c>
    </row>
    <row r="30">
      <c r="A30" s="15" t="inlineStr"/>
      <c r="B30" s="6" t="inlineStr">
        <is>
          <t>Doanh nghiệp — license lũy kế</t>
        </is>
      </c>
      <c r="C30" s="16" t="inlineStr">
        <is>
          <t>tỷ</t>
        </is>
      </c>
      <c r="D30" s="32">
        <f>D29</f>
        <v/>
      </c>
      <c r="E30" s="32">
        <f>D30+E29</f>
        <v/>
      </c>
      <c r="F30" s="32">
        <f>E30+F29</f>
        <v/>
      </c>
      <c r="G30" s="32">
        <f>F30+G29</f>
        <v/>
      </c>
      <c r="H30" s="32">
        <f>G30+H29</f>
        <v/>
      </c>
    </row>
    <row r="31">
      <c r="A31" s="15" t="inlineStr"/>
      <c r="B31" s="6" t="inlineStr">
        <is>
          <t>Doanh nghiệp — bảo trì (AMC)</t>
        </is>
      </c>
      <c r="C31" s="16" t="inlineStr">
        <is>
          <t>tỷ</t>
        </is>
      </c>
      <c r="D31" s="32" t="n">
        <v>0</v>
      </c>
      <c r="E31" s="32">
        <f>D30*Gia_Dinh!E29</f>
        <v/>
      </c>
      <c r="F31" s="32">
        <f>E30*Gia_Dinh!F29</f>
        <v/>
      </c>
      <c r="G31" s="32">
        <f>F30*Gia_Dinh!G29</f>
        <v/>
      </c>
      <c r="H31" s="32">
        <f>G30*Gia_Dinh!H29</f>
        <v/>
      </c>
    </row>
    <row r="32">
      <c r="A32" s="15" t="inlineStr"/>
      <c r="B32" s="8" t="inlineStr">
        <is>
          <t>Doanh nghiệp — TỔNG</t>
        </is>
      </c>
      <c r="C32" s="16" t="inlineStr">
        <is>
          <t>tỷ</t>
        </is>
      </c>
      <c r="D32" s="41">
        <f>D29+D31</f>
        <v/>
      </c>
      <c r="E32" s="41">
        <f>E29+E31</f>
        <v/>
      </c>
      <c r="F32" s="41">
        <f>F29+F31</f>
        <v/>
      </c>
      <c r="G32" s="41">
        <f>G29+G31</f>
        <v/>
      </c>
      <c r="H32" s="41">
        <f>H29+H31</f>
        <v/>
      </c>
    </row>
    <row r="34">
      <c r="A34" s="9" t="inlineStr">
        <is>
          <t>TỔNG HỢP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5" t="inlineStr"/>
      <c r="B35" s="37" t="inlineStr">
        <is>
          <t>TỔNG DOANH THU</t>
        </is>
      </c>
      <c r="C35" s="16" t="inlineStr">
        <is>
          <t>tỷ</t>
        </is>
      </c>
      <c r="D35" s="41">
        <f>D8+D16+D24+D32</f>
        <v/>
      </c>
      <c r="E35" s="41">
        <f>E8+E16+E24+E32</f>
        <v/>
      </c>
      <c r="F35" s="41">
        <f>F8+F16+F24+F32</f>
        <v/>
      </c>
      <c r="G35" s="41">
        <f>G8+G16+G24+G32</f>
        <v/>
      </c>
      <c r="H35" s="41">
        <f>H8+H16+H24+H32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TỔNG HỢP VỐN ĐẦU TƯ — CAPEX</t>
        </is>
      </c>
    </row>
    <row r="2">
      <c r="A2" s="2" t="inlineStr">
        <is>
          <t>Cloud-First, CIC 70% + NATIF 30%. Đơn vị: tỷ VNĐ.</t>
        </is>
      </c>
    </row>
    <row r="3">
      <c r="A3" s="11" t="inlineStr">
        <is>
          <t>Mã</t>
        </is>
      </c>
      <c r="B3" s="11" t="inlineStr">
        <is>
          <t>Khoản mục</t>
        </is>
      </c>
      <c r="C3" s="11" t="inlineStr">
        <is>
          <t>Đơn vị</t>
        </is>
      </c>
      <c r="D3" s="11" t="inlineStr">
        <is>
          <t>2026</t>
        </is>
      </c>
      <c r="E3" s="11" t="inlineStr">
        <is>
          <t>2027</t>
        </is>
      </c>
      <c r="F3" s="11" t="inlineStr">
        <is>
          <t>2028</t>
        </is>
      </c>
      <c r="G3" s="11" t="inlineStr">
        <is>
          <t>2029</t>
        </is>
      </c>
      <c r="H3" s="11" t="inlineStr">
        <is>
          <t>2030</t>
        </is>
      </c>
      <c r="I3" s="11" t="inlineStr">
        <is>
          <t>Nguồn</t>
        </is>
      </c>
    </row>
    <row r="4">
      <c r="A4" s="9" t="inlineStr">
        <is>
          <t>HẠNG MỤC CAPEX (link Gia_Dinh)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5" t="inlineStr">
        <is>
          <t>CAP-01</t>
        </is>
      </c>
      <c r="B5" s="6" t="inlineStr">
        <is>
          <t>Nhân sự phát triển lõi</t>
        </is>
      </c>
      <c r="C5" s="16" t="inlineStr">
        <is>
          <t>tỷ</t>
        </is>
      </c>
      <c r="D5" s="25">
        <f>Gia_Dinh!D32</f>
        <v/>
      </c>
      <c r="E5" s="25">
        <f>Gia_Dinh!E32</f>
        <v/>
      </c>
      <c r="F5" s="25">
        <f>Gia_Dinh!F32</f>
        <v/>
      </c>
      <c r="G5" s="25">
        <f>Gia_Dinh!G32</f>
        <v/>
      </c>
      <c r="H5" s="25">
        <f>Gia_Dinh!H32</f>
        <v/>
      </c>
    </row>
    <row r="6">
      <c r="A6" s="15" t="inlineStr">
        <is>
          <t>CAP-02</t>
        </is>
      </c>
      <c r="B6" s="6" t="inlineStr">
        <is>
          <t>Trang thiết bị văn phòng</t>
        </is>
      </c>
      <c r="C6" s="16" t="inlineStr">
        <is>
          <t>tỷ</t>
        </is>
      </c>
      <c r="D6" s="25">
        <f>Gia_Dinh!D33</f>
        <v/>
      </c>
      <c r="E6" s="25">
        <f>Gia_Dinh!E33</f>
        <v/>
      </c>
      <c r="F6" s="25">
        <f>Gia_Dinh!F33</f>
        <v/>
      </c>
      <c r="G6" s="25">
        <f>Gia_Dinh!G33</f>
        <v/>
      </c>
      <c r="H6" s="25">
        <f>Gia_Dinh!H33</f>
        <v/>
      </c>
    </row>
    <row r="7">
      <c r="A7" s="15" t="inlineStr">
        <is>
          <t>CAP-03</t>
        </is>
      </c>
      <c r="B7" s="6" t="inlineStr">
        <is>
          <t>Bản quyền &amp; API tích hợp</t>
        </is>
      </c>
      <c r="C7" s="16" t="inlineStr">
        <is>
          <t>tỷ</t>
        </is>
      </c>
      <c r="D7" s="25">
        <f>Gia_Dinh!D34</f>
        <v/>
      </c>
      <c r="E7" s="25">
        <f>Gia_Dinh!E34</f>
        <v/>
      </c>
      <c r="F7" s="25">
        <f>Gia_Dinh!F34</f>
        <v/>
      </c>
      <c r="G7" s="25">
        <f>Gia_Dinh!G34</f>
        <v/>
      </c>
      <c r="H7" s="25">
        <f>Gia_Dinh!H34</f>
        <v/>
      </c>
    </row>
    <row r="8">
      <c r="A8" s="15" t="inlineStr">
        <is>
          <t>CAP-04</t>
        </is>
      </c>
      <c r="B8" s="6" t="inlineStr">
        <is>
          <t>Marketing &amp; Sales ra mắt</t>
        </is>
      </c>
      <c r="C8" s="16" t="inlineStr">
        <is>
          <t>tỷ</t>
        </is>
      </c>
      <c r="D8" s="25">
        <f>Gia_Dinh!D35</f>
        <v/>
      </c>
      <c r="E8" s="25">
        <f>Gia_Dinh!E35</f>
        <v/>
      </c>
      <c r="F8" s="25">
        <f>Gia_Dinh!F35</f>
        <v/>
      </c>
      <c r="G8" s="25">
        <f>Gia_Dinh!G35</f>
        <v/>
      </c>
      <c r="H8" s="25">
        <f>Gia_Dinh!H35</f>
        <v/>
      </c>
    </row>
    <row r="9">
      <c r="A9" s="15" t="inlineStr">
        <is>
          <t>CAP-05</t>
        </is>
      </c>
      <c r="B9" s="6" t="inlineStr">
        <is>
          <t>Tư vấn, PM &amp; Pháp lý</t>
        </is>
      </c>
      <c r="C9" s="16" t="inlineStr">
        <is>
          <t>tỷ</t>
        </is>
      </c>
      <c r="D9" s="25">
        <f>Gia_Dinh!D36</f>
        <v/>
      </c>
      <c r="E9" s="25">
        <f>Gia_Dinh!E36</f>
        <v/>
      </c>
      <c r="F9" s="25">
        <f>Gia_Dinh!F36</f>
        <v/>
      </c>
      <c r="G9" s="25">
        <f>Gia_Dinh!G36</f>
        <v/>
      </c>
      <c r="H9" s="25">
        <f>Gia_Dinh!H36</f>
        <v/>
      </c>
    </row>
    <row r="10">
      <c r="A10" s="15" t="inlineStr"/>
      <c r="B10" s="8" t="inlineStr">
        <is>
          <t>TỔNG CAPEX/năm</t>
        </is>
      </c>
      <c r="C10" s="16" t="inlineStr">
        <is>
          <t>tỷ</t>
        </is>
      </c>
      <c r="D10" s="41">
        <f>SUM(D5:D9)</f>
        <v/>
      </c>
      <c r="E10" s="41">
        <f>SUM(E5:E9)</f>
        <v/>
      </c>
      <c r="F10" s="41">
        <f>SUM(F5:F9)</f>
        <v/>
      </c>
      <c r="G10" s="41">
        <f>SUM(G5:G9)</f>
        <v/>
      </c>
      <c r="H10" s="41">
        <f>SUM(H5:H9)</f>
        <v/>
      </c>
      <c r="I10" s="44">
        <f>SUM(D10:H10)</f>
        <v/>
      </c>
    </row>
    <row r="11">
      <c r="A11" s="15" t="inlineStr"/>
      <c r="B11" s="8" t="inlineStr">
        <is>
          <t>Vốn CIC (70%)</t>
        </is>
      </c>
      <c r="C11" s="16" t="inlineStr">
        <is>
          <t>tỷ</t>
        </is>
      </c>
      <c r="D11" s="41">
        <f>D10*Gia_Dinh!D9</f>
        <v/>
      </c>
      <c r="E11" s="41">
        <f>E10*Gia_Dinh!E9</f>
        <v/>
      </c>
      <c r="F11" s="41">
        <f>F10*Gia_Dinh!F9</f>
        <v/>
      </c>
      <c r="G11" s="41">
        <f>G10*Gia_Dinh!G9</f>
        <v/>
      </c>
      <c r="H11" s="41">
        <f>H10*Gia_Dinh!H9</f>
        <v/>
      </c>
      <c r="I11" s="44">
        <f>SUM(D11:H11)</f>
        <v/>
      </c>
    </row>
    <row r="12">
      <c r="A12" s="15" t="inlineStr"/>
      <c r="B12" s="8" t="inlineStr">
        <is>
          <t>Vốn NATIF (30%)</t>
        </is>
      </c>
      <c r="C12" s="16" t="inlineStr">
        <is>
          <t>tỷ</t>
        </is>
      </c>
      <c r="D12" s="41">
        <f>D10*Gia_Dinh!D10</f>
        <v/>
      </c>
      <c r="E12" s="41">
        <f>E10*Gia_Dinh!E10</f>
        <v/>
      </c>
      <c r="F12" s="41">
        <f>F10*Gia_Dinh!F10</f>
        <v/>
      </c>
      <c r="G12" s="41">
        <f>G10*Gia_Dinh!G10</f>
        <v/>
      </c>
      <c r="H12" s="41">
        <f>H10*Gia_Dinh!H10</f>
        <v/>
      </c>
      <c r="I12" s="44">
        <f>SUM(D12:H12)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TỔNG HỢP CHI PHÍ VẬN HÀNH — OPEX</t>
        </is>
      </c>
    </row>
    <row r="2">
      <c r="A2" s="2" t="inlineStr">
        <is>
          <t>Đơn vị: tỷ VNĐ.</t>
        </is>
      </c>
    </row>
    <row r="3">
      <c r="A3" s="11" t="inlineStr">
        <is>
          <t>Mã</t>
        </is>
      </c>
      <c r="B3" s="11" t="inlineStr">
        <is>
          <t>Khoản mục</t>
        </is>
      </c>
      <c r="C3" s="11" t="inlineStr">
        <is>
          <t>Đơn vị</t>
        </is>
      </c>
      <c r="D3" s="11" t="inlineStr">
        <is>
          <t>2026</t>
        </is>
      </c>
      <c r="E3" s="11" t="inlineStr">
        <is>
          <t>2027</t>
        </is>
      </c>
      <c r="F3" s="11" t="inlineStr">
        <is>
          <t>2028</t>
        </is>
      </c>
      <c r="G3" s="11" t="inlineStr">
        <is>
          <t>2029</t>
        </is>
      </c>
      <c r="H3" s="11" t="inlineStr">
        <is>
          <t>2030</t>
        </is>
      </c>
      <c r="I3" s="11" t="inlineStr">
        <is>
          <t>Nguồn</t>
        </is>
      </c>
    </row>
    <row r="4">
      <c r="A4" s="9" t="inlineStr">
        <is>
          <t>HẠNG MỤC OPEX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5" t="inlineStr">
        <is>
          <t>OPX-01</t>
        </is>
      </c>
      <c r="B5" s="6" t="inlineStr">
        <is>
          <t>Nhân sự vận hành</t>
        </is>
      </c>
      <c r="C5" s="16" t="inlineStr">
        <is>
          <t>tỷ</t>
        </is>
      </c>
      <c r="D5" s="25">
        <f>Gia_Dinh!D39</f>
        <v/>
      </c>
      <c r="E5" s="25">
        <f>Gia_Dinh!E39</f>
        <v/>
      </c>
      <c r="F5" s="25">
        <f>Gia_Dinh!F39</f>
        <v/>
      </c>
      <c r="G5" s="25">
        <f>Gia_Dinh!G39</f>
        <v/>
      </c>
      <c r="H5" s="25">
        <f>Gia_Dinh!H39</f>
        <v/>
      </c>
    </row>
    <row r="6">
      <c r="A6" s="15" t="inlineStr">
        <is>
          <t>OPX-02</t>
        </is>
      </c>
      <c r="B6" s="6" t="inlineStr">
        <is>
          <t>Thuê hạ tầng Cloud</t>
        </is>
      </c>
      <c r="C6" s="16" t="inlineStr">
        <is>
          <t>tỷ</t>
        </is>
      </c>
      <c r="D6" s="25">
        <f>Gia_Dinh!D40</f>
        <v/>
      </c>
      <c r="E6" s="25">
        <f>Gia_Dinh!E40</f>
        <v/>
      </c>
      <c r="F6" s="25">
        <f>Gia_Dinh!F40</f>
        <v/>
      </c>
      <c r="G6" s="25">
        <f>Gia_Dinh!G40</f>
        <v/>
      </c>
      <c r="H6" s="25">
        <f>Gia_Dinh!H40</f>
        <v/>
      </c>
    </row>
    <row r="7">
      <c r="A7" s="15" t="inlineStr">
        <is>
          <t>OPX-03</t>
        </is>
      </c>
      <c r="B7" s="6" t="inlineStr">
        <is>
          <t>Chi phí vận hành khác</t>
        </is>
      </c>
      <c r="C7" s="16" t="inlineStr">
        <is>
          <t>tỷ</t>
        </is>
      </c>
      <c r="D7" s="25">
        <f>Gia_Dinh!D41</f>
        <v/>
      </c>
      <c r="E7" s="25">
        <f>Gia_Dinh!E41</f>
        <v/>
      </c>
      <c r="F7" s="25">
        <f>Gia_Dinh!F41</f>
        <v/>
      </c>
      <c r="G7" s="25">
        <f>Gia_Dinh!G41</f>
        <v/>
      </c>
      <c r="H7" s="25">
        <f>Gia_Dinh!H41</f>
        <v/>
      </c>
    </row>
    <row r="8">
      <c r="A8" s="15" t="inlineStr"/>
      <c r="B8" s="8" t="inlineStr">
        <is>
          <t>TỔNG OPEX/năm</t>
        </is>
      </c>
      <c r="C8" s="16" t="inlineStr">
        <is>
          <t>tỷ</t>
        </is>
      </c>
      <c r="D8" s="41">
        <f>SUM(D5:D7)</f>
        <v/>
      </c>
      <c r="E8" s="41">
        <f>SUM(E5:E7)</f>
        <v/>
      </c>
      <c r="F8" s="41">
        <f>SUM(F5:F7)</f>
        <v/>
      </c>
      <c r="G8" s="41">
        <f>SUM(G5:G7)</f>
        <v/>
      </c>
      <c r="H8" s="41">
        <f>SUM(H5:H7)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BÁO CÁO KẾT QUẢ &amp; DÒNG TIỀN (P&amp;L)</t>
        </is>
      </c>
    </row>
    <row r="2">
      <c r="A2" s="2" t="inlineStr">
        <is>
          <t>Đơn vị: tỷ VNĐ. Tất cả là công thức.</t>
        </is>
      </c>
    </row>
    <row r="3">
      <c r="A3" s="11" t="inlineStr">
        <is>
          <t>Mã</t>
        </is>
      </c>
      <c r="B3" s="11" t="inlineStr">
        <is>
          <t>Khoản mục</t>
        </is>
      </c>
      <c r="C3" s="11" t="inlineStr">
        <is>
          <t>Đơn vị</t>
        </is>
      </c>
      <c r="D3" s="11" t="inlineStr">
        <is>
          <t>2026</t>
        </is>
      </c>
      <c r="E3" s="11" t="inlineStr">
        <is>
          <t>2027</t>
        </is>
      </c>
      <c r="F3" s="11" t="inlineStr">
        <is>
          <t>2028</t>
        </is>
      </c>
      <c r="G3" s="11" t="inlineStr">
        <is>
          <t>2029</t>
        </is>
      </c>
      <c r="H3" s="11" t="inlineStr">
        <is>
          <t>2030</t>
        </is>
      </c>
      <c r="I3" s="11" t="inlineStr">
        <is>
          <t>Công thức</t>
        </is>
      </c>
    </row>
    <row r="4">
      <c r="A4" s="9" t="inlineStr">
        <is>
          <t>KẾT QUẢ KINH DOANH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5" t="inlineStr"/>
      <c r="B5" s="6" t="inlineStr">
        <is>
          <t>Doanh thu</t>
        </is>
      </c>
      <c r="C5" s="16" t="inlineStr">
        <is>
          <t>tỷ</t>
        </is>
      </c>
      <c r="D5" s="25">
        <f>Doanh_Thu!D35</f>
        <v/>
      </c>
      <c r="E5" s="25">
        <f>Doanh_Thu!E35</f>
        <v/>
      </c>
      <c r="F5" s="25">
        <f>Doanh_Thu!F35</f>
        <v/>
      </c>
      <c r="G5" s="25">
        <f>Doanh_Thu!G35</f>
        <v/>
      </c>
      <c r="H5" s="25">
        <f>Doanh_Thu!H35</f>
        <v/>
      </c>
      <c r="I5" s="18" t="inlineStr">
        <is>
          <t>← Doanh_Thu</t>
        </is>
      </c>
    </row>
    <row r="6">
      <c r="A6" s="15" t="inlineStr"/>
      <c r="B6" s="8" t="inlineStr">
        <is>
          <t>Lợi nhuận gộp (biên 60%)</t>
        </is>
      </c>
      <c r="C6" s="16" t="inlineStr">
        <is>
          <t>tỷ</t>
        </is>
      </c>
      <c r="D6" s="41">
        <f>D5*Gia_Dinh!D6</f>
        <v/>
      </c>
      <c r="E6" s="41">
        <f>E5*Gia_Dinh!E6</f>
        <v/>
      </c>
      <c r="F6" s="41">
        <f>F5*Gia_Dinh!F6</f>
        <v/>
      </c>
      <c r="G6" s="41">
        <f>G5*Gia_Dinh!G6</f>
        <v/>
      </c>
      <c r="H6" s="41">
        <f>H5*Gia_Dinh!H6</f>
        <v/>
      </c>
    </row>
    <row r="7">
      <c r="A7" s="15" t="inlineStr"/>
      <c r="B7" s="6" t="inlineStr">
        <is>
          <t>Chi phí đầu tư (CAPEX)</t>
        </is>
      </c>
      <c r="C7" s="16" t="inlineStr">
        <is>
          <t>tỷ</t>
        </is>
      </c>
      <c r="D7" s="25">
        <f>-Dau_Tu!D10</f>
        <v/>
      </c>
      <c r="E7" s="25">
        <f>-Dau_Tu!E10</f>
        <v/>
      </c>
      <c r="F7" s="25">
        <f>-Dau_Tu!F10</f>
        <v/>
      </c>
      <c r="G7" s="25">
        <f>-Dau_Tu!G10</f>
        <v/>
      </c>
      <c r="H7" s="25">
        <f>-Dau_Tu!H10</f>
        <v/>
      </c>
    </row>
    <row r="8">
      <c r="A8" s="15" t="inlineStr"/>
      <c r="B8" s="6" t="inlineStr">
        <is>
          <t>Chi phí vận hành (OPEX)</t>
        </is>
      </c>
      <c r="C8" s="16" t="inlineStr">
        <is>
          <t>tỷ</t>
        </is>
      </c>
      <c r="D8" s="25">
        <f>-OPEX!D8</f>
        <v/>
      </c>
      <c r="E8" s="25">
        <f>-OPEX!E8</f>
        <v/>
      </c>
      <c r="F8" s="25">
        <f>-OPEX!F8</f>
        <v/>
      </c>
      <c r="G8" s="25">
        <f>-OPEX!G8</f>
        <v/>
      </c>
      <c r="H8" s="25">
        <f>-OPEX!H8</f>
        <v/>
      </c>
    </row>
    <row r="9">
      <c r="A9" s="15" t="inlineStr"/>
      <c r="B9" s="8" t="inlineStr">
        <is>
          <t>DÒNG TIỀN RÒNG DỰ ÁN</t>
        </is>
      </c>
      <c r="C9" s="16" t="inlineStr">
        <is>
          <t>tỷ</t>
        </is>
      </c>
      <c r="D9" s="41">
        <f>D6+D7+D8</f>
        <v/>
      </c>
      <c r="E9" s="41">
        <f>E6+E7+E8</f>
        <v/>
      </c>
      <c r="F9" s="41">
        <f>F6+F7+F8</f>
        <v/>
      </c>
      <c r="G9" s="41">
        <f>G6+G7+G8</f>
        <v/>
      </c>
      <c r="H9" s="41">
        <f>H6+H7+H8</f>
        <v/>
      </c>
      <c r="I9" s="18" t="inlineStr">
        <is>
          <t>LN gộp – CAPEX – OPEX</t>
        </is>
      </c>
    </row>
    <row r="10">
      <c r="A10" s="15" t="inlineStr"/>
      <c r="B10" s="8" t="inlineStr">
        <is>
          <t>Lũy kế dự án</t>
        </is>
      </c>
      <c r="C10" s="16" t="inlineStr">
        <is>
          <t>tỷ</t>
        </is>
      </c>
      <c r="D10" s="33">
        <f>D9</f>
        <v/>
      </c>
      <c r="E10" s="33">
        <f>D10+E9</f>
        <v/>
      </c>
      <c r="F10" s="33">
        <f>E10+F9</f>
        <v/>
      </c>
      <c r="G10" s="33">
        <f>F10+G9</f>
        <v/>
      </c>
      <c r="H10" s="33">
        <f>G10+H9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DÒNG TIỀN DỰ ÁN &amp; CIC</t>
        </is>
      </c>
    </row>
    <row r="2">
      <c r="A2" s="2" t="inlineStr">
        <is>
          <t>Đơn vị: tỷ VNĐ.</t>
        </is>
      </c>
    </row>
    <row r="3">
      <c r="A3" s="11" t="inlineStr">
        <is>
          <t>Mã</t>
        </is>
      </c>
      <c r="B3" s="11" t="inlineStr">
        <is>
          <t>Khoản mục</t>
        </is>
      </c>
      <c r="C3" s="11" t="inlineStr">
        <is>
          <t>Đơn vị</t>
        </is>
      </c>
      <c r="D3" s="11" t="inlineStr">
        <is>
          <t>2026</t>
        </is>
      </c>
      <c r="E3" s="11" t="inlineStr">
        <is>
          <t>2027</t>
        </is>
      </c>
      <c r="F3" s="11" t="inlineStr">
        <is>
          <t>2028</t>
        </is>
      </c>
      <c r="G3" s="11" t="inlineStr">
        <is>
          <t>2029</t>
        </is>
      </c>
      <c r="H3" s="11" t="inlineStr">
        <is>
          <t>2030</t>
        </is>
      </c>
      <c r="I3" s="11" t="inlineStr">
        <is>
          <t>Ghi chú</t>
        </is>
      </c>
    </row>
    <row r="4">
      <c r="A4" s="9" t="inlineStr">
        <is>
          <t>GÓC ĐỘ TOÀN DỰ ÁN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5" t="inlineStr"/>
      <c r="B5" s="8" t="inlineStr">
        <is>
          <t>Dòng tiền ròng dự án</t>
        </is>
      </c>
      <c r="C5" s="16" t="inlineStr">
        <is>
          <t>tỷ</t>
        </is>
      </c>
      <c r="D5" s="45">
        <f>P_and_L!D9</f>
        <v/>
      </c>
      <c r="E5" s="45">
        <f>P_and_L!E9</f>
        <v/>
      </c>
      <c r="F5" s="45">
        <f>P_and_L!F9</f>
        <v/>
      </c>
      <c r="G5" s="45">
        <f>P_and_L!G9</f>
        <v/>
      </c>
      <c r="H5" s="45">
        <f>P_and_L!H9</f>
        <v/>
      </c>
    </row>
    <row r="6">
      <c r="A6" s="15" t="inlineStr"/>
      <c r="B6" s="8" t="inlineStr">
        <is>
          <t>Lũy kế dự án</t>
        </is>
      </c>
      <c r="C6" s="16" t="inlineStr">
        <is>
          <t>tỷ</t>
        </is>
      </c>
      <c r="D6" s="45">
        <f>P_and_L!D10</f>
        <v/>
      </c>
      <c r="E6" s="45">
        <f>P_and_L!E10</f>
        <v/>
      </c>
      <c r="F6" s="45">
        <f>P_and_L!F10</f>
        <v/>
      </c>
      <c r="G6" s="45">
        <f>P_and_L!G10</f>
        <v/>
      </c>
      <c r="H6" s="45">
        <f>P_and_L!H10</f>
        <v/>
      </c>
    </row>
    <row r="8">
      <c r="A8" s="9" t="inlineStr">
        <is>
          <t>GÓC ĐỘ CIC (vốn đối ứng 70%)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5" t="inlineStr"/>
      <c r="B9" s="8" t="inlineStr">
        <is>
          <t>Dòng tiền ròng CIC</t>
        </is>
      </c>
      <c r="C9" s="16" t="inlineStr">
        <is>
          <t>tỷ</t>
        </is>
      </c>
      <c r="D9" s="41">
        <f>P_and_L!D6-Dau_Tu!D11+P_and_L!D8</f>
        <v/>
      </c>
      <c r="E9" s="41">
        <f>P_and_L!E6-Dau_Tu!E11+P_and_L!E8</f>
        <v/>
      </c>
      <c r="F9" s="41">
        <f>P_and_L!F6-Dau_Tu!F11+P_and_L!F8</f>
        <v/>
      </c>
      <c r="G9" s="41">
        <f>P_and_L!G6-Dau_Tu!G11+P_and_L!G8</f>
        <v/>
      </c>
      <c r="H9" s="41">
        <f>P_and_L!H6-Dau_Tu!H11+P_and_L!H8</f>
        <v/>
      </c>
      <c r="I9" s="18" t="inlineStr">
        <is>
          <t>LN gộp – vốn CIC – OPEX</t>
        </is>
      </c>
    </row>
    <row r="10">
      <c r="A10" s="15" t="inlineStr"/>
      <c r="B10" s="8" t="inlineStr">
        <is>
          <t>Lũy kế CIC</t>
        </is>
      </c>
      <c r="C10" s="16" t="inlineStr">
        <is>
          <t>tỷ</t>
        </is>
      </c>
      <c r="D10" s="33">
        <f>D9</f>
        <v/>
      </c>
      <c r="E10" s="33">
        <f>D10+E9</f>
        <v/>
      </c>
      <c r="F10" s="33">
        <f>E10+F9</f>
        <v/>
      </c>
      <c r="G10" s="33">
        <f>F10+G9</f>
        <v/>
      </c>
      <c r="H10" s="33">
        <f>G10+H9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ĐÁNH GIÁ HIỆU QUẢ ĐẦU TƯ (NPV / IRR / PAYBACK)</t>
        </is>
      </c>
    </row>
    <row r="2">
      <c r="A2" s="2" t="inlineStr">
        <is>
          <t>Quy ước: 2026 = năm gốc (t=0). WACC ← Gia_Dinh.</t>
        </is>
      </c>
    </row>
    <row r="3">
      <c r="A3" s="11" t="inlineStr">
        <is>
          <t>Mã</t>
        </is>
      </c>
      <c r="B3" s="11" t="inlineStr">
        <is>
          <t>Khoản mục</t>
        </is>
      </c>
      <c r="C3" s="11" t="inlineStr">
        <is>
          <t>Đơn vị</t>
        </is>
      </c>
      <c r="D3" s="11" t="inlineStr">
        <is>
          <t>2026</t>
        </is>
      </c>
      <c r="E3" s="11" t="inlineStr">
        <is>
          <t>2027</t>
        </is>
      </c>
      <c r="F3" s="11" t="inlineStr">
        <is>
          <t>2028</t>
        </is>
      </c>
      <c r="G3" s="11" t="inlineStr">
        <is>
          <t>2029</t>
        </is>
      </c>
      <c r="H3" s="11" t="inlineStr">
        <is>
          <t>2030</t>
        </is>
      </c>
      <c r="I3" s="11" t="inlineStr">
        <is>
          <t>Giá trị</t>
        </is>
      </c>
    </row>
    <row r="4">
      <c r="A4" s="9" t="inlineStr">
        <is>
          <t>DÒNG TIỀN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5" t="inlineStr"/>
      <c r="B5" s="6" t="inlineStr">
        <is>
          <t>Dòng tiền ròng dự án</t>
        </is>
      </c>
      <c r="C5" s="16" t="inlineStr">
        <is>
          <t>tỷ</t>
        </is>
      </c>
      <c r="D5" s="25">
        <f>Dong_Tien!D5</f>
        <v/>
      </c>
      <c r="E5" s="25">
        <f>Dong_Tien!E5</f>
        <v/>
      </c>
      <c r="F5" s="25">
        <f>Dong_Tien!F5</f>
        <v/>
      </c>
      <c r="G5" s="25">
        <f>Dong_Tien!G5</f>
        <v/>
      </c>
      <c r="H5" s="25">
        <f>Dong_Tien!H5</f>
        <v/>
      </c>
    </row>
    <row r="6">
      <c r="A6" s="15" t="inlineStr"/>
      <c r="B6" s="6" t="inlineStr">
        <is>
          <t>Dòng tiền ròng CIC</t>
        </is>
      </c>
      <c r="C6" s="16" t="inlineStr">
        <is>
          <t>tỷ</t>
        </is>
      </c>
      <c r="D6" s="25">
        <f>Dong_Tien!D9</f>
        <v/>
      </c>
      <c r="E6" s="25">
        <f>Dong_Tien!E9</f>
        <v/>
      </c>
      <c r="F6" s="25">
        <f>Dong_Tien!F9</f>
        <v/>
      </c>
      <c r="G6" s="25">
        <f>Dong_Tien!G9</f>
        <v/>
      </c>
      <c r="H6" s="25">
        <f>Dong_Tien!H9</f>
        <v/>
      </c>
    </row>
    <row r="8">
      <c r="A8" s="9" t="inlineStr">
        <is>
          <t>CHỈ SỐ HIỆU QUẢ (WACC, 2026=t0)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B9" s="8" t="inlineStr">
        <is>
          <t>NPV toàn dự án (5 năm)</t>
        </is>
      </c>
      <c r="D9" s="46">
        <f>D5+NPV(Gia_Dinh!D7,E5:H5)</f>
        <v/>
      </c>
    </row>
    <row r="10">
      <c r="B10" s="8" t="inlineStr">
        <is>
          <t>IRR toàn dự án</t>
        </is>
      </c>
      <c r="D10" s="47">
        <f>IFERROR(IRR(D5:H5,0.2),"n/a")</f>
        <v/>
      </c>
    </row>
    <row r="11">
      <c r="B11" s="8" t="inlineStr">
        <is>
          <t>NPV đầu tư CIC (5 năm)</t>
        </is>
      </c>
      <c r="D11" s="46">
        <f>D6+NPV(Gia_Dinh!D7,E6:H6)</f>
        <v/>
      </c>
    </row>
    <row r="12">
      <c r="B12" s="8" t="inlineStr">
        <is>
          <t>IRR đầu tư CIC</t>
        </is>
      </c>
      <c r="D12" s="47">
        <f>IFERROR(IRR(D6:H6,0.2),"n/a")</f>
        <v/>
      </c>
    </row>
    <row r="13">
      <c r="B13" s="8" t="inlineStr">
        <is>
          <t>Hoàn vốn dự án (năm thứ)</t>
        </is>
      </c>
      <c r="D13" s="48">
        <f>IF(COUNTIF(Dong_Tien!D6:H6,"&lt;0")=0,0,IF(COUNTIF(Dong_Tien!D6:H6,"&lt;0")&gt;=5,"Sau 5 năm",COUNTIF(Dong_Tien!D6:H6,"&lt;0")-1+(-INDEX(Dong_Tien!D6:H6,COUNTIF(Dong_Tien!D6:H6,"&lt;0")))/INDEX(Dong_Tien!D5:H5,COUNTIF(Dong_Tien!D6:H6,"&lt;0")+1)))</f>
        <v/>
      </c>
      <c r="I13" s="2" t="inlineStr">
        <is>
          <t>Số năm kể từ đầu 2026 (≈)</t>
        </is>
      </c>
    </row>
    <row r="14">
      <c r="B14" s="8" t="inlineStr">
        <is>
          <t>Hoàn vốn CIC (năm thứ)</t>
        </is>
      </c>
      <c r="D14" s="48">
        <f>IF(COUNTIF(Dong_Tien!D10:H10,"&lt;0")=0,0,IF(COUNTIF(Dong_Tien!D10:H10,"&lt;0")&gt;=5,"Sau 5 năm",COUNTIF(Dong_Tien!D10:H10,"&lt;0")-1+(-INDEX(Dong_Tien!D10:H10,COUNTIF(Dong_Tien!D10:H10,"&lt;0")))/INDEX(Dong_Tien!D9:H9,COUNTIF(Dong_Tien!D10:H10,"&lt;0")+1)))</f>
        <v/>
      </c>
      <c r="I14" s="2" t="inlineStr">
        <is>
          <t>Số năm kể từ đầu 2026 (≈)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PHÂN TÍCH ĐIỂM HÒA VỐN VẬN HÀNH</t>
        </is>
      </c>
    </row>
    <row r="2">
      <c r="A2" s="2" t="inlineStr">
        <is>
          <t>Trạng thái vận hành đầy đủ (2030).</t>
        </is>
      </c>
    </row>
    <row r="4">
      <c r="A4" s="9" t="inlineStr">
        <is>
          <t>HÒA VỐN THEO DOANH THU (2030)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B5" s="6" t="inlineStr">
        <is>
          <t>Chi phí cố định/năm (OPEX 2030)</t>
        </is>
      </c>
      <c r="D5" s="49">
        <f>OPEX!H8</f>
        <v/>
      </c>
      <c r="I5" s="2" t="inlineStr">
        <is>
          <t>← OPEX 2030</t>
        </is>
      </c>
    </row>
    <row r="6">
      <c r="B6" s="6" t="inlineStr">
        <is>
          <t>Biên lợi nhuận gộp</t>
        </is>
      </c>
      <c r="D6" s="50">
        <f>Gia_Dinh!D6</f>
        <v/>
      </c>
    </row>
    <row r="7">
      <c r="B7" s="6" t="inlineStr">
        <is>
          <t>Doanh thu hòa vốn/năm</t>
        </is>
      </c>
      <c r="D7" s="49">
        <f>D5/D6</f>
        <v/>
      </c>
      <c r="I7" s="2">
        <f> chi phí cố định / biên LN gộp</f>
        <v/>
      </c>
    </row>
    <row r="8">
      <c r="B8" s="6" t="inlineStr">
        <is>
          <t>Doanh thu thực tế 2030</t>
        </is>
      </c>
      <c r="D8" s="49">
        <f>Doanh_Thu!H35</f>
        <v/>
      </c>
      <c r="I8" s="2" t="inlineStr">
        <is>
          <t>Vượt xa ngưỡng hòa vốn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PHÂN TÍCH ĐỘ NHẠY — 3 KỊCH BẢN</t>
        </is>
      </c>
    </row>
    <row r="2">
      <c r="A2" s="2" t="inlineStr">
        <is>
          <t>Sửa hệ số (ô vàng) để xem tác động NPV dự án.</t>
        </is>
      </c>
    </row>
    <row r="4">
      <c r="A4" s="9" t="inlineStr">
        <is>
          <t>A. HỆ SỐ KỊCH BẢN (ô vàng)</t>
        </is>
      </c>
      <c r="B4" s="10" t="n"/>
      <c r="C4" s="10" t="n"/>
      <c r="D4" s="10" t="n"/>
    </row>
    <row r="5">
      <c r="B5" s="11" t="inlineStr">
        <is>
          <t>Kịch bản</t>
        </is>
      </c>
      <c r="C5" s="11" t="inlineStr">
        <is>
          <t>Hệ số doanh thu</t>
        </is>
      </c>
      <c r="D5" s="11" t="inlineStr">
        <is>
          <t>Hệ số OPEX</t>
        </is>
      </c>
    </row>
    <row r="6">
      <c r="B6" s="51" t="inlineStr">
        <is>
          <t>Bi quan</t>
        </is>
      </c>
      <c r="C6" s="52" t="n">
        <v>0.7</v>
      </c>
      <c r="D6" s="52" t="n">
        <v>1.15</v>
      </c>
    </row>
    <row r="7">
      <c r="B7" s="51" t="inlineStr">
        <is>
          <t>Cơ sở</t>
        </is>
      </c>
      <c r="C7" s="52" t="n">
        <v>1</v>
      </c>
      <c r="D7" s="52" t="n">
        <v>1</v>
      </c>
    </row>
    <row r="8">
      <c r="B8" s="51" t="inlineStr">
        <is>
          <t>Lạc quan</t>
        </is>
      </c>
      <c r="C8" s="52" t="n">
        <v>1.25</v>
      </c>
      <c r="D8" s="52" t="n">
        <v>0.95</v>
      </c>
    </row>
    <row r="10">
      <c r="A10" s="9" t="inlineStr">
        <is>
          <t>B. NPV DỰ ÁN THEO KỊCH BẢN (2026=t0)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B11" s="11" t="inlineStr">
        <is>
          <t>Kịch bản</t>
        </is>
      </c>
      <c r="D11" s="11" t="inlineStr">
        <is>
          <t>2026</t>
        </is>
      </c>
      <c r="E11" s="11" t="inlineStr">
        <is>
          <t>2027</t>
        </is>
      </c>
      <c r="F11" s="11" t="inlineStr">
        <is>
          <t>2028</t>
        </is>
      </c>
      <c r="G11" s="11" t="inlineStr">
        <is>
          <t>2029</t>
        </is>
      </c>
      <c r="H11" s="11" t="inlineStr">
        <is>
          <t>2030</t>
        </is>
      </c>
      <c r="I11" s="11" t="inlineStr">
        <is>
          <t>NPV dự án</t>
        </is>
      </c>
    </row>
    <row r="12">
      <c r="B12" s="51" t="inlineStr">
        <is>
          <t>Bi quan</t>
        </is>
      </c>
      <c r="D12" s="32">
        <f>Doanh_Thu!D35*$C$6*Gia_Dinh!D6-Dau_Tu!D10-OPEX!D8*$D$6</f>
        <v/>
      </c>
      <c r="E12" s="32">
        <f>Doanh_Thu!E35*$C$6*Gia_Dinh!D6-Dau_Tu!E10-OPEX!E8*$D$6</f>
        <v/>
      </c>
      <c r="F12" s="32">
        <f>Doanh_Thu!F35*$C$6*Gia_Dinh!D6-Dau_Tu!F10-OPEX!F8*$D$6</f>
        <v/>
      </c>
      <c r="G12" s="32">
        <f>Doanh_Thu!G35*$C$6*Gia_Dinh!D6-Dau_Tu!G10-OPEX!G8*$D$6</f>
        <v/>
      </c>
      <c r="H12" s="32">
        <f>Doanh_Thu!H35*$C$6*Gia_Dinh!D6-Dau_Tu!H10-OPEX!H8*$D$6</f>
        <v/>
      </c>
      <c r="I12" s="53">
        <f>D12+NPV(Gia_Dinh!D7,E12:H12)</f>
        <v/>
      </c>
    </row>
    <row r="13">
      <c r="B13" s="51" t="inlineStr">
        <is>
          <t>Cơ sở</t>
        </is>
      </c>
      <c r="D13" s="32">
        <f>Doanh_Thu!D35*$C$7*Gia_Dinh!D6-Dau_Tu!D10-OPEX!D8*$D$7</f>
        <v/>
      </c>
      <c r="E13" s="32">
        <f>Doanh_Thu!E35*$C$7*Gia_Dinh!D6-Dau_Tu!E10-OPEX!E8*$D$7</f>
        <v/>
      </c>
      <c r="F13" s="32">
        <f>Doanh_Thu!F35*$C$7*Gia_Dinh!D6-Dau_Tu!F10-OPEX!F8*$D$7</f>
        <v/>
      </c>
      <c r="G13" s="32">
        <f>Doanh_Thu!G35*$C$7*Gia_Dinh!D6-Dau_Tu!G10-OPEX!G8*$D$7</f>
        <v/>
      </c>
      <c r="H13" s="32">
        <f>Doanh_Thu!H35*$C$7*Gia_Dinh!D6-Dau_Tu!H10-OPEX!H8*$D$7</f>
        <v/>
      </c>
      <c r="I13" s="53">
        <f>D13+NPV(Gia_Dinh!D7,E13:H13)</f>
        <v/>
      </c>
    </row>
    <row r="14">
      <c r="B14" s="51" t="inlineStr">
        <is>
          <t>Lạc quan</t>
        </is>
      </c>
      <c r="D14" s="32">
        <f>Doanh_Thu!D35*$C$8*Gia_Dinh!D6-Dau_Tu!D10-OPEX!D8*$D$8</f>
        <v/>
      </c>
      <c r="E14" s="32">
        <f>Doanh_Thu!E35*$C$8*Gia_Dinh!D6-Dau_Tu!E10-OPEX!E8*$D$8</f>
        <v/>
      </c>
      <c r="F14" s="32">
        <f>Doanh_Thu!F35*$C$8*Gia_Dinh!D6-Dau_Tu!F10-OPEX!F8*$D$8</f>
        <v/>
      </c>
      <c r="G14" s="32">
        <f>Doanh_Thu!G35*$C$8*Gia_Dinh!D6-Dau_Tu!G10-OPEX!G8*$D$8</f>
        <v/>
      </c>
      <c r="H14" s="32">
        <f>Doanh_Thu!H35*$C$8*Gia_Dinh!D6-Dau_Tu!H10-OPEX!H8*$D$8</f>
        <v/>
      </c>
      <c r="I14" s="53">
        <f>D14+NPV(Gia_Dinh!D7,E14:H14)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BẢNG TỔNG HỢP CHỈ SỐ (DASHBOARD)</t>
        </is>
      </c>
    </row>
    <row r="2">
      <c r="A2" s="2" t="inlineStr">
        <is>
          <t>Tự động liên kết từ các sheet.</t>
        </is>
      </c>
    </row>
    <row r="4">
      <c r="A4" s="9" t="inlineStr">
        <is>
          <t>A. CHỈ SỐ DỰ ÁN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B5" s="51" t="inlineStr">
        <is>
          <t>Tổng vốn đầu tư CAPEX (tỷ)</t>
        </is>
      </c>
      <c r="D5" s="54">
        <f>Dau_Tu!I10</f>
        <v/>
      </c>
    </row>
    <row r="6">
      <c r="B6" s="51" t="inlineStr">
        <is>
          <t>Vốn CIC đối ứng 70% (tỷ)</t>
        </is>
      </c>
      <c r="D6" s="54">
        <f>Dau_Tu!I11</f>
        <v/>
      </c>
    </row>
    <row r="7">
      <c r="B7" s="51" t="inlineStr">
        <is>
          <t>Tài trợ NATIF 30% (tỷ)</t>
        </is>
      </c>
      <c r="D7" s="54">
        <f>Dau_Tu!I12</f>
        <v/>
      </c>
    </row>
    <row r="8">
      <c r="B8" s="51" t="inlineStr">
        <is>
          <t>NPV toàn dự án 5 năm (tỷ)</t>
        </is>
      </c>
      <c r="D8" s="54">
        <f>NPV_IRR!D5+NPV(Gia_Dinh!D7,NPV_IRR!E5:H5)</f>
        <v/>
      </c>
    </row>
    <row r="9">
      <c r="B9" s="51" t="inlineStr">
        <is>
          <t>IRR toàn dự án</t>
        </is>
      </c>
      <c r="D9" s="55">
        <f>IFERROR(IRR(NPV_IRR!D5:H5,0.2),"n/a")</f>
        <v/>
      </c>
    </row>
    <row r="10">
      <c r="B10" s="51" t="inlineStr">
        <is>
          <t>NPV đầu tư CIC (tỷ)</t>
        </is>
      </c>
      <c r="D10" s="54">
        <f>NPV_IRR!D6+NPV(Gia_Dinh!D7,NPV_IRR!E6:H6)</f>
        <v/>
      </c>
    </row>
    <row r="11">
      <c r="B11" s="51" t="inlineStr">
        <is>
          <t>IRR đầu tư CIC</t>
        </is>
      </c>
      <c r="D11" s="55">
        <f>IFERROR(IRR(NPV_IRR!D6:H6,0.2),"n/a")</f>
        <v/>
      </c>
    </row>
    <row r="13">
      <c r="A13" s="9" t="inlineStr">
        <is>
          <t>B. DOANH THU &amp; DÒNG TIỀN THEO NĂM (tỷ)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B14" s="56" t="inlineStr"/>
      <c r="D14" s="11" t="inlineStr">
        <is>
          <t>2026</t>
        </is>
      </c>
      <c r="E14" s="11" t="inlineStr">
        <is>
          <t>2027</t>
        </is>
      </c>
      <c r="F14" s="11" t="inlineStr">
        <is>
          <t>2028</t>
        </is>
      </c>
      <c r="G14" s="11" t="inlineStr">
        <is>
          <t>2029</t>
        </is>
      </c>
      <c r="H14" s="11" t="inlineStr">
        <is>
          <t>2030</t>
        </is>
      </c>
    </row>
    <row r="15">
      <c r="B15" s="51" t="inlineStr">
        <is>
          <t>Doanh thu</t>
        </is>
      </c>
      <c r="D15" s="25">
        <f>Doanh_Thu!D35</f>
        <v/>
      </c>
      <c r="E15" s="25">
        <f>Doanh_Thu!E35</f>
        <v/>
      </c>
      <c r="F15" s="25">
        <f>Doanh_Thu!F35</f>
        <v/>
      </c>
      <c r="G15" s="25">
        <f>Doanh_Thu!G35</f>
        <v/>
      </c>
      <c r="H15" s="25">
        <f>Doanh_Thu!H35</f>
        <v/>
      </c>
    </row>
    <row r="16">
      <c r="B16" s="51" t="inlineStr">
        <is>
          <t>Dòng tiền ròng dự án</t>
        </is>
      </c>
      <c r="D16" s="25">
        <f>P_and_L!D9</f>
        <v/>
      </c>
      <c r="E16" s="25">
        <f>P_and_L!E9</f>
        <v/>
      </c>
      <c r="F16" s="25">
        <f>P_and_L!F9</f>
        <v/>
      </c>
      <c r="G16" s="25">
        <f>P_and_L!G9</f>
        <v/>
      </c>
      <c r="H16" s="25">
        <f>P_and_L!H9</f>
        <v/>
      </c>
    </row>
    <row r="17">
      <c r="B17" s="51" t="inlineStr">
        <is>
          <t>Lũy kế dự án</t>
        </is>
      </c>
      <c r="D17" s="25">
        <f>P_and_L!D10</f>
        <v/>
      </c>
      <c r="E17" s="25">
        <f>P_and_L!E10</f>
        <v/>
      </c>
      <c r="F17" s="25">
        <f>P_and_L!F10</f>
        <v/>
      </c>
      <c r="G17" s="25">
        <f>P_and_L!G10</f>
        <v/>
      </c>
      <c r="H17" s="25">
        <f>P_and_L!H10</f>
        <v/>
      </c>
    </row>
    <row r="18">
      <c r="B18" s="51" t="inlineStr">
        <is>
          <t>Lũy kế CIC</t>
        </is>
      </c>
      <c r="D18" s="25">
        <f>Dong_Tien!D10</f>
        <v/>
      </c>
      <c r="E18" s="25">
        <f>Dong_Tien!E10</f>
        <v/>
      </c>
      <c r="F18" s="25">
        <f>Dong_Tien!F10</f>
        <v/>
      </c>
      <c r="G18" s="25">
        <f>Dong_Tien!G10</f>
        <v/>
      </c>
      <c r="H18" s="25">
        <f>Dong_Tien!H10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2026-06-03T15:39:44Z</dcterms:created>
  <dcterms:modified xmlns:dcterms="http://purl.org/dc/terms/" xmlns:xsi="http://www.w3.org/2001/XMLSchema-instance" xsi:type="dcterms:W3CDTF">2026-06-03T15:39:44Z</dcterms:modified>
</cp:coreProperties>
</file>